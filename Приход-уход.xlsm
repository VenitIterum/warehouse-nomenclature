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filterPrivacy="1" codeName="ЭтаКнига"/>
  <bookViews>
    <workbookView xWindow="0" yWindow="0" windowWidth="22260" windowHeight="12645"/>
  </bookViews>
  <sheets>
    <sheet name="Ввод" sheetId="1" r:id="rId1"/>
    <sheet name="Списки" sheetId="10" state="hidden" r:id="rId2"/>
    <sheet name="Неопознанные" sheetId="11" r:id="rId3"/>
    <sheet name="РЕМОНТ ОБОРУДОВАНИЯ" sheetId="4" r:id="rId4"/>
    <sheet name="Приход БЛОКИ" sheetId="2" r:id="rId5"/>
    <sheet name="Приход ДУТ" sheetId="3" r:id="rId6"/>
    <sheet name="Приход ТАХОГРАФЫ" sheetId="5" r:id="rId7"/>
    <sheet name="Приход СКЗИ" sheetId="6" r:id="rId8"/>
    <sheet name="Приход ОТОПИТЕЛИ" sheetId="7" r:id="rId9"/>
    <sheet name="Приход ГБО - комплекты " sheetId="8" r:id="rId10"/>
    <sheet name="Приход ГБО - баллоны" sheetId="9" r:id="rId11"/>
  </sheets>
  <definedNames>
    <definedName name="Вид_ремонта">Списки!$B$2:$B$3</definedName>
    <definedName name="Направление">Списки!$A$2:$A$7</definedName>
    <definedName name="Состав_комплекта">Списки!$E$2:$E$4</definedName>
    <definedName name="Текущий_статус">Списки!$C$2:$C$9</definedName>
    <definedName name="Текущий_статус_ГБО">Списки!$D$2:$D$10</definedName>
    <definedName name="Тип_газа">Списки!$F$2:$F$3</definedName>
    <definedName name="Установщики">OFFSET(Ввод!$E$14,,,COUNTA(Ввод!$E:$E))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W109" i="4" l="1"/>
  <c r="W21" i="4"/>
  <c r="W18" i="4"/>
  <c r="W17" i="4"/>
  <c r="W10" i="4"/>
  <c r="W7" i="4"/>
  <c r="W6" i="4"/>
  <c r="W3" i="4"/>
</calcChain>
</file>

<file path=xl/sharedStrings.xml><?xml version="1.0" encoding="utf-8"?>
<sst xmlns="http://schemas.openxmlformats.org/spreadsheetml/2006/main" count="17989" uniqueCount="8742">
  <si>
    <t>Ячейка ввода</t>
  </si>
  <si>
    <t>№</t>
  </si>
  <si>
    <t xml:space="preserve">Дата и № док-та прихода </t>
  </si>
  <si>
    <t>Поставщик</t>
  </si>
  <si>
    <t>Номенклатура</t>
  </si>
  <si>
    <t>Серийный номер/IMEI</t>
  </si>
  <si>
    <t>Текущий статус</t>
  </si>
  <si>
    <t>Дата текущего статуса</t>
  </si>
  <si>
    <t>Клиент</t>
  </si>
  <si>
    <t>Гос.номер ТС (Примечание)</t>
  </si>
  <si>
    <t>Дата установки/передачи</t>
  </si>
  <si>
    <t>не отражены в приходе\замены по гарантии\предоставлены италоном</t>
  </si>
  <si>
    <t>Комментарии</t>
  </si>
  <si>
    <t>Приход БЛОКИ</t>
  </si>
  <si>
    <t>Приход ДУТ</t>
  </si>
  <si>
    <t xml:space="preserve">№ Блока СКЗИ в тахографе </t>
  </si>
  <si>
    <t>Дата установки</t>
  </si>
  <si>
    <t>Номенклатура
Комлпет ГБО</t>
  </si>
  <si>
    <t>Состав комплекта</t>
  </si>
  <si>
    <t>ТИП ГАЗА</t>
  </si>
  <si>
    <t>Номенклатура
Баллоны/вентиля</t>
  </si>
  <si>
    <t>Дата выпуска баллона/вентиля</t>
  </si>
  <si>
    <t>Дата поступления в ремонт</t>
  </si>
  <si>
    <t>ГЛОНАСС</t>
  </si>
  <si>
    <t>Наименование оборудования</t>
  </si>
  <si>
    <t>Sim</t>
  </si>
  <si>
    <t>С какого ТС снят</t>
  </si>
  <si>
    <t>Сдал ФИО</t>
  </si>
  <si>
    <t>Статус</t>
  </si>
  <si>
    <t>Примечание</t>
  </si>
  <si>
    <t>Дата отправки на ремонт на завод</t>
  </si>
  <si>
    <t>Дата прихода оборудования с ремонта</t>
  </si>
  <si>
    <t>Стоимость ремонта</t>
  </si>
  <si>
    <t>Стоимость доставки на завод /с завода</t>
  </si>
  <si>
    <t>Вид ремонта</t>
  </si>
  <si>
    <t>Дата возврата клиенту оборудования</t>
  </si>
  <si>
    <t>Направление</t>
  </si>
  <si>
    <t>гарантия</t>
  </si>
  <si>
    <t>не гарантия</t>
  </si>
  <si>
    <t>ТАХОГРАФЫ</t>
  </si>
  <si>
    <t>ОТОПИТЕЛИ</t>
  </si>
  <si>
    <t>ГБО</t>
  </si>
  <si>
    <t>ВИДЕО</t>
  </si>
  <si>
    <t>ДОПОГ</t>
  </si>
  <si>
    <t>Склад</t>
  </si>
  <si>
    <t>Брак</t>
  </si>
  <si>
    <t>Выдан уст-ку</t>
  </si>
  <si>
    <t>Выдан клиенту</t>
  </si>
  <si>
    <t>Ремонт у производителя</t>
  </si>
  <si>
    <t>Отправлен уст Новоспасское</t>
  </si>
  <si>
    <t>Отправлен уст Саранск</t>
  </si>
  <si>
    <t>Текущий статус ГБО</t>
  </si>
  <si>
    <t>Скалад ГЕО</t>
  </si>
  <si>
    <t>Склад ГИТ</t>
  </si>
  <si>
    <t>Редуктор</t>
  </si>
  <si>
    <t>Форсунки</t>
  </si>
  <si>
    <t>Электронная часть</t>
  </si>
  <si>
    <t>ПРОПАН</t>
  </si>
  <si>
    <t>МЕТАН</t>
  </si>
  <si>
    <t>Тип газа</t>
  </si>
  <si>
    <t>дут италон</t>
  </si>
  <si>
    <t>ип гавриленко</t>
  </si>
  <si>
    <t>ман в767хр73</t>
  </si>
  <si>
    <t>не исправен</t>
  </si>
  <si>
    <t>ремонт</t>
  </si>
  <si>
    <t>не корректные показания</t>
  </si>
  <si>
    <t>шарловский леспромхоз</t>
  </si>
  <si>
    <t>газ н158вс73</t>
  </si>
  <si>
    <t xml:space="preserve">не подключается к пк. </t>
  </si>
  <si>
    <t>газ т415ое73</t>
  </si>
  <si>
    <t>выдает ошибки</t>
  </si>
  <si>
    <t>газ т416ое73</t>
  </si>
  <si>
    <t>не подключается к пк</t>
  </si>
  <si>
    <t>газ т538ак73</t>
  </si>
  <si>
    <t>альфатранссервис</t>
  </si>
  <si>
    <t>mst 8286 ух</t>
  </si>
  <si>
    <t>зависает и выдает ошибку</t>
  </si>
  <si>
    <t>новый резерв</t>
  </si>
  <si>
    <t>маз м331тм</t>
  </si>
  <si>
    <t>тахограф dtco 3283</t>
  </si>
  <si>
    <t>инвест агро</t>
  </si>
  <si>
    <t>время 00:00 и не идет. печать не понятна</t>
  </si>
  <si>
    <t>471\508</t>
  </si>
  <si>
    <t>дрсу инза</t>
  </si>
  <si>
    <t>зил к965ае73</t>
  </si>
  <si>
    <t>к.з не подключается к пк</t>
  </si>
  <si>
    <t>смарт 2430</t>
  </si>
  <si>
    <t>сенгилеевское атп</t>
  </si>
  <si>
    <t>паз м204еа73</t>
  </si>
  <si>
    <t>не ловит спутники</t>
  </si>
  <si>
    <t>исправен</t>
  </si>
  <si>
    <t>смарт 2333</t>
  </si>
  <si>
    <t>наша подмена</t>
  </si>
  <si>
    <t>запоролен</t>
  </si>
  <si>
    <t>галилео 7хс</t>
  </si>
  <si>
    <t>лесопромышленник</t>
  </si>
  <si>
    <t>урал х020аа73</t>
  </si>
  <si>
    <t>не работает 485</t>
  </si>
  <si>
    <t>525\690</t>
  </si>
  <si>
    <t xml:space="preserve">дут омникомм </t>
  </si>
  <si>
    <t>инза сервис</t>
  </si>
  <si>
    <t>уаз м241рв</t>
  </si>
  <si>
    <t>зависает и не реагирует на команды</t>
  </si>
  <si>
    <t>заменен на дут омникомм lls-af4 700  4031020001390</t>
  </si>
  <si>
    <t>мк+</t>
  </si>
  <si>
    <t>исудзу м070тв</t>
  </si>
  <si>
    <t>шварцмюллер</t>
  </si>
  <si>
    <t>камаз т594ам197</t>
  </si>
  <si>
    <t>зависает. выдает ошибку</t>
  </si>
  <si>
    <t>камаз т306ам197</t>
  </si>
  <si>
    <t>зависает . выдает ошибку</t>
  </si>
  <si>
    <t>евроцемент</t>
  </si>
  <si>
    <t>вольво а839нс 790</t>
  </si>
  <si>
    <t>выдает ошибку нет связи с блоком</t>
  </si>
  <si>
    <t xml:space="preserve">волжанка </t>
  </si>
  <si>
    <t>кировец к4 1654ух</t>
  </si>
  <si>
    <t>мтз 5038ух</t>
  </si>
  <si>
    <t>атол драйв 5</t>
  </si>
  <si>
    <t>сахарный завод</t>
  </si>
  <si>
    <t>уаз  а355ес73</t>
  </si>
  <si>
    <t>выдает ошибку "нет связи с нкм" перевести в технологический фонд</t>
  </si>
  <si>
    <t>отказ от ремонта</t>
  </si>
  <si>
    <t>291\440</t>
  </si>
  <si>
    <t xml:space="preserve">тк фортуна </t>
  </si>
  <si>
    <t>скания в807вв763</t>
  </si>
  <si>
    <t>брак . ошибка 65530</t>
  </si>
  <si>
    <t>автотранспорт</t>
  </si>
  <si>
    <t>газ о696еа73</t>
  </si>
  <si>
    <t>не рподключается к пк</t>
  </si>
  <si>
    <t>ип кузин</t>
  </si>
  <si>
    <t>вольво к579не</t>
  </si>
  <si>
    <t>заводской брак, обыв линии,после перезагрузки все норм, потом пропадает</t>
  </si>
  <si>
    <t>ооо сервис</t>
  </si>
  <si>
    <t>зил к800вк</t>
  </si>
  <si>
    <t>приходит ошибка 65530</t>
  </si>
  <si>
    <t>наша с ит отдела</t>
  </si>
  <si>
    <t>не подключается пк. обновить не удвлось</t>
  </si>
  <si>
    <t>вышел гарантийный срок</t>
  </si>
  <si>
    <t>автограф gsm</t>
  </si>
  <si>
    <t>русс нефть вишенки</t>
  </si>
  <si>
    <t>камаз в877ху73</t>
  </si>
  <si>
    <t>не работает модем</t>
  </si>
  <si>
    <t>528\500</t>
  </si>
  <si>
    <t>гафиятуллов</t>
  </si>
  <si>
    <t>даф к719ту21</t>
  </si>
  <si>
    <t xml:space="preserve">хаотичные показания </t>
  </si>
  <si>
    <t>ооо исмет</t>
  </si>
  <si>
    <t>камаз х149ук102</t>
  </si>
  <si>
    <t>ошибка 65534</t>
  </si>
  <si>
    <t>смарт 2422</t>
  </si>
  <si>
    <t>ульгэс</t>
  </si>
  <si>
    <t>газ в340ма73</t>
  </si>
  <si>
    <t>не реагирует на питание</t>
  </si>
  <si>
    <t>восстанавлению не подлежит</t>
  </si>
  <si>
    <t>адм 100</t>
  </si>
  <si>
    <t>ип листрова</t>
  </si>
  <si>
    <t>скания в841хн73</t>
  </si>
  <si>
    <t>анчиков</t>
  </si>
  <si>
    <t>даф р280хн73</t>
  </si>
  <si>
    <t>ошибка 65530</t>
  </si>
  <si>
    <t>ооо газтрейд</t>
  </si>
  <si>
    <t>ман к888ху73</t>
  </si>
  <si>
    <t>мет альянс</t>
  </si>
  <si>
    <t>маз р453хт</t>
  </si>
  <si>
    <t>ошибка 4094 не видит сливы и заправки</t>
  </si>
  <si>
    <t>тца-02нк</t>
  </si>
  <si>
    <t>86в6826091723е</t>
  </si>
  <si>
    <t>ооо комфорт</t>
  </si>
  <si>
    <t>камаз м894тх73</t>
  </si>
  <si>
    <t>ошибка скзи не исправен или не найден</t>
  </si>
  <si>
    <t>италон флекс</t>
  </si>
  <si>
    <t>ооо атеко</t>
  </si>
  <si>
    <t>маз а173ху</t>
  </si>
  <si>
    <t>восстановлению не подлежит</t>
  </si>
  <si>
    <t>даф е389то73</t>
  </si>
  <si>
    <t>не исправен 485</t>
  </si>
  <si>
    <t>смарт 2423</t>
  </si>
  <si>
    <t>склад 01.02.22</t>
  </si>
  <si>
    <t>MST 5497УХ73</t>
  </si>
  <si>
    <t>Сарксян Сос Суренович (Карен)</t>
  </si>
  <si>
    <t>№182 от 21.02.22</t>
  </si>
  <si>
    <t>Хино Н116ЕХ73</t>
  </si>
  <si>
    <t>ООО Альянс- Трейд</t>
  </si>
  <si>
    <t>№216 от 21.02.2022</t>
  </si>
  <si>
    <t>Камаз М971ТУ73</t>
  </si>
  <si>
    <t>ООО ТРЭК</t>
  </si>
  <si>
    <t>№197 от 21.02.2022</t>
  </si>
  <si>
    <t>МАЗ А747СК73</t>
  </si>
  <si>
    <t>Карен</t>
  </si>
  <si>
    <t>№181 от 21.02.2022</t>
  </si>
  <si>
    <t>Скания Е754СН73</t>
  </si>
  <si>
    <t>ООО Регион Транс</t>
  </si>
  <si>
    <t>№177 от 17.02.2022</t>
  </si>
  <si>
    <t>Камаз К023СА73</t>
  </si>
  <si>
    <t>Монолитстрой-Плюс ООО</t>
  </si>
  <si>
    <t>№144 от 07.02.2022</t>
  </si>
  <si>
    <t>К744 б/н</t>
  </si>
  <si>
    <t>Транс Сервис</t>
  </si>
  <si>
    <t>№154 от 02.02.2022</t>
  </si>
  <si>
    <t>Камаз Р536ХА73</t>
  </si>
  <si>
    <t>ТЛК Наш Век</t>
  </si>
  <si>
    <t>№155 от 09.02.2022</t>
  </si>
  <si>
    <t>Скания Е656СН73</t>
  </si>
  <si>
    <t>ООО РегионТранс</t>
  </si>
  <si>
    <t>№161 от 11.02.2022</t>
  </si>
  <si>
    <t>Bobcat Earthforce 8533УХ73</t>
  </si>
  <si>
    <t>ООО Капитал</t>
  </si>
  <si>
    <t>№142 от 07.02.2022</t>
  </si>
  <si>
    <t>КАМАЗ 6029 АМ 76</t>
  </si>
  <si>
    <t>Ульяновский УСТК РО ДОСААФ России</t>
  </si>
  <si>
    <t>№1718 от 24.12.21</t>
  </si>
  <si>
    <t>КАМАЗ К 584 СТ 73</t>
  </si>
  <si>
    <t>ООО Союз Транс</t>
  </si>
  <si>
    <t>№116 от 27.01.22</t>
  </si>
  <si>
    <t>КАМАЗ М 027 ТН</t>
  </si>
  <si>
    <t>КАМАЗ В 640 СЕ 73</t>
  </si>
  <si>
    <t>КАМАЗ М 168 СЕ</t>
  </si>
  <si>
    <t>Газон Некст  Р746ХК73</t>
  </si>
  <si>
    <t>Сафарян Гегам Тигранович</t>
  </si>
  <si>
    <t>№180 от 18.02.2022</t>
  </si>
  <si>
    <t>Xino В994ММ73</t>
  </si>
  <si>
    <t>ТФ Волжанка ООО</t>
  </si>
  <si>
    <t>№120 от 31.01.22</t>
  </si>
  <si>
    <t>CASE 3043 НН 77</t>
  </si>
  <si>
    <t>Шварцмюллер Рус</t>
  </si>
  <si>
    <t>№122 от 28.01.2022</t>
  </si>
  <si>
    <t>Камаз М787ТТ73</t>
  </si>
  <si>
    <t>ТРЭК ООО (Ундоровская волжанка)</t>
  </si>
  <si>
    <t>№117 от 28.02.22</t>
  </si>
  <si>
    <t>смарт 2421</t>
  </si>
  <si>
    <t>от прикуривателя</t>
  </si>
  <si>
    <t>Кияткин Валерий Александрович</t>
  </si>
  <si>
    <t>№178 от 22.02.2022</t>
  </si>
  <si>
    <t>ЗИЛ Р818ХМ73</t>
  </si>
  <si>
    <t>ООО СИМБИРСК-СТЕЛС</t>
  </si>
  <si>
    <t>№191 от 17.02.2022</t>
  </si>
  <si>
    <t>Камаз М708ХТ 73</t>
  </si>
  <si>
    <t>ТК НОВА ООО (Смирнов С. В. )</t>
  </si>
  <si>
    <t>№188 ОТ 22.02.2022</t>
  </si>
  <si>
    <t>УАЗ М209ТТ73</t>
  </si>
  <si>
    <t>ООО Поволжская Водная Компания</t>
  </si>
  <si>
    <t>№167 от 16.02.2022</t>
  </si>
  <si>
    <t>Газель М109НВ73</t>
  </si>
  <si>
    <t>ООО Поволжская водная компания</t>
  </si>
  <si>
    <t>№148 от 03.02.2022</t>
  </si>
  <si>
    <t>отложен по ПП2216 Лошкарев</t>
  </si>
  <si>
    <t>ПАЗ Р592ХК73</t>
  </si>
  <si>
    <t>Лошкарев Анатолий Леонидович</t>
  </si>
  <si>
    <t>№274 от 24.02.2022</t>
  </si>
  <si>
    <t>Газон Некст К943СК73</t>
  </si>
  <si>
    <t>Дамиров Анар Курбан Оглы</t>
  </si>
  <si>
    <t>№187 от 22.02.2022</t>
  </si>
  <si>
    <t>Камаз М674ХЕ 73</t>
  </si>
  <si>
    <t>Экскаватор-погрузчик Hidromek 7970 73</t>
  </si>
  <si>
    <t>Лада Гранта К383КУ73</t>
  </si>
  <si>
    <t>Аманов Ч.Д.</t>
  </si>
  <si>
    <t>№170 от 17.02.2022</t>
  </si>
  <si>
    <t>Газель М953ТО73</t>
  </si>
  <si>
    <t xml:space="preserve">KIA OPTIMA К639КС73 </t>
  </si>
  <si>
    <t>№149 от 08.02.2022</t>
  </si>
  <si>
    <t>Газель Н634ЕР73</t>
  </si>
  <si>
    <t>Чапайкин Сергей Николаевич (Радуга)</t>
  </si>
  <si>
    <t>№118 от 31.01.2022</t>
  </si>
  <si>
    <t>еще не отгружен</t>
  </si>
  <si>
    <t>Газель Н363ВХ73</t>
  </si>
  <si>
    <t xml:space="preserve">ФГБУ ФНКЦРИО ФМБА РОССИИ № 172 </t>
  </si>
  <si>
    <t>Лада Гранта Н727ЕР73</t>
  </si>
  <si>
    <t>ООО Комплект</t>
  </si>
  <si>
    <t>№129 от 03.02.2022</t>
  </si>
  <si>
    <t>Terex 5274УХ73</t>
  </si>
  <si>
    <t>сигнал 2651</t>
  </si>
  <si>
    <t>DAF Е319ЕО763</t>
  </si>
  <si>
    <t>ООО Комплексное снабжение и логистика</t>
  </si>
  <si>
    <t>будет отгружен на Луизу</t>
  </si>
  <si>
    <t>ООО ГРЭЙТКОМП</t>
  </si>
  <si>
    <t>сигнал 2652</t>
  </si>
  <si>
    <t>Катербузов</t>
  </si>
  <si>
    <t>В 889 ЕР (ПАЗ)</t>
  </si>
  <si>
    <t>Support_KD</t>
  </si>
  <si>
    <t>А 743 МС (Isuzu)</t>
  </si>
  <si>
    <t>Теплострой</t>
  </si>
  <si>
    <t>VOLVO А 065 РВ 73</t>
  </si>
  <si>
    <t>АЛЬФА-ИНЖИНИРИНГ</t>
  </si>
  <si>
    <t>SDLG 7352 СВ 63</t>
  </si>
  <si>
    <t>Строй Дом</t>
  </si>
  <si>
    <t>СК- 946</t>
  </si>
  <si>
    <t>№272 от 24.02.2022</t>
  </si>
  <si>
    <t>ГАЗель Next б/н</t>
  </si>
  <si>
    <t>Диамикс</t>
  </si>
  <si>
    <t>№195 от 28.02.2022</t>
  </si>
  <si>
    <t>Камаз М956ТУ73</t>
  </si>
  <si>
    <t>№203 от 25.02.2022</t>
  </si>
  <si>
    <t>Golden dragon М 277 МЕ</t>
  </si>
  <si>
    <t>Карета</t>
  </si>
  <si>
    <t>DAF 027 AAQ 07</t>
  </si>
  <si>
    <t>ЯнтыковРР</t>
  </si>
  <si>
    <t>№192 от 24.02.2022</t>
  </si>
  <si>
    <t>КАМАЗ Е 208 ОН</t>
  </si>
  <si>
    <t>УлСахар</t>
  </si>
  <si>
    <t>Мерседес Т 795 УМ 199</t>
  </si>
  <si>
    <t>Scania В 841 ХН</t>
  </si>
  <si>
    <t>Листрова</t>
  </si>
  <si>
    <t>галилео 7хс ехт</t>
  </si>
  <si>
    <t>УАЗ М 458 ТА 73</t>
  </si>
  <si>
    <t>РубиконООО</t>
  </si>
  <si>
    <t>УАЗ М 645 ТА 73</t>
  </si>
  <si>
    <t>галилео 7хс внутренние</t>
  </si>
  <si>
    <t>№183 от 22.02.2022</t>
  </si>
  <si>
    <t>CASE Русь-К</t>
  </si>
  <si>
    <t>Камаз М 702 ТС 73</t>
  </si>
  <si>
    <t>СтручинИА</t>
  </si>
  <si>
    <t>Lada Granta С 422 КВ 73</t>
  </si>
  <si>
    <t>нпо галилеоскай</t>
  </si>
  <si>
    <t>галилео 7х ехт</t>
  </si>
  <si>
    <t>ИП Ли</t>
  </si>
  <si>
    <t>галилео 7х</t>
  </si>
  <si>
    <t>галилео 7х с</t>
  </si>
  <si>
    <t>галилео 7х с ехт</t>
  </si>
  <si>
    <t>окисление фишки</t>
  </si>
  <si>
    <t>SIM</t>
  </si>
  <si>
    <t>Принял</t>
  </si>
  <si>
    <t>Дата заполнения</t>
  </si>
  <si>
    <t>№ сч/ф клиенту
от менеджера</t>
  </si>
  <si>
    <t>Датчик уровня топлива Italon 1000</t>
  </si>
  <si>
    <t>инфинити групп</t>
  </si>
  <si>
    <t>мермедес о105аа48</t>
  </si>
  <si>
    <t>дут италон 21121547 1000мм гавриленко ман в767хр 5.01.</t>
  </si>
  <si>
    <t>агро -н</t>
  </si>
  <si>
    <t>газель 055</t>
  </si>
  <si>
    <t>дут италон 21121548 1000мм гавриленко ман в767хр 5.01.</t>
  </si>
  <si>
    <t>эко ленд</t>
  </si>
  <si>
    <t>jcb 7990 ух</t>
  </si>
  <si>
    <t>дут италон 21121412 1000мм ренальавтотранс 11.01</t>
  </si>
  <si>
    <t>палькеев</t>
  </si>
  <si>
    <t>дут италон 21121546 1000мм 11.01 федоренко отправка в краснодар</t>
  </si>
  <si>
    <t>трэк волжанка</t>
  </si>
  <si>
    <t>дут италон 21121545 1000мм мк+ 12.01</t>
  </si>
  <si>
    <t>схпк волжанка</t>
  </si>
  <si>
    <t>досафф</t>
  </si>
  <si>
    <t>камаз 6029ам76</t>
  </si>
  <si>
    <t>новая жизнь</t>
  </si>
  <si>
    <t>кердановский</t>
  </si>
  <si>
    <t>доссаф</t>
  </si>
  <si>
    <t>камаз 6023ам76</t>
  </si>
  <si>
    <t>Датчик уровня топлива italon 1000-485</t>
  </si>
  <si>
    <t>карен</t>
  </si>
  <si>
    <t>дут италон 22012390 1000мм такси сервис 31.01</t>
  </si>
  <si>
    <t>альянс трейд</t>
  </si>
  <si>
    <t>хино н116ех73</t>
  </si>
  <si>
    <t>дут италон 22012414 1000мм авиаль отправлен в брянск 2.02</t>
  </si>
  <si>
    <t>ип семенкин</t>
  </si>
  <si>
    <t>дут италон 22012415 1000мм авиаль отправлен в брянск 2.02</t>
  </si>
  <si>
    <t>Датчик уровня топлива italon 730-485</t>
  </si>
  <si>
    <t>сафарян</t>
  </si>
  <si>
    <t>дут италон 22012418 1000мм авиаль отправлен в брянск 2.02</t>
  </si>
  <si>
    <t>дут италон 22012419 1000мм авиаль отправлен в брянск 2.02</t>
  </si>
  <si>
    <t>исмет</t>
  </si>
  <si>
    <t>дут италон 22012411 1000мм грейт комп 7.02.22</t>
  </si>
  <si>
    <t>ундоровская волжанка</t>
  </si>
  <si>
    <t>дут италон 22012416 1000мм ип кузин вольво 579 07.02.22</t>
  </si>
  <si>
    <t>атекс</t>
  </si>
  <si>
    <t>камаз 646</t>
  </si>
  <si>
    <t>дут италон 22012417 1000мм ип кузин вольво 579 07.02.22</t>
  </si>
  <si>
    <t>комплексное снабжение и логистика</t>
  </si>
  <si>
    <t>даф е319ео763</t>
  </si>
  <si>
    <t>дут италон 22012420 1000мм хуснутдинов (такси сервис)  07.02.22</t>
  </si>
  <si>
    <t>дут италон 22012421 1000мм ооо сервис зил к800вк 8.02</t>
  </si>
  <si>
    <t>дут италон 22012412 1000мм ооо наш век камаз р536ха73 9.02</t>
  </si>
  <si>
    <t>дут италон 22021314 1000мм ип кердановский 22.02</t>
  </si>
  <si>
    <t>стройальянс</t>
  </si>
  <si>
    <t>камаз н344еу</t>
  </si>
  <si>
    <t>дут италон 22021313 1000мм ип кердановский 1000мм 22.02.</t>
  </si>
  <si>
    <t>Датчик уровня топлива Italon 1000-485</t>
  </si>
  <si>
    <t>дут италон 22012413 1000мм ип старостин 22.02.</t>
  </si>
  <si>
    <t>дут италон 22021316 1000мм газтрейд ман к888ху73 22.02</t>
  </si>
  <si>
    <t>дут италон 22021321 1000мм катербузов скания с946ка73 24.02</t>
  </si>
  <si>
    <t>дут италон 22021322 1000мм катербузов скания с946ка73 24.02.</t>
  </si>
  <si>
    <t>дут италон 22021315 1000мм ооо трэк  камаз м956ту 73 24.02.</t>
  </si>
  <si>
    <t>дут италон 22021319 1000мм метальянс маз р453хт 25.02.</t>
  </si>
  <si>
    <t>дут италон 22021320 1000мм ип семенкин 25.02.</t>
  </si>
  <si>
    <t>дут италон 22021317 1000мм диамикс 28.02.</t>
  </si>
  <si>
    <t>датчик уровня топлива Омникомм lls4 700</t>
  </si>
  <si>
    <t>ип ли</t>
  </si>
  <si>
    <t>тахограф драйв смарт</t>
  </si>
  <si>
    <t>a50cb301112102f3</t>
  </si>
  <si>
    <t>82ef3301112102f3</t>
  </si>
  <si>
    <t>c452aa01112102f3</t>
  </si>
  <si>
    <t>c9421d02112102f3</t>
  </si>
  <si>
    <t>78769403112102f3</t>
  </si>
  <si>
    <t>8606a502112102f3</t>
  </si>
  <si>
    <t>87ab7405112102f3</t>
  </si>
  <si>
    <t>87a44e02112102f3</t>
  </si>
  <si>
    <t>8c667905112102f3</t>
  </si>
  <si>
    <t>613c7601112102f3</t>
  </si>
  <si>
    <t>6ed0e101112102f3</t>
  </si>
  <si>
    <t>6ed00102112102f3</t>
  </si>
  <si>
    <t>7724d802112102f3</t>
  </si>
  <si>
    <t>70f96a04112102f3</t>
  </si>
  <si>
    <t>696b1f03112102f3</t>
  </si>
  <si>
    <t>7743f502112102f3</t>
  </si>
  <si>
    <t>81192603112102f3</t>
  </si>
  <si>
    <t>74f2aa01112102f3</t>
  </si>
  <si>
    <t>АО Авто Евро</t>
  </si>
  <si>
    <t>НКМ-2.11/Блок СКЗИ тахографа</t>
  </si>
  <si>
    <t>21l799b008178707-21l3s0008178700</t>
  </si>
  <si>
    <t>ООО АЛТ</t>
  </si>
  <si>
    <t>Камаз М886ХР10</t>
  </si>
  <si>
    <t>21l799b008192336-21l3s00008192339</t>
  </si>
  <si>
    <t>ООО Данадис</t>
  </si>
  <si>
    <t>ПАЗ К158СК716</t>
  </si>
  <si>
    <t>21l799b008183277-21l3s0008183270</t>
  </si>
  <si>
    <t>Форд А160ММ116</t>
  </si>
  <si>
    <t>21l799b008178939-21l3s00008178932</t>
  </si>
  <si>
    <t>ООО НС-ОЙЛ</t>
  </si>
  <si>
    <t>Вольво Е355РА73</t>
  </si>
  <si>
    <t>21l799b008181511-21l3s00008181514</t>
  </si>
  <si>
    <t>ООО Агрофирма Абушаев</t>
  </si>
  <si>
    <t>Мерседес Бенц М738СВ73</t>
  </si>
  <si>
    <t>21l799b008177386-21l3s00008177389</t>
  </si>
  <si>
    <t>ОГАУК Ленинский мемориал</t>
  </si>
  <si>
    <t>ГАЗ К159РА73</t>
  </si>
  <si>
    <t>21l799b008197764-21l3s00008197767</t>
  </si>
  <si>
    <t>21l799b008272831-21l3s00008272834</t>
  </si>
  <si>
    <t>21l799b008290411-21l3s00008290414</t>
  </si>
  <si>
    <t>21l799b008303974-21l3s00008303977</t>
  </si>
  <si>
    <t>21l799b008303024-21l3s00008303027</t>
  </si>
  <si>
    <t>21l799b008290296-21l3s00008290299</t>
  </si>
  <si>
    <t>21l799b008297952-21l3s00008297955</t>
  </si>
  <si>
    <t>ООО ТД Симбирка</t>
  </si>
  <si>
    <t>ГАЗ-САЗ Е928АО73</t>
  </si>
  <si>
    <t>21l799b008290064-21l3s00008290067</t>
  </si>
  <si>
    <t>ООО Интертехстрой</t>
  </si>
  <si>
    <t>78058 М185ТУ73</t>
  </si>
  <si>
    <t>21l799b008275040-21l3s00008275043</t>
  </si>
  <si>
    <t>МУП УЭТ</t>
  </si>
  <si>
    <t>ЗИЛ М048СТ73</t>
  </si>
  <si>
    <t>21l799b008300988-21l3s00008300981</t>
  </si>
  <si>
    <t>ООО Фрегат</t>
  </si>
  <si>
    <t>Камаз К831РО82</t>
  </si>
  <si>
    <t>21l799b008295717-21l3s00008295710</t>
  </si>
  <si>
    <t>21l799b008272484-21l3s00008272487</t>
  </si>
  <si>
    <t>21l799b008294512-21l3s00008294515</t>
  </si>
  <si>
    <t>21l799b008302646-21l3s00008302649</t>
  </si>
  <si>
    <t>адверс</t>
  </si>
  <si>
    <t>отопитель планар 4дм2-24</t>
  </si>
  <si>
    <t>отопитель планар 8дм-24</t>
  </si>
  <si>
    <t>отопитель планар 44д-24</t>
  </si>
  <si>
    <t>вебасто рус</t>
  </si>
  <si>
    <t>отопитель вебасто tt evo start 12v дизель</t>
  </si>
  <si>
    <t>отопитель планар 4дм2-12</t>
  </si>
  <si>
    <t xml:space="preserve">адверс </t>
  </si>
  <si>
    <t>отопитель binar 5s</t>
  </si>
  <si>
    <t>D80054042</t>
  </si>
  <si>
    <t>отопитель вебасто tt evo comfort 12v дизель</t>
  </si>
  <si>
    <t>отопитель  планар 4дм2-24</t>
  </si>
  <si>
    <t>отопитель  20тс-24</t>
  </si>
  <si>
    <t>отопитель воздушный 2д-24</t>
  </si>
  <si>
    <t>Режимы</t>
  </si>
  <si>
    <t>Ввод</t>
  </si>
  <si>
    <t>Поиск</t>
  </si>
  <si>
    <t>Вводить в:</t>
  </si>
  <si>
    <t>Приход СКЗИ</t>
  </si>
  <si>
    <t>Ввод с поиском</t>
  </si>
  <si>
    <t>Консоль состояния</t>
  </si>
  <si>
    <t>Комментарий</t>
  </si>
  <si>
    <t>Неопознанные</t>
  </si>
  <si>
    <t>Приход ТАХОГР.</t>
  </si>
  <si>
    <t>strFlag</t>
  </si>
  <si>
    <t>strFlagEnter</t>
  </si>
  <si>
    <t>Дата</t>
  </si>
  <si>
    <t>Установщики</t>
  </si>
  <si>
    <t>T01</t>
  </si>
  <si>
    <t>T02</t>
  </si>
  <si>
    <t>T03</t>
  </si>
  <si>
    <t>T04</t>
  </si>
  <si>
    <t>T05</t>
  </si>
  <si>
    <t>Местонах-ия</t>
  </si>
  <si>
    <t>Дата предыдущего статуса</t>
  </si>
  <si>
    <t>Предыдущий статус</t>
  </si>
  <si>
    <t>Приход ОТОПИТ.</t>
  </si>
  <si>
    <t>Дата пихода</t>
  </si>
  <si>
    <t>T06</t>
  </si>
  <si>
    <t>T07</t>
  </si>
  <si>
    <t>T08</t>
  </si>
  <si>
    <t>T09</t>
  </si>
  <si>
    <t>T10</t>
  </si>
  <si>
    <t>Ермолаев Дмитрий</t>
  </si>
  <si>
    <t>Подменный</t>
  </si>
  <si>
    <t xml:space="preserve">№ док-та прихода </t>
  </si>
  <si>
    <t>Программа для считывания штрих-кодов.</t>
  </si>
  <si>
    <t>Автом-Склад</t>
  </si>
  <si>
    <t>|-=-=-|   Меню   |-=-=-|</t>
  </si>
  <si>
    <t>v1.0</t>
  </si>
  <si>
    <t>search</t>
  </si>
  <si>
    <t>255151186
869696041071106</t>
  </si>
  <si>
    <t>s/n 3010746</t>
  </si>
  <si>
    <t>s\n 0433907</t>
  </si>
  <si>
    <t>862531042031657
862531042031675</t>
  </si>
  <si>
    <t>8625310446746799</t>
  </si>
  <si>
    <t>На базе</t>
  </si>
  <si>
    <t>У клиента</t>
  </si>
  <si>
    <t>В офисе</t>
  </si>
  <si>
    <t>ВИС-МОС</t>
  </si>
  <si>
    <t>14.03 отправлен в саранск в запас</t>
  </si>
  <si>
    <t>в новосспасском</t>
  </si>
  <si>
    <t>подменный фонд ИТ-отдел 18.01.2022</t>
  </si>
  <si>
    <t xml:space="preserve">скрытный </t>
  </si>
  <si>
    <t>Новоспасское</t>
  </si>
  <si>
    <t>Саранск</t>
  </si>
  <si>
    <t>Москва подрядчик Галата</t>
  </si>
  <si>
    <t>Новоспасккое</t>
  </si>
  <si>
    <t>склад Ильсур на 31.03</t>
  </si>
  <si>
    <t>склад</t>
  </si>
  <si>
    <t>Установлен в подмену</t>
  </si>
  <si>
    <t>на складе, отложен под ВолгаТракс 2216</t>
  </si>
  <si>
    <t>В ИТ-отделе 08.02.2022</t>
  </si>
  <si>
    <t>на складе в 2022 г. янв</t>
  </si>
  <si>
    <t>20.12.2021 отправлен в Москву- Галат</t>
  </si>
  <si>
    <t>на складе, отложен под Авиаль 2216</t>
  </si>
  <si>
    <t>на складе 18.01.2021</t>
  </si>
  <si>
    <t>на складе, отложен под СКИК 2216</t>
  </si>
  <si>
    <t>Забрал Ильсур (19шт)</t>
  </si>
  <si>
    <t>Забрал Ильсур (12 шт)</t>
  </si>
  <si>
    <t>Забрал Ильсур (30шт)</t>
  </si>
  <si>
    <t>Забрал Ильсур (20шт)</t>
  </si>
  <si>
    <t>Забрал Ильсур (10шт)</t>
  </si>
  <si>
    <t>Забрал Ильсур (15 шт)</t>
  </si>
  <si>
    <t>Забрал Ильсур (8 шт)</t>
  </si>
  <si>
    <t>Забрал Ильсур (14 шт)</t>
  </si>
  <si>
    <t>Забрал Ильсур (7 шт)</t>
  </si>
  <si>
    <t>Готов</t>
  </si>
  <si>
    <t>Забрал Ильсур (10 шт)</t>
  </si>
  <si>
    <t>забрал Дима</t>
  </si>
  <si>
    <t>Забрал Ильсур (6 шт)</t>
  </si>
  <si>
    <t>Забрал Ильсур (4 шт)</t>
  </si>
  <si>
    <t>Забрал Ильсур (5 шт)</t>
  </si>
  <si>
    <t>передавался Тузову возврата нет?</t>
  </si>
  <si>
    <t>склад саранск</t>
  </si>
  <si>
    <t>14.05. установлен ип демкин(ермолаев)</t>
  </si>
  <si>
    <t>В  ВИАЛОНЕ ОТБИВАЕТСЯ В ОФИСЕ</t>
  </si>
  <si>
    <t>30.05трэк волжанка передан в самару</t>
  </si>
  <si>
    <t>14.06. установлен трэк волжанка (миронов)</t>
  </si>
  <si>
    <t>24.06 установлен трэк волжанка (жихарев)</t>
  </si>
  <si>
    <t>24.06. отправлено в саранск в запас</t>
  </si>
  <si>
    <t>волжанка 26.07 (овчинников)</t>
  </si>
  <si>
    <t>передан 26.07.19 Щербаков И.Н.по доверенности 546 ооо Уником</t>
  </si>
  <si>
    <t>аэрокомпозит</t>
  </si>
  <si>
    <t>ооо цильна 12.08(миронов)</t>
  </si>
  <si>
    <t>ип мавлютов 22.08.(егоров)</t>
  </si>
  <si>
    <t>передан в новоспасское 3.09</t>
  </si>
  <si>
    <t>передан в управление делами 4.09</t>
  </si>
  <si>
    <t>ип мавлютов 9.09</t>
  </si>
  <si>
    <t>ип портнов 25.09</t>
  </si>
  <si>
    <t>склад новосспаское</t>
  </si>
  <si>
    <t>сервер Автограф</t>
  </si>
  <si>
    <t>06.01 склад саранск</t>
  </si>
  <si>
    <t>ремонт у производителя</t>
  </si>
  <si>
    <t>склад база</t>
  </si>
  <si>
    <t>склад новосспасское</t>
  </si>
  <si>
    <t>06.01 склад база</t>
  </si>
  <si>
    <t>выдан Егоров на Алгран 30.12.19</t>
  </si>
  <si>
    <t>У Ботаенкова 01.02.22</t>
  </si>
  <si>
    <t>18.01.2022 у Ботаенкова</t>
  </si>
  <si>
    <t>Отправлен уст  Новоспасское</t>
  </si>
  <si>
    <t>заменили на 862531045539682. блок отправлен на ремонт.</t>
  </si>
  <si>
    <t>А</t>
  </si>
  <si>
    <t>SMART S-2333А</t>
  </si>
  <si>
    <t>ADM100</t>
  </si>
  <si>
    <t>ADM200</t>
  </si>
  <si>
    <t>Mielta M1</t>
  </si>
  <si>
    <t>SMART S-2333A</t>
  </si>
  <si>
    <t>Avtograph SL</t>
  </si>
  <si>
    <t>ITALON FLEX</t>
  </si>
  <si>
    <t>GALILEOSKY BASE BLOCK</t>
  </si>
  <si>
    <t>Galileosky 5</t>
  </si>
  <si>
    <t>SMART S-2430</t>
  </si>
  <si>
    <t>Smart s2333</t>
  </si>
  <si>
    <t xml:space="preserve"> Smart s2333</t>
  </si>
  <si>
    <t xml:space="preserve"> сигнал 2551</t>
  </si>
  <si>
    <t>smart s2333</t>
  </si>
  <si>
    <t xml:space="preserve"> smart s2333</t>
  </si>
  <si>
    <t>start smart-2433</t>
  </si>
  <si>
    <t xml:space="preserve"> smart s-2430</t>
  </si>
  <si>
    <t>smart s 2433</t>
  </si>
  <si>
    <t xml:space="preserve"> smart s2433</t>
  </si>
  <si>
    <t>smart s2430</t>
  </si>
  <si>
    <t xml:space="preserve"> smart s2430</t>
  </si>
  <si>
    <t xml:space="preserve"> smart s 2430</t>
  </si>
  <si>
    <t xml:space="preserve"> smart 2430</t>
  </si>
  <si>
    <t>smart 2433</t>
  </si>
  <si>
    <t xml:space="preserve"> smart 2433</t>
  </si>
  <si>
    <t>Galileosky Base Optimum</t>
  </si>
  <si>
    <t>Can-Way B10</t>
  </si>
  <si>
    <t>smart 2333</t>
  </si>
  <si>
    <t>сигнал 2551</t>
  </si>
  <si>
    <t>smart 2435</t>
  </si>
  <si>
    <t>smart 2422</t>
  </si>
  <si>
    <t>smart  2420</t>
  </si>
  <si>
    <t>smart s2422</t>
  </si>
  <si>
    <t>smart s2420</t>
  </si>
  <si>
    <t>автограф gsm+wi-fi</t>
  </si>
  <si>
    <t>smart 2420</t>
  </si>
  <si>
    <t>Galileo base block optim</t>
  </si>
  <si>
    <t>smart s 2422</t>
  </si>
  <si>
    <t>smart s2435</t>
  </si>
  <si>
    <t>сигнал s 2651</t>
  </si>
  <si>
    <t>Автограф Gsm+</t>
  </si>
  <si>
    <t>Gallieosky Base Block Lite</t>
  </si>
  <si>
    <t>смарт 2420</t>
  </si>
  <si>
    <t>смарт 2435</t>
  </si>
  <si>
    <t>Сигнал 2651</t>
  </si>
  <si>
    <t>Автограф GSM</t>
  </si>
  <si>
    <t>галилео 7.0 лайт</t>
  </si>
  <si>
    <t>Смарт 2422</t>
  </si>
  <si>
    <t>Cмарт 2420</t>
  </si>
  <si>
    <t>галилео 7.0</t>
  </si>
  <si>
    <t xml:space="preserve">cмарт 2420 </t>
  </si>
  <si>
    <t>cмарт 2420</t>
  </si>
  <si>
    <t>смарт2422</t>
  </si>
  <si>
    <t>БК Автограф GSM+</t>
  </si>
  <si>
    <t>галилео 7.0.</t>
  </si>
  <si>
    <t>галилео 7.0. лайт</t>
  </si>
  <si>
    <t>смарт2420</t>
  </si>
  <si>
    <t>адм 50</t>
  </si>
  <si>
    <t>автограф gsm sl</t>
  </si>
  <si>
    <t xml:space="preserve">Галилео 7.0. Лайт </t>
  </si>
  <si>
    <t xml:space="preserve">галилео 7.0. </t>
  </si>
  <si>
    <t>смарт 2433</t>
  </si>
  <si>
    <t>галилео 7.0 лайт (Прибор спутникового мониторинга GALILEOSKY ГЛОНАСС Lite v 7.0(IABF))</t>
  </si>
  <si>
    <t>cмарт  2423</t>
  </si>
  <si>
    <t>галилео 7х с ехт (внут. антенны)</t>
  </si>
  <si>
    <t>галилео 7х ехт (внут. антенны)</t>
  </si>
  <si>
    <t>сигнал 2653</t>
  </si>
  <si>
    <t>Прибор спутникового мониторинга GALILEOSKY  7x С ext (внешние антенны)</t>
  </si>
  <si>
    <t>эра глонасс(Fort -112eg-m)</t>
  </si>
  <si>
    <t>галилео 7х С внутр антенны аналог lite</t>
  </si>
  <si>
    <t>галилео 7х С внешние антенны</t>
  </si>
  <si>
    <t>Смарт S- 2421</t>
  </si>
  <si>
    <t>Смарт S- 2423</t>
  </si>
  <si>
    <t>смарт s-2423</t>
  </si>
  <si>
    <t>галилео 7хс ехт внешняя антенна</t>
  </si>
  <si>
    <t>галилео 7хс внешн</t>
  </si>
  <si>
    <t>Установили блок 862531045530624 такси сервис Газон NEXT О057ХК40 03.02.2022</t>
  </si>
  <si>
    <t>866795036224226 блок заменен ИП Легошин. ПЕРЕСОРТ, по согласованию с клиентом 25.1.2022     Shacman Н652ХС    Блок ГЕО Систем - Smart S-2422    866795037113469        Блок клиента - Smart S2435 866795036224226</t>
  </si>
  <si>
    <t>опечатка</t>
  </si>
  <si>
    <t>351 от 09.03.21</t>
  </si>
  <si>
    <t>отгружен 01/21</t>
  </si>
  <si>
    <t>на руках у Зимина на 12.04.21</t>
  </si>
  <si>
    <t>на руках Зимин на 12.04.21</t>
  </si>
  <si>
    <t>отгружен 02/21</t>
  </si>
  <si>
    <t>на руках Зимин на 31.03</t>
  </si>
  <si>
    <t>отгружен 25.02.21</t>
  </si>
  <si>
    <t>на 31.03.21 на руках у Ботаёнкова</t>
  </si>
  <si>
    <t>№245 от 11.03.21</t>
  </si>
  <si>
    <t>№18 от 20.01.2021</t>
  </si>
  <si>
    <t>№16 от 19.01.21</t>
  </si>
  <si>
    <t>№94 от 22.01.21</t>
  </si>
  <si>
    <t>№24 от 25.01.21</t>
  </si>
  <si>
    <t>№82 от 25.01.21</t>
  </si>
  <si>
    <t>№83 от 26.01.21</t>
  </si>
  <si>
    <t>№341 от 01.03.21</t>
  </si>
  <si>
    <t>№41 от 22.01.21</t>
  </si>
  <si>
    <t>№371 от 04.03.21</t>
  </si>
  <si>
    <t>на 31.03 на руках у Ботаёнкова</t>
  </si>
  <si>
    <t>№223 от 17.02.21</t>
  </si>
  <si>
    <t>№185</t>
  </si>
  <si>
    <t>№88</t>
  </si>
  <si>
    <t>отгружен 25.01.21</t>
  </si>
  <si>
    <t>установлен но не отгружен</t>
  </si>
  <si>
    <t xml:space="preserve">00БП-000104 от 08.02.21 </t>
  </si>
  <si>
    <t>неустановлен на 12.04.21</t>
  </si>
  <si>
    <t>отгружен 21.01.21</t>
  </si>
  <si>
    <t>отгружен 27.01.21</t>
  </si>
  <si>
    <t>00БП-000168 от 17.02.21</t>
  </si>
  <si>
    <t>отгружен 08.02.21</t>
  </si>
  <si>
    <t>№96 от 29.01.21</t>
  </si>
  <si>
    <t>№118 от 01.02.21</t>
  </si>
  <si>
    <t>№43 от 28.01.21</t>
  </si>
  <si>
    <t>№64 от 27.01.21</t>
  </si>
  <si>
    <t>№226 от 10.03.21</t>
  </si>
  <si>
    <t>№12 от 08.02.21</t>
  </si>
  <si>
    <t>№224 от 12.03.21</t>
  </si>
  <si>
    <t>№197 от 05.02.21</t>
  </si>
  <si>
    <t>№99 от 03.02.21</t>
  </si>
  <si>
    <t>№165 от 16.02.21</t>
  </si>
  <si>
    <t>№194 от 02.02.21</t>
  </si>
  <si>
    <t>№191 от 26.02.21</t>
  </si>
  <si>
    <t>на 31.03.21 на руках Зимин</t>
  </si>
  <si>
    <t>№188 от 25.02.21</t>
  </si>
  <si>
    <t>№202 от 16.02.21</t>
  </si>
  <si>
    <t>№113 от 11.02.21</t>
  </si>
  <si>
    <t>№93 от 02.02.21</t>
  </si>
  <si>
    <t>№333 от 16.03.21</t>
  </si>
  <si>
    <t>00БП-000090  от 01.02.21</t>
  </si>
  <si>
    <t>отгружен 15.01.21</t>
  </si>
  <si>
    <t>отгружен 11.02.21</t>
  </si>
  <si>
    <t>установлен, но отгружен</t>
  </si>
  <si>
    <t>00БП-000186 от 16.02.21</t>
  </si>
  <si>
    <t>отгружен 04.02.21</t>
  </si>
  <si>
    <t>00БП-000221 от 15.03.21</t>
  </si>
  <si>
    <t>№210 от 26.02.21</t>
  </si>
  <si>
    <t>№157 от 15.02.21</t>
  </si>
  <si>
    <t>№198 от 17.02.21</t>
  </si>
  <si>
    <t>№163 от 16.02.21</t>
  </si>
  <si>
    <t>№123 от 12.02.21</t>
  </si>
  <si>
    <t>№114 от 09.02.21</t>
  </si>
  <si>
    <t>№124 от 12.02.21</t>
  </si>
  <si>
    <t>№211 от 05.03.21</t>
  </si>
  <si>
    <t>№109 от 09.02.21</t>
  </si>
  <si>
    <t>00БП-000172 от  19.02.21</t>
  </si>
  <si>
    <t>№370 от 15.02.21</t>
  </si>
  <si>
    <t>00БП-000206 от 03.03.21</t>
  </si>
  <si>
    <t>00БП-000187 от 25.02.21</t>
  </si>
  <si>
    <t>00БП-000203 от 18.02.21</t>
  </si>
  <si>
    <t>№273 от 22.03.21</t>
  </si>
  <si>
    <t>№352 от 25.03.21</t>
  </si>
  <si>
    <t>№276 от 26.03.21</t>
  </si>
  <si>
    <t>№244 от 18.03.21</t>
  </si>
  <si>
    <t>№245 от 19.03.21</t>
  </si>
  <si>
    <t>на 31.03 на руках у Зимин</t>
  </si>
  <si>
    <t>№268 от 24.03.21</t>
  </si>
  <si>
    <t>№357 от 24.03.21</t>
  </si>
  <si>
    <t>№216 от 11.03.21</t>
  </si>
  <si>
    <t>неотгружен, долго делали ТС!!!</t>
  </si>
  <si>
    <t>№217 от 11.03.21</t>
  </si>
  <si>
    <t>№220 от 12.03.21</t>
  </si>
  <si>
    <t>№350 от 19.03.21</t>
  </si>
  <si>
    <t>№241 от 17.03.21</t>
  </si>
  <si>
    <t>№264 от 24.03.21</t>
  </si>
  <si>
    <t>00БП-000255 от 23.03.21</t>
  </si>
  <si>
    <t>00БП-000265 от 24.03.21</t>
  </si>
  <si>
    <t>00БП-000222 от 15.03.21</t>
  </si>
  <si>
    <t>00БП-000246 от 19.03.21</t>
  </si>
  <si>
    <t>00БП-000285 от 30.03.21</t>
  </si>
  <si>
    <t>№287</t>
  </si>
  <si>
    <t>№379</t>
  </si>
  <si>
    <t>№319 от 29.03.21</t>
  </si>
  <si>
    <t>№318 от 30.03.21</t>
  </si>
  <si>
    <t>№336 от 31.03.21</t>
  </si>
  <si>
    <t>№325 от 26.03.21</t>
  </si>
  <si>
    <t>№342 от 26.03.21</t>
  </si>
  <si>
    <t>№289 от 31.03.21</t>
  </si>
  <si>
    <t>№385</t>
  </si>
  <si>
    <t>№781</t>
  </si>
  <si>
    <t>№944</t>
  </si>
  <si>
    <t>№649</t>
  </si>
  <si>
    <t>№464</t>
  </si>
  <si>
    <t>№595</t>
  </si>
  <si>
    <t>№571</t>
  </si>
  <si>
    <t>№389</t>
  </si>
  <si>
    <t>№468</t>
  </si>
  <si>
    <t>№906</t>
  </si>
  <si>
    <t>№976</t>
  </si>
  <si>
    <t>списан</t>
  </si>
  <si>
    <t>№200 от 24.02.2022</t>
  </si>
  <si>
    <t>№137 от 03.02.2022</t>
  </si>
  <si>
    <t>№1486</t>
  </si>
  <si>
    <t>№1150</t>
  </si>
  <si>
    <t>№169 от 15.02.2022</t>
  </si>
  <si>
    <t>№1451 от 05.11.2022</t>
  </si>
  <si>
    <t>№1502 от 20.11.2022</t>
  </si>
  <si>
    <t>№150 от 07.02.2022</t>
  </si>
  <si>
    <t>№12</t>
  </si>
  <si>
    <t>№1425</t>
  </si>
  <si>
    <t>№1779</t>
  </si>
  <si>
    <t>№115 от 01.03.2022</t>
  </si>
  <si>
    <t>№132 от 27.01.2022</t>
  </si>
  <si>
    <t>№1286 от 25.10.2021</t>
  </si>
  <si>
    <t>№1653</t>
  </si>
  <si>
    <t>№1438</t>
  </si>
  <si>
    <t>№1439</t>
  </si>
  <si>
    <t>№1696</t>
  </si>
  <si>
    <t>№1440</t>
  </si>
  <si>
    <t>№1739 от 21.12.21</t>
  </si>
  <si>
    <t>№1664 от 13.12.21</t>
  </si>
  <si>
    <t>№1626 от 13.12.21</t>
  </si>
  <si>
    <t>№1660 от 16.12.21</t>
  </si>
  <si>
    <t>№1666 от 20.12.21</t>
  </si>
  <si>
    <t>№37 от 13.01.21</t>
  </si>
  <si>
    <t>№1768 от 28.12.21</t>
  </si>
  <si>
    <t>№3 от 10.01.21</t>
  </si>
  <si>
    <t>№1652 от 21.12.21</t>
  </si>
  <si>
    <t>36 от 12.01.22</t>
  </si>
  <si>
    <t>№35 от 14.01.22</t>
  </si>
  <si>
    <t>№1771 от 29.12.21</t>
  </si>
  <si>
    <t>№1653 от 21.12.21</t>
  </si>
  <si>
    <t>№22 от 18.01.22</t>
  </si>
  <si>
    <t>№1755 от 27.12.21</t>
  </si>
  <si>
    <t>№1737 от 22.12.21</t>
  </si>
  <si>
    <t>№113 от 31.01.22</t>
  </si>
  <si>
    <t>№139 от 20.01.22</t>
  </si>
  <si>
    <t>№1756 от 28.12.21</t>
  </si>
  <si>
    <t>№45 от 24.01.22</t>
  </si>
  <si>
    <t>№102 от 13.01.22</t>
  </si>
  <si>
    <t>№1774 от 30.12.21</t>
  </si>
  <si>
    <t>№1602 от 07.12.21</t>
  </si>
  <si>
    <t>№1654 от 21.12.21</t>
  </si>
  <si>
    <t>№27 от 19.01.2022</t>
  </si>
  <si>
    <t>№23 от 18.01.2022</t>
  </si>
  <si>
    <t>№10 от 13.01.2022</t>
  </si>
  <si>
    <t>№41 от 23.01.2022</t>
  </si>
  <si>
    <t>№29 от 19.01.2022</t>
  </si>
  <si>
    <t>№43 от 21.01.2022</t>
  </si>
  <si>
    <t>№123 от 27.01.2022</t>
  </si>
  <si>
    <t>№1716</t>
  </si>
  <si>
    <t>№1695</t>
  </si>
  <si>
    <t>№295 от 10.03.2022</t>
  </si>
  <si>
    <t>%№312 от 03.03.2022</t>
  </si>
  <si>
    <t>№277 от 04.03.2022</t>
  </si>
  <si>
    <t>№310 от 09.03.2022</t>
  </si>
  <si>
    <t>№316 от 22.03.2022</t>
  </si>
  <si>
    <t>Ильсур увез в ремонт</t>
  </si>
  <si>
    <t>Газель В 393 РЕ Ушаков П.В.</t>
  </si>
  <si>
    <t>новая GPS антенны для ADM 200</t>
  </si>
  <si>
    <t>Газель В 395 РЕ Савочкин Ю.В.</t>
  </si>
  <si>
    <t>Газель К 194 ЕТ Павлов А.А.</t>
  </si>
  <si>
    <t>Валдай А 727 ТК Имамов Р.Н.</t>
  </si>
  <si>
    <t>Хендай Е 041 СН Подгороднов Н.Г.</t>
  </si>
  <si>
    <t>Хендай Е 034 СН Каюмов М.Г.</t>
  </si>
  <si>
    <t>Хендай Е 837 СМ Панюшев В.М.</t>
  </si>
  <si>
    <t>Газель К 121 ЕТ Коргутлов Ю.А.</t>
  </si>
  <si>
    <t>Газель Е 017 ОА Панюшев А.В.</t>
  </si>
  <si>
    <t>Газон В 263 ОМ Гатауллов Н.Х.</t>
  </si>
  <si>
    <t>Газель О 744 АЕ Алтынбаев Н.З.</t>
  </si>
  <si>
    <t>Газель О 704 АЕ Колесников Н.И.</t>
  </si>
  <si>
    <t>Брак, заменены на желтые</t>
  </si>
  <si>
    <t>Алексей</t>
  </si>
  <si>
    <t>М</t>
  </si>
  <si>
    <t>Максим</t>
  </si>
  <si>
    <t>Александр</t>
  </si>
  <si>
    <t>вынул из трекера у Стаса</t>
  </si>
  <si>
    <t>заменили на 9372768612</t>
  </si>
  <si>
    <t>В офисе очень долго подлавливает спутники</t>
  </si>
  <si>
    <t>М 687 УК 777</t>
  </si>
  <si>
    <t>Буинский СЗ</t>
  </si>
  <si>
    <t>В Wialon не добавлен</t>
  </si>
  <si>
    <t>-</t>
  </si>
  <si>
    <t>Камаз Р 111 ЕВ</t>
  </si>
  <si>
    <t>КАМАЗ М215РВ43</t>
  </si>
  <si>
    <t>Чумакин А.Ю.</t>
  </si>
  <si>
    <t>МАЗ А 191 ХА</t>
  </si>
  <si>
    <t>Едифанов</t>
  </si>
  <si>
    <t>Ford А 637 ОР 750</t>
  </si>
  <si>
    <t>Газ е432нр Авхат</t>
  </si>
  <si>
    <t>Хайруллов</t>
  </si>
  <si>
    <t>Газ е431нр Ильяс</t>
  </si>
  <si>
    <t>ГАЗ Е 566 ХР</t>
  </si>
  <si>
    <t>ЭКОВОЛГА</t>
  </si>
  <si>
    <t>Газ а060хт Рома</t>
  </si>
  <si>
    <t>КАМАЗ К 246 ТР</t>
  </si>
  <si>
    <t>ИП Понетайкин</t>
  </si>
  <si>
    <t>Маз Е 273 МУ</t>
  </si>
  <si>
    <t>ООО Сапфир</t>
  </si>
  <si>
    <t>Камаз К 332 ТР</t>
  </si>
  <si>
    <t>IVECO Е 391 ЕА</t>
  </si>
  <si>
    <t>Сапфир</t>
  </si>
  <si>
    <t>ГАЗ Е895ТХ73</t>
  </si>
  <si>
    <t>ЖЭУ №1</t>
  </si>
  <si>
    <t>МАЗ О 444 АУ</t>
  </si>
  <si>
    <t>Камаз К 926 НР</t>
  </si>
  <si>
    <t>Мир комфорта плюс</t>
  </si>
  <si>
    <t>Камаз К 946 НР</t>
  </si>
  <si>
    <t>А 902 КЕ (ГАЗон)</t>
  </si>
  <si>
    <t>Инза Сервис</t>
  </si>
  <si>
    <t>ГАЗон К138НН73</t>
  </si>
  <si>
    <t>ТРЭК ООО</t>
  </si>
  <si>
    <t>КАМАЗ К 740 НУ</t>
  </si>
  <si>
    <t>АБС ГРУПП УЛ</t>
  </si>
  <si>
    <t>Грейдер 7948 УС</t>
  </si>
  <si>
    <t>МБУ Инза</t>
  </si>
  <si>
    <t>Грейдер 9103 УМ</t>
  </si>
  <si>
    <t>ХТЗ 0276 УХ</t>
  </si>
  <si>
    <t>Камаз К 714 НА</t>
  </si>
  <si>
    <t>899ц</t>
  </si>
  <si>
    <t>ГермесТранс</t>
  </si>
  <si>
    <t>Камаз К 201 РН</t>
  </si>
  <si>
    <t>Мерседес В 217 КО</t>
  </si>
  <si>
    <t>Исайкин Сергей</t>
  </si>
  <si>
    <t>Камаз К 093 НХ</t>
  </si>
  <si>
    <t>IVECO Н 427 РУ</t>
  </si>
  <si>
    <t>ИП Иевлев</t>
  </si>
  <si>
    <t>БАРС б/н</t>
  </si>
  <si>
    <t>Абушаев</t>
  </si>
  <si>
    <t>ГАЗ У 322 ВС</t>
  </si>
  <si>
    <t>ГСХ Димитровград</t>
  </si>
  <si>
    <t>КАМАЗ А 424 ЕУ</t>
  </si>
  <si>
    <t>ТУМАН2 3138 МУ77</t>
  </si>
  <si>
    <t>ГАЗ Е 610 ВУ</t>
  </si>
  <si>
    <t>largus С 713 ХС</t>
  </si>
  <si>
    <t>Кар-групп</t>
  </si>
  <si>
    <t>ГАЗель К 744 НХ</t>
  </si>
  <si>
    <t>ИП Кочегарова</t>
  </si>
  <si>
    <t>Scania Е 083 СМ</t>
  </si>
  <si>
    <t>Авто-транс73</t>
  </si>
  <si>
    <t>?</t>
  </si>
  <si>
    <t>К 290 РЕ (ГАЗель)</t>
  </si>
  <si>
    <t>Юриков</t>
  </si>
  <si>
    <t>МТЗ 3292 УС</t>
  </si>
  <si>
    <t>Газель О 704 АЕ</t>
  </si>
  <si>
    <t>Инженерный</t>
  </si>
  <si>
    <t>Лада Ларгус С 786 ХС 102</t>
  </si>
  <si>
    <t>МТЗ 7946 УС</t>
  </si>
  <si>
    <t>Лада Ларгус Р 279 УР 72</t>
  </si>
  <si>
    <t>МТЗ 7947 УС</t>
  </si>
  <si>
    <t>Volkswagen В 305 КА 73</t>
  </si>
  <si>
    <t>Такса ООО</t>
  </si>
  <si>
    <t>Х 540 ЕА(Mitsubishi)</t>
  </si>
  <si>
    <t>Федосеев</t>
  </si>
  <si>
    <t>Лада Ларгус В 694 УТ 178</t>
  </si>
  <si>
    <t>Газель К 366 РВ</t>
  </si>
  <si>
    <t>Агромирсервис</t>
  </si>
  <si>
    <t>К 118 РН (LC 200)</t>
  </si>
  <si>
    <t>ИП Попредкин</t>
  </si>
  <si>
    <t>Валдай К 361 РВ</t>
  </si>
  <si>
    <t>ИП Синаев</t>
  </si>
  <si>
    <t>Peugeot К 644 ЕУ</t>
  </si>
  <si>
    <t>Радуга1</t>
  </si>
  <si>
    <t>IVECO С 128 АН</t>
  </si>
  <si>
    <t>2135 УХ</t>
  </si>
  <si>
    <t>Сантерра-Агро</t>
  </si>
  <si>
    <t>ГАЗ В 885 НВ</t>
  </si>
  <si>
    <t>Тереньгульское АТП</t>
  </si>
  <si>
    <t>Hyundai К 098 УВ</t>
  </si>
  <si>
    <t>ИП Артюхин</t>
  </si>
  <si>
    <t>А 355 ХН</t>
  </si>
  <si>
    <t>Гелла</t>
  </si>
  <si>
    <t>Scania Х 923 АР</t>
  </si>
  <si>
    <t>John Deere 2143 УО</t>
  </si>
  <si>
    <t>ООО 8марта</t>
  </si>
  <si>
    <t>Iveco Е 115 СС</t>
  </si>
  <si>
    <t>ГАЗ Е 229 МУ</t>
  </si>
  <si>
    <t>Скик</t>
  </si>
  <si>
    <t>Камаз К 930 ОС</t>
  </si>
  <si>
    <t>ИП Дырин</t>
  </si>
  <si>
    <t>Scania К 021 ЕХ</t>
  </si>
  <si>
    <t>ГАЗель next К 490 РА</t>
  </si>
  <si>
    <t>ООО Дельфин Групп</t>
  </si>
  <si>
    <t>Scania К 023 РА</t>
  </si>
  <si>
    <t>Дмитрий Трофимов</t>
  </si>
  <si>
    <t>John Deere 1512 УС</t>
  </si>
  <si>
    <t>FENDT 9169 MK</t>
  </si>
  <si>
    <t>к-700 7321 УМ</t>
  </si>
  <si>
    <t>Агро-дело</t>
  </si>
  <si>
    <t>ГАЗ Е 107 ЕК</t>
  </si>
  <si>
    <t>Камаз К 452 НХ</t>
  </si>
  <si>
    <t>ООО Закрома</t>
  </si>
  <si>
    <t>Кировец б/н</t>
  </si>
  <si>
    <t>Салюкин</t>
  </si>
  <si>
    <t>К700 7320 УМ</t>
  </si>
  <si>
    <t>К700 7322 УМ</t>
  </si>
  <si>
    <t>КАМАЗ Р 410 АР</t>
  </si>
  <si>
    <t>Агроинвест плюс</t>
  </si>
  <si>
    <t>МСЦ 544 2751 УХ</t>
  </si>
  <si>
    <t>Стройрем</t>
  </si>
  <si>
    <t>КАМАЗ Х 263 АО</t>
  </si>
  <si>
    <t>Iveco Е 264 ТЕ</t>
  </si>
  <si>
    <t>КАМАЗ К 444 НХ</t>
  </si>
  <si>
    <t>Кировец</t>
  </si>
  <si>
    <t>ИПСардаев</t>
  </si>
  <si>
    <t>МАЗ К 644 РК</t>
  </si>
  <si>
    <t>Лазурное</t>
  </si>
  <si>
    <t>Бульдозер komatsu 1</t>
  </si>
  <si>
    <t>КАМАЗ К 193 РЕ</t>
  </si>
  <si>
    <t>Транзит73</t>
  </si>
  <si>
    <t>HOWO К 311 ТУ</t>
  </si>
  <si>
    <t>У 181 ВО (DAF)</t>
  </si>
  <si>
    <t>Посеряев</t>
  </si>
  <si>
    <t>МАЗ А 334 РН</t>
  </si>
  <si>
    <t>Анчиков</t>
  </si>
  <si>
    <t>В 989 ЕХ</t>
  </si>
  <si>
    <t>СМК73</t>
  </si>
  <si>
    <t>ПАЗ К 705 НХ</t>
  </si>
  <si>
    <t>Renault А 908 ТР</t>
  </si>
  <si>
    <t>АРС ООО</t>
  </si>
  <si>
    <t>КАМАЗ К 706 ТХ</t>
  </si>
  <si>
    <t>Е 406 МО (Hyundai)</t>
  </si>
  <si>
    <t>Новмолдом</t>
  </si>
  <si>
    <t>Соболь К 118 ЕК</t>
  </si>
  <si>
    <t>Агроресурс</t>
  </si>
  <si>
    <t>КАМАЗ А 825 ВМ</t>
  </si>
  <si>
    <t>Газель К 160 НР</t>
  </si>
  <si>
    <t>ИП Антонов И</t>
  </si>
  <si>
    <t>Howo К 211 ТУ</t>
  </si>
  <si>
    <t>КАМАЗ В 515 МУ</t>
  </si>
  <si>
    <t>DAF О 424 РВ</t>
  </si>
  <si>
    <t>SCANIA К 981 КХ</t>
  </si>
  <si>
    <t>Бульдозер Komatsu2</t>
  </si>
  <si>
    <t>ООО Мика Мотор</t>
  </si>
  <si>
    <t>ЛиАЗ А474ЕУ73</t>
  </si>
  <si>
    <t>DAF А 144 КХ</t>
  </si>
  <si>
    <t>ИП Овчинников</t>
  </si>
  <si>
    <t>Экскаватор 0224УА</t>
  </si>
  <si>
    <t>Гортепло</t>
  </si>
  <si>
    <t>ЗИЛ С 176 ОН</t>
  </si>
  <si>
    <t>ЗИЛ Р 672 ВН</t>
  </si>
  <si>
    <t>DAF 658</t>
  </si>
  <si>
    <t>ЗИЛ К 842 ЕС</t>
  </si>
  <si>
    <t>КАМАЗ С 972 УЕ</t>
  </si>
  <si>
    <t>SKANIA К 042 РА</t>
  </si>
  <si>
    <t>ГАЗон NEXT К 186 СР</t>
  </si>
  <si>
    <t>Демкин</t>
  </si>
  <si>
    <t>ГАЗон Некст К079СР750</t>
  </si>
  <si>
    <t>ИП Демкин</t>
  </si>
  <si>
    <t>Largus К 370 АР</t>
  </si>
  <si>
    <t>КАМАЗ Х 986 МК</t>
  </si>
  <si>
    <t>Хакимова</t>
  </si>
  <si>
    <t>Skania А 145 ТА</t>
  </si>
  <si>
    <t>Меридиан</t>
  </si>
  <si>
    <t>Экскаватор 2629 УС</t>
  </si>
  <si>
    <t>МАЗ-921</t>
  </si>
  <si>
    <t>ГАЗель К 963 КУ</t>
  </si>
  <si>
    <t>ГАЗон Next К 154 СЕ</t>
  </si>
  <si>
    <t>Е 398 ЕА (МАЗ) (340)</t>
  </si>
  <si>
    <t>Largus К 702 ОЕ</t>
  </si>
  <si>
    <t>Largus У 457 УУ</t>
  </si>
  <si>
    <t>Камаз Е 971 ХО</t>
  </si>
  <si>
    <t>MST бн</t>
  </si>
  <si>
    <t>Камаз Х 445 АО</t>
  </si>
  <si>
    <t>Камаз kamatsu 2064 УХ</t>
  </si>
  <si>
    <t>Peugeot Е 897 СХ</t>
  </si>
  <si>
    <t>Камаз Е 425 ХХ</t>
  </si>
  <si>
    <t>Volkswagen К 017 РА</t>
  </si>
  <si>
    <t>ИП Скрипичников</t>
  </si>
  <si>
    <t>!_2433_Pass_Test</t>
  </si>
  <si>
    <t>support_2</t>
  </si>
  <si>
    <t>Nissan Almera К 980 НУ</t>
  </si>
  <si>
    <t>Nissan Almera Е 232 СХ</t>
  </si>
  <si>
    <t>Nissan К 781 КН</t>
  </si>
  <si>
    <t>ГАЗон Next Е 310 ХН</t>
  </si>
  <si>
    <t>МТЗ 2861 УХ</t>
  </si>
  <si>
    <t>Матянин</t>
  </si>
  <si>
    <t>ВАЗ 2115 К 921 РК</t>
  </si>
  <si>
    <t>Карат</t>
  </si>
  <si>
    <t>МТЗ 0283 УХ</t>
  </si>
  <si>
    <t>Nissan Almera К 299 ЕР</t>
  </si>
  <si>
    <t>УАЗ Е 054 ХН</t>
  </si>
  <si>
    <t>Nissan Almera К 882 НУ</t>
  </si>
  <si>
    <t>ВАЗ О 959 КВ</t>
  </si>
  <si>
    <t>Volkswagen Polo А 471 РВ</t>
  </si>
  <si>
    <t>Isuzu К 513 РО</t>
  </si>
  <si>
    <t>ОООНИКА</t>
  </si>
  <si>
    <t>Scania А 401 МС</t>
  </si>
  <si>
    <t>Валитов</t>
  </si>
  <si>
    <t>УАЗ Е 513 СН</t>
  </si>
  <si>
    <t>ООО УПРЗ</t>
  </si>
  <si>
    <t>Ford Transit К 136 УА</t>
  </si>
  <si>
    <t>В 646 ТК (МАЗ)</t>
  </si>
  <si>
    <t>DAF К 612 НМ</t>
  </si>
  <si>
    <t>ИП Меньшов</t>
  </si>
  <si>
    <t>299ц</t>
  </si>
  <si>
    <t>306ц</t>
  </si>
  <si>
    <t>Камаз А 511 АА</t>
  </si>
  <si>
    <t>СпецСтройТехника</t>
  </si>
  <si>
    <t>УАЗ Х 626 ОВ</t>
  </si>
  <si>
    <t>ГАЗель Т 470 ТУ</t>
  </si>
  <si>
    <t>Ford Transit К 157 УА</t>
  </si>
  <si>
    <t>АН 2926</t>
  </si>
  <si>
    <t>Тепличное</t>
  </si>
  <si>
    <t>Соболь Т 962 АТ</t>
  </si>
  <si>
    <t>Лада 2104 Т 547 ЕН</t>
  </si>
  <si>
    <t>восемь</t>
  </si>
  <si>
    <t>Агроинвест+</t>
  </si>
  <si>
    <t>Toyota Е 850 СЕ</t>
  </si>
  <si>
    <t>Торговый-Дом</t>
  </si>
  <si>
    <t>Granta Е 783 СЕ</t>
  </si>
  <si>
    <t>Solaris К 363 НА</t>
  </si>
  <si>
    <t>ВАЗ-ВИС В 435 НК</t>
  </si>
  <si>
    <t>Хлебпром Димитровград</t>
  </si>
  <si>
    <t>Mercedes Е 193 ТР</t>
  </si>
  <si>
    <t>Карпушкин</t>
  </si>
  <si>
    <t>ГАЗон Т 703 ЕЕ</t>
  </si>
  <si>
    <t>Торговый-Дом, Прод Зерно</t>
  </si>
  <si>
    <t>МТЗ 3339 УМ</t>
  </si>
  <si>
    <t>ГАЗон О 413 ОМ</t>
  </si>
  <si>
    <t>Камаз М 148 ЕН</t>
  </si>
  <si>
    <t>Строй Актив</t>
  </si>
  <si>
    <t>578ф</t>
  </si>
  <si>
    <t>DAF-374</t>
  </si>
  <si>
    <t>КАМАЗ В 514 МЕ</t>
  </si>
  <si>
    <t>mupcherdakli</t>
  </si>
  <si>
    <t>УАЗ В 949 МТ</t>
  </si>
  <si>
    <t>Volvo Е 812 МХ</t>
  </si>
  <si>
    <t>Романов ИП</t>
  </si>
  <si>
    <t>9588 УС 73</t>
  </si>
  <si>
    <t>291ц</t>
  </si>
  <si>
    <t>Газель В 339 УР</t>
  </si>
  <si>
    <t>Взлет</t>
  </si>
  <si>
    <t>КАМАЗ Е 126 НВ</t>
  </si>
  <si>
    <t>ГАЗ Х 044 ВМ</t>
  </si>
  <si>
    <t>ИП Соловьева</t>
  </si>
  <si>
    <t>МТЗ 6226 УС</t>
  </si>
  <si>
    <t>МРСК Новоспасск</t>
  </si>
  <si>
    <t>ЗИЛ А 313 ВМ</t>
  </si>
  <si>
    <t>КАМАЗ К 639 РУ</t>
  </si>
  <si>
    <t>КАМАЗ Х 382 АУ</t>
  </si>
  <si>
    <t>КАМАЗ Е 384 КС</t>
  </si>
  <si>
    <t>Амкадор 4804 УС</t>
  </si>
  <si>
    <t>DAF-365</t>
  </si>
  <si>
    <t>ПАЗ Н 994 ХО</t>
  </si>
  <si>
    <t>Сенгилеевское АТП</t>
  </si>
  <si>
    <t>пять</t>
  </si>
  <si>
    <t>семь</t>
  </si>
  <si>
    <t>десять</t>
  </si>
  <si>
    <t>четыре</t>
  </si>
  <si>
    <t>один</t>
  </si>
  <si>
    <t>шесть</t>
  </si>
  <si>
    <t>дваа</t>
  </si>
  <si>
    <t>девять</t>
  </si>
  <si>
    <t>трии</t>
  </si>
  <si>
    <t>КАМАЗ К 406 КМ</t>
  </si>
  <si>
    <t>ФКП СМЗ</t>
  </si>
  <si>
    <t>Погрузчик (ИП Дырин)</t>
  </si>
  <si>
    <t>ПАЗ К 867 ЕА</t>
  </si>
  <si>
    <t>ПАЗ М 204 ЕА</t>
  </si>
  <si>
    <t>ПАЗ Н 990 ХО</t>
  </si>
  <si>
    <t>ПАЗ АУ 284</t>
  </si>
  <si>
    <t>КВЗ Р 962 ЕВ</t>
  </si>
  <si>
    <t>ПАЗ АР 365</t>
  </si>
  <si>
    <t>Reno Logan К 341 УВ</t>
  </si>
  <si>
    <t>ПАЗ Р 963 ЕВ</t>
  </si>
  <si>
    <t>ПАЗ Н 092 ТТ</t>
  </si>
  <si>
    <t>ПАЗ Н 091ТТ</t>
  </si>
  <si>
    <t>ПАЗ АР 364</t>
  </si>
  <si>
    <t>ПАЗ Р 972 ЕВ</t>
  </si>
  <si>
    <t>ПАЗ В 527 МУ</t>
  </si>
  <si>
    <t>Газель А 434 РО</t>
  </si>
  <si>
    <t>ЗПСС</t>
  </si>
  <si>
    <t>Газель А 010 ЕЕ</t>
  </si>
  <si>
    <t>Т 887 ЕМ (Pegeot)</t>
  </si>
  <si>
    <t>Мидаус</t>
  </si>
  <si>
    <t>ГАЗон С 727 РК</t>
  </si>
  <si>
    <t>ГАЗель В 154 ЕУ</t>
  </si>
  <si>
    <t>М 262 ОТ (Hyndai Getz)</t>
  </si>
  <si>
    <t>УАЗ Т 030 АН</t>
  </si>
  <si>
    <t>Хлебпром 2</t>
  </si>
  <si>
    <t>Higer Е 819 ХТ</t>
  </si>
  <si>
    <t>ТурЦентр</t>
  </si>
  <si>
    <t>1 Land Cruiser 200 Е 097 НА</t>
  </si>
  <si>
    <t>Хлебпром управление</t>
  </si>
  <si>
    <t>Камаз Е 886 МС</t>
  </si>
  <si>
    <t>Acros 2129 УХ</t>
  </si>
  <si>
    <t>ГАЗель М 962 УК 750</t>
  </si>
  <si>
    <t>Владорс</t>
  </si>
  <si>
    <t>7171ус73</t>
  </si>
  <si>
    <t>КФХ Абрамов</t>
  </si>
  <si>
    <t>Acros 2168 УХ</t>
  </si>
  <si>
    <t>Volvo У 318 СЕ</t>
  </si>
  <si>
    <t>ДорАнгелы</t>
  </si>
  <si>
    <t>КАМАЗ К 030 РУ</t>
  </si>
  <si>
    <t>Интертехстрой</t>
  </si>
  <si>
    <t>DAF К 267 КО</t>
  </si>
  <si>
    <t>ИП Гусенкова</t>
  </si>
  <si>
    <t>КАМАЗ М 864 СУ</t>
  </si>
  <si>
    <t>Низамеев</t>
  </si>
  <si>
    <t>070ц</t>
  </si>
  <si>
    <t>ГАЗ К 400 РТ</t>
  </si>
  <si>
    <t>Калитов</t>
  </si>
  <si>
    <t>DAF С 296 ОВ</t>
  </si>
  <si>
    <t>Юнит Транс</t>
  </si>
  <si>
    <t>МАЗ К 152 УВ</t>
  </si>
  <si>
    <t>Урал-кран М 044 ТМ</t>
  </si>
  <si>
    <t>ГАЗель К 443 РК</t>
  </si>
  <si>
    <t>Scania К 041 РВ 73</t>
  </si>
  <si>
    <t>СВ-ЛИГА</t>
  </si>
  <si>
    <t>Газель К 947 РН</t>
  </si>
  <si>
    <t>МАЗ Е 168 ОМ</t>
  </si>
  <si>
    <t>КАМАЗ К 076 ТА</t>
  </si>
  <si>
    <t>Т 150 6034 УЕ 73</t>
  </si>
  <si>
    <t>КФХ Волынщиков</t>
  </si>
  <si>
    <t>MAN K 760 PX 73</t>
  </si>
  <si>
    <t>Автоэксперт73</t>
  </si>
  <si>
    <t>Mercedes В 856 ТХ</t>
  </si>
  <si>
    <t>4412 УС (Четра Т-11)</t>
  </si>
  <si>
    <t>Силикат</t>
  </si>
  <si>
    <t>КАМАЗ В 340 ВВ</t>
  </si>
  <si>
    <t>Евроизол</t>
  </si>
  <si>
    <t>Komatsu б/н</t>
  </si>
  <si>
    <t>КАМАЗ Р 136 ВН</t>
  </si>
  <si>
    <t>ПАЗ К 002 СА</t>
  </si>
  <si>
    <t>КАМАЗ К 010 КВ</t>
  </si>
  <si>
    <t>HYUNDAI С 498 СА</t>
  </si>
  <si>
    <t>ИП Калачин</t>
  </si>
  <si>
    <t>Заведен в Wialon как 869286036925910</t>
  </si>
  <si>
    <t>Ни к кому не привязан</t>
  </si>
  <si>
    <t>Ford Galaxy В 857 РН</t>
  </si>
  <si>
    <t>Аэрокомпозит</t>
  </si>
  <si>
    <t>Toyota А 283 АА</t>
  </si>
  <si>
    <t>Заведен в Wialon как 869286036928567</t>
  </si>
  <si>
    <t>Ford В 687 РК</t>
  </si>
  <si>
    <t>JAC К 595 СА</t>
  </si>
  <si>
    <t>JCB 3243 УХ</t>
  </si>
  <si>
    <t>Еврострой73</t>
  </si>
  <si>
    <t>VOLVO  Н 177 ВН</t>
  </si>
  <si>
    <t>КАМАЗ А 066 ВО</t>
  </si>
  <si>
    <t>Wirtgen 6234 СР</t>
  </si>
  <si>
    <t>ДРСУ-ИНЗА</t>
  </si>
  <si>
    <t>А 425 ТО (ГАЗель)</t>
  </si>
  <si>
    <t>Валерий</t>
  </si>
  <si>
    <t>289ц</t>
  </si>
  <si>
    <t>Scania К 812 СА</t>
  </si>
  <si>
    <t>Погрузчик World 1097 УХ</t>
  </si>
  <si>
    <t>ЗИЛ Е 382 КС</t>
  </si>
  <si>
    <t>ГАЗель А 370 ТМ</t>
  </si>
  <si>
    <t>Хребтов</t>
  </si>
  <si>
    <t>ГАЗель Е 310 НН</t>
  </si>
  <si>
    <t>ГАЗ К 511 СА</t>
  </si>
  <si>
    <t>АРМ Групп</t>
  </si>
  <si>
    <t>ACROS 0444 УХ</t>
  </si>
  <si>
    <t>КАМАЗ А 890 ВХ</t>
  </si>
  <si>
    <t>КАМАЗ А 825 ТА</t>
  </si>
  <si>
    <t>Энергохс</t>
  </si>
  <si>
    <t>ГАЗель А 267 ХР</t>
  </si>
  <si>
    <t>DAF К 805 РО</t>
  </si>
  <si>
    <t>ИП-Ермолаев</t>
  </si>
  <si>
    <t>Электролаборатория В 313 МК /73</t>
  </si>
  <si>
    <t>КАМАЗ Е 784 РЕ</t>
  </si>
  <si>
    <t>Mercedes В 580 РМ</t>
  </si>
  <si>
    <t>Елатов</t>
  </si>
  <si>
    <t>В 915 КХ (Largus)</t>
  </si>
  <si>
    <t>ИП Ланков</t>
  </si>
  <si>
    <t>Е 850 ММ (Lada Largus)</t>
  </si>
  <si>
    <t>КАМАЗ А 954 СН</t>
  </si>
  <si>
    <t>КАМАЗ К 889 РУ</t>
  </si>
  <si>
    <t>А 375 ТА (Ford Transit)</t>
  </si>
  <si>
    <t>316ц</t>
  </si>
  <si>
    <t>Lada Granta Е 180 РТ</t>
  </si>
  <si>
    <t>Mercedes Sprinter С 036 ЕО</t>
  </si>
  <si>
    <t>КАМАЗ К 988 СА</t>
  </si>
  <si>
    <t>Сервис</t>
  </si>
  <si>
    <t>Терминала с указанным ID в Wialon нет</t>
  </si>
  <si>
    <t>ООО Цильна</t>
  </si>
  <si>
    <t>р 373.</t>
  </si>
  <si>
    <t>Кабаева</t>
  </si>
  <si>
    <t>ГАЗон К 213 НТ</t>
  </si>
  <si>
    <t>Логинов ИП</t>
  </si>
  <si>
    <t>МВ-921</t>
  </si>
  <si>
    <t>В 312 НЕ (МАЗ)</t>
  </si>
  <si>
    <t>Scania А 499 РС</t>
  </si>
  <si>
    <t>Абдуллов</t>
  </si>
  <si>
    <t>ГАЗ В 534 ОХ</t>
  </si>
  <si>
    <t>К 351 РХ  (MAN)</t>
  </si>
  <si>
    <t>Р 351 ВР (VOLVO)</t>
  </si>
  <si>
    <t>Mercedes Sprinter Е 587 НС</t>
  </si>
  <si>
    <t>ООО Реннер</t>
  </si>
  <si>
    <t>301ц</t>
  </si>
  <si>
    <t>Bomag</t>
  </si>
  <si>
    <t>О 614 РС (КАМАЗ)</t>
  </si>
  <si>
    <t>В 712 РМ КАМАЗ</t>
  </si>
  <si>
    <t>Ул Полимер</t>
  </si>
  <si>
    <t>МАЗ А 101 РВ</t>
  </si>
  <si>
    <t>УАЗ Е 043 КХ</t>
  </si>
  <si>
    <t>079ц</t>
  </si>
  <si>
    <t>ГАЗон К 631 СВ</t>
  </si>
  <si>
    <t>Марстрейд</t>
  </si>
  <si>
    <t>КАМАЗ Е 843 ТК</t>
  </si>
  <si>
    <t>Хисамутдинов</t>
  </si>
  <si>
    <t>Ford А 160 ММ 716</t>
  </si>
  <si>
    <t>МУП Перспектива</t>
  </si>
  <si>
    <t>А 585 КВ (Mercedes)</t>
  </si>
  <si>
    <t>К 792 ЕМ (DAF)</t>
  </si>
  <si>
    <t>МАЗ А 916 ОН</t>
  </si>
  <si>
    <t>Залалдинов</t>
  </si>
  <si>
    <t>Granta Е 782 НР</t>
  </si>
  <si>
    <t>Nikiforof</t>
  </si>
  <si>
    <t>Granta О 785 УМ</t>
  </si>
  <si>
    <t>ГАЗ К 255 СЕ</t>
  </si>
  <si>
    <t>ФМ Веста</t>
  </si>
  <si>
    <t>Т 182 АУ (DAF)</t>
  </si>
  <si>
    <t>МАЗ В 909 СХ 73</t>
  </si>
  <si>
    <t>Наш Век</t>
  </si>
  <si>
    <t>KIA К 706 РТ</t>
  </si>
  <si>
    <t>Lada Granta Х 512 ММ</t>
  </si>
  <si>
    <t>Toyota В 805 ХХ</t>
  </si>
  <si>
    <t>Toyota E 502 УУ</t>
  </si>
  <si>
    <t>Scania К 662 СК</t>
  </si>
  <si>
    <t>Е 947 НА (Volvo)</t>
  </si>
  <si>
    <t>ИП Ефремов</t>
  </si>
  <si>
    <t>К 204 МК DAF</t>
  </si>
  <si>
    <t>Е 705 НА (Volvo)</t>
  </si>
  <si>
    <t>Mercedes K 591 СУ</t>
  </si>
  <si>
    <t>К 037 ОА (ДАФ)</t>
  </si>
  <si>
    <t>н 454.</t>
  </si>
  <si>
    <t>Мерс к644уо</t>
  </si>
  <si>
    <t>К 895 СК Газон next</t>
  </si>
  <si>
    <t>Е 817 НА (Volvo)</t>
  </si>
  <si>
    <t>DAF К 467 ОР</t>
  </si>
  <si>
    <t>МТЗ 3405 УС</t>
  </si>
  <si>
    <t>КомСтройСервис</t>
  </si>
  <si>
    <t>4447 ВТ  (Четра Т-11)</t>
  </si>
  <si>
    <t>Е 607 НК (Volvo)</t>
  </si>
  <si>
    <t>Mercedes К 552 ТН</t>
  </si>
  <si>
    <t>н 218.</t>
  </si>
  <si>
    <t>DAF K 842 РК</t>
  </si>
  <si>
    <t>Валдай К 745 НТ</t>
  </si>
  <si>
    <t>Е 517 НК (Volvo)</t>
  </si>
  <si>
    <t>Валдай К 750 НТ</t>
  </si>
  <si>
    <t>LADA Largus К 098 СХ</t>
  </si>
  <si>
    <t>ИП Ефремов 06.09.19</t>
  </si>
  <si>
    <t>Howo У 407 РВ</t>
  </si>
  <si>
    <t>Бизнес стаб</t>
  </si>
  <si>
    <t>Е 953 МН (Volvo)</t>
  </si>
  <si>
    <t>Газон next К 949 СК</t>
  </si>
  <si>
    <t>Mercedes К 586 ТН</t>
  </si>
  <si>
    <t>МТЗ 0249 УС</t>
  </si>
  <si>
    <t>Е 957 НА (Volvo)</t>
  </si>
  <si>
    <t>Mercedes К 191 ТН</t>
  </si>
  <si>
    <t>DAF К 841 РК</t>
  </si>
  <si>
    <t>Валдай К 751 ТН</t>
  </si>
  <si>
    <t>Терминала с указанным ID в Wialon нет
пердан клиенту на руки без установки</t>
  </si>
  <si>
    <t xml:space="preserve">Ип Соловьёв </t>
  </si>
  <si>
    <t>ГАЗ А 326 АА</t>
  </si>
  <si>
    <t>Управление делами УО</t>
  </si>
  <si>
    <t>Skoda  А 530 РК</t>
  </si>
  <si>
    <t>ГАЗ Х 081 АТ</t>
  </si>
  <si>
    <t>ГАЗ У 144 УУ</t>
  </si>
  <si>
    <t>УАЗ Е 421 МС</t>
  </si>
  <si>
    <t>ГАЗ А 236 АА</t>
  </si>
  <si>
    <t>ГАЗ Р 035 АА</t>
  </si>
  <si>
    <t>Toyota Camry У 009 УУ</t>
  </si>
  <si>
    <t>ГАЗ А 329 АА</t>
  </si>
  <si>
    <t>Sonata У 104 УУ</t>
  </si>
  <si>
    <t>ГАЗель Н 925 ВТ</t>
  </si>
  <si>
    <t>Хлебпром 3</t>
  </si>
  <si>
    <t>Skoda А 324 АА</t>
  </si>
  <si>
    <t>ВАЗ 2107 Т 018 АУ</t>
  </si>
  <si>
    <t>ГАЗ У 145 УУ</t>
  </si>
  <si>
    <t>ГАЗ Р 003 АА</t>
  </si>
  <si>
    <t>Skoda А 532 РК</t>
  </si>
  <si>
    <t>Skoda А 945 АА</t>
  </si>
  <si>
    <t>УАЗ Н 073 ОХ</t>
  </si>
  <si>
    <t>LADA GRANTA Е 643 МУ</t>
  </si>
  <si>
    <t>KIA К 524 СМ</t>
  </si>
  <si>
    <t>ПАЗ К 853 СЕ 73</t>
  </si>
  <si>
    <t>В 137 ТЕ (DAF)</t>
  </si>
  <si>
    <t>TLB 825 Б/Н</t>
  </si>
  <si>
    <t>ОБЛ Водоканал</t>
  </si>
  <si>
    <t>CAT 444 15-49 УХ/73</t>
  </si>
  <si>
    <t>УАЗ Е 371 ТУ</t>
  </si>
  <si>
    <t>А 439 РМ (DAF)</t>
  </si>
  <si>
    <t>В 494 ХН (DAF)</t>
  </si>
  <si>
    <t>Mercedes К 152 РР</t>
  </si>
  <si>
    <t>ИП Вандеева</t>
  </si>
  <si>
    <t>Газель К 907 НЕ</t>
  </si>
  <si>
    <t>Волжанка, FortMonitor</t>
  </si>
  <si>
    <t>продажа без установки</t>
  </si>
  <si>
    <t>Портнова</t>
  </si>
  <si>
    <t>ПАЗ А 744 ХО</t>
  </si>
  <si>
    <t>Майнское АТП</t>
  </si>
  <si>
    <t>ПАЗ А 733 РК</t>
  </si>
  <si>
    <t>ПАЗ  М 814 ММ</t>
  </si>
  <si>
    <t>ПАЗ Е 486 РВ</t>
  </si>
  <si>
    <t>ПАЗ Е 041 НВ</t>
  </si>
  <si>
    <t>ПАЗ О 464 ОО</t>
  </si>
  <si>
    <t>ПАЗ Е 485 РВ</t>
  </si>
  <si>
    <t>М03 Е 356 КЕ</t>
  </si>
  <si>
    <t>Реал-Техно</t>
  </si>
  <si>
    <t>ПАЗ Е 487 РВ</t>
  </si>
  <si>
    <t>TLB 85 3433 УС</t>
  </si>
  <si>
    <t>УАЗ Е 726 МО</t>
  </si>
  <si>
    <t>УАЗ А 134 АА</t>
  </si>
  <si>
    <t>Заготовитель</t>
  </si>
  <si>
    <t>Мерседес Е 349 ТР</t>
  </si>
  <si>
    <t>Груз-Лайн</t>
  </si>
  <si>
    <t>ГАЗон Е 421 ТХ</t>
  </si>
  <si>
    <t>Terex 1754 УС</t>
  </si>
  <si>
    <t>TLB 825 3435 УС</t>
  </si>
  <si>
    <t>Torex 3360 УР</t>
  </si>
  <si>
    <t>УАЗ Е 493 ОХ</t>
  </si>
  <si>
    <t>УАЗ К 055 РУ</t>
  </si>
  <si>
    <t>КАМАЗ В 616 ТН</t>
  </si>
  <si>
    <t>ИП Санатуллин</t>
  </si>
  <si>
    <t>Урал К 039 РМ</t>
  </si>
  <si>
    <t>Кузоватовский лесхоз 25.09.19</t>
  </si>
  <si>
    <t>УАЗ М 137 МА</t>
  </si>
  <si>
    <t>Газель А 424 ТЕ</t>
  </si>
  <si>
    <t>Scania К 301 НК</t>
  </si>
  <si>
    <t>СВ Лига</t>
  </si>
  <si>
    <t>Scania К 254 НК</t>
  </si>
  <si>
    <t>Терминала с указанным ID в Wialon нет
Передан заказчику без установки</t>
  </si>
  <si>
    <t>ИП Соловьев</t>
  </si>
  <si>
    <t>УАЗ К 019 РУ</t>
  </si>
  <si>
    <t>Газель К 884 СЕ</t>
  </si>
  <si>
    <t>ВАЗ 2107 С 913 ЕА</t>
  </si>
  <si>
    <t>ГАЗ Е 885 МО</t>
  </si>
  <si>
    <t>МТЗ 1755 УС</t>
  </si>
  <si>
    <t>МТЗ 1716УС</t>
  </si>
  <si>
    <t>Камаз Е 372 КА</t>
  </si>
  <si>
    <t>ГАЗ Е 945 СС</t>
  </si>
  <si>
    <t>Terex 3375 УС</t>
  </si>
  <si>
    <t>ГАЗон Е 347 КА</t>
  </si>
  <si>
    <t>УАЗ Е 346 КА</t>
  </si>
  <si>
    <t>Нива У 956 АЕ</t>
  </si>
  <si>
    <t>ГАЗ Н 230 АК</t>
  </si>
  <si>
    <t>ГАЗ О 849 ОХ</t>
  </si>
  <si>
    <t>УАЗ Е 728 МО</t>
  </si>
  <si>
    <t>УАЗ Е 725 МО</t>
  </si>
  <si>
    <t>УАЗ Е 378 ТУ</t>
  </si>
  <si>
    <t>УАЗ О 744 ОХ</t>
  </si>
  <si>
    <t>КАМАЗ Е 452 ТХ</t>
  </si>
  <si>
    <t>ПАЗ Е 331 ОХ</t>
  </si>
  <si>
    <t>ГАЗон Next К 950 СА</t>
  </si>
  <si>
    <t>ГАЗ С 875 ЕС</t>
  </si>
  <si>
    <t>Volvo Е 728 РА</t>
  </si>
  <si>
    <t>Рахматуллин</t>
  </si>
  <si>
    <t>ГАЗ К 347 СК</t>
  </si>
  <si>
    <t>MAN К 885 СА</t>
  </si>
  <si>
    <t>Капрянцев</t>
  </si>
  <si>
    <t>Scania К 814 НР</t>
  </si>
  <si>
    <t>Scania К 819 НР</t>
  </si>
  <si>
    <t>Scania К 827 МР</t>
  </si>
  <si>
    <t>Scania Н 802 НР</t>
  </si>
  <si>
    <t>Ford Е 876 ХУ</t>
  </si>
  <si>
    <t>ИП Марцинкевич</t>
  </si>
  <si>
    <t>Ford Е 825 ТН</t>
  </si>
  <si>
    <t>ГАЗель 777375</t>
  </si>
  <si>
    <t>Заволжский МК</t>
  </si>
  <si>
    <t>КАМАЗ К 798 СЕ</t>
  </si>
  <si>
    <t>MAN Х 327 НР</t>
  </si>
  <si>
    <t>ТК Прагматик</t>
  </si>
  <si>
    <t>298ц</t>
  </si>
  <si>
    <t>Mercedes К 820 СМ</t>
  </si>
  <si>
    <t>Спецтрубмонтаж</t>
  </si>
  <si>
    <t>Nissan 6154 УС</t>
  </si>
  <si>
    <t>ГАЗон б/н</t>
  </si>
  <si>
    <t>ТЯГАЧ РЕНО Е 509 КЕ</t>
  </si>
  <si>
    <t>Казаков Олег</t>
  </si>
  <si>
    <t>Mercedes К 637 УМ</t>
  </si>
  <si>
    <t>Е 884 ВС (ГАЗель)</t>
  </si>
  <si>
    <t>Гранд Альянс</t>
  </si>
  <si>
    <t>УАЗ</t>
  </si>
  <si>
    <t>Интервал</t>
  </si>
  <si>
    <t>К 970 СМ (Нива)</t>
  </si>
  <si>
    <t>ФБУ Ульяновский</t>
  </si>
  <si>
    <t>ПАЗ Е 537 ХА</t>
  </si>
  <si>
    <t>Е 069 СЕ (Газель) - 2</t>
  </si>
  <si>
    <t>ООО Садко</t>
  </si>
  <si>
    <t>ПАЗ  Х 232 ВВ</t>
  </si>
  <si>
    <t>Lada Granta К 845 СМ</t>
  </si>
  <si>
    <t>Sagdiev</t>
  </si>
  <si>
    <t>КАМАЗ Е 997 ХР</t>
  </si>
  <si>
    <t>ИП Уханова</t>
  </si>
  <si>
    <t>ГАЗ К 882 СН</t>
  </si>
  <si>
    <t>МТЗ 3445 УС</t>
  </si>
  <si>
    <t>ГАЗон next К 279 СО</t>
  </si>
  <si>
    <t>Федосеев СА</t>
  </si>
  <si>
    <t>Scania К 708 СН</t>
  </si>
  <si>
    <t>Scania  К 994 СМ</t>
  </si>
  <si>
    <t>Семенкин</t>
  </si>
  <si>
    <t>ГАЗон next К 285 СО</t>
  </si>
  <si>
    <t>ГАЗон Е 529 УР</t>
  </si>
  <si>
    <t>Аквабиом</t>
  </si>
  <si>
    <t>Scania К 079 СО 73</t>
  </si>
  <si>
    <t>Scania Е 918 РВ</t>
  </si>
  <si>
    <t>Газель С 666 ЕО</t>
  </si>
  <si>
    <t>УльяновскКурорт</t>
  </si>
  <si>
    <t>КАМАЗ А 224 РА</t>
  </si>
  <si>
    <t>Новотех ООО</t>
  </si>
  <si>
    <t>КАМАЗ Т 950 ОМ</t>
  </si>
  <si>
    <t>КАМАЗ Е 361 АЕ</t>
  </si>
  <si>
    <t>КАМАЗ В 951 ЕС</t>
  </si>
  <si>
    <t>КАМАЗ М 176 ВЕ</t>
  </si>
  <si>
    <t>John Deere 325K</t>
  </si>
  <si>
    <t>МСТ Сервис</t>
  </si>
  <si>
    <t>А 270 НА (MAN)</t>
  </si>
  <si>
    <t>ИП Глотов</t>
  </si>
  <si>
    <t>Scania К 798 КР</t>
  </si>
  <si>
    <t>Т 055 ЕВ (МАЗ)</t>
  </si>
  <si>
    <t>ИП Аксёнов</t>
  </si>
  <si>
    <t>32-67 УХ (Беларус)</t>
  </si>
  <si>
    <t>ГК РЭС</t>
  </si>
  <si>
    <t>Bomag 3265 УХ</t>
  </si>
  <si>
    <t>Т 861 ЕО (Volvo)</t>
  </si>
  <si>
    <t>ИП Гавриленко</t>
  </si>
  <si>
    <t>ГАЗон А 550 УВ</t>
  </si>
  <si>
    <t>КАМАЗ У 274 ТА</t>
  </si>
  <si>
    <t>Морев</t>
  </si>
  <si>
    <t>ГАЗ А 942 УЕ</t>
  </si>
  <si>
    <t>Газель Е 404 КА</t>
  </si>
  <si>
    <t>МАЗ К 463 КХ</t>
  </si>
  <si>
    <t>Спецтехника1</t>
  </si>
  <si>
    <t>МАЗ Н 137 ВУ</t>
  </si>
  <si>
    <t>MAN К 142 СМ</t>
  </si>
  <si>
    <t>ГАЗель е436ре73</t>
  </si>
  <si>
    <t>Волков С.В. (орандж)</t>
  </si>
  <si>
    <t>В 088 РЕ (МАЗ)</t>
  </si>
  <si>
    <t>Газель К 827 СО</t>
  </si>
  <si>
    <t>ГАЗель Е 522 ХК</t>
  </si>
  <si>
    <t>Жарков</t>
  </si>
  <si>
    <t>JCB 1841 АТ</t>
  </si>
  <si>
    <t>Румянцева ТН</t>
  </si>
  <si>
    <t>8  3 хз CHEVROLET Е 384 МХ</t>
  </si>
  <si>
    <t>BOBCAT 2121 УМ</t>
  </si>
  <si>
    <t>ВАЗ 2107 С 935 ЕА</t>
  </si>
  <si>
    <t>ооо уником</t>
  </si>
  <si>
    <t>Амкадор 0210УС</t>
  </si>
  <si>
    <t>XGMA 0773 УХ</t>
  </si>
  <si>
    <t>Е 244 КК (Валдай)</t>
  </si>
  <si>
    <t>Центр ЭМ</t>
  </si>
  <si>
    <t>Погрузчик Nissan 0436 УС</t>
  </si>
  <si>
    <t>ОВБ Е039ХУ/73</t>
  </si>
  <si>
    <t>МТЗ 6478 УС</t>
  </si>
  <si>
    <t>Погрузчик 7934 УС</t>
  </si>
  <si>
    <t>!!_866795035265519</t>
  </si>
  <si>
    <t>3268 УХ (Беларус)</t>
  </si>
  <si>
    <t>Ремонтно-эксплуатационная служба</t>
  </si>
  <si>
    <t>Scania К 495 НК</t>
  </si>
  <si>
    <t>7319 УС Кияйкин</t>
  </si>
  <si>
    <t>ООО ТМК</t>
  </si>
  <si>
    <t>Е 140 РВ (УАЗ)</t>
  </si>
  <si>
    <t>ГАЗон К 359 СМ</t>
  </si>
  <si>
    <t>МРСК Димитровград</t>
  </si>
  <si>
    <t>ГАЗ А 919 НР</t>
  </si>
  <si>
    <t>ПТР73</t>
  </si>
  <si>
    <t>ГАЗ К 843 СУ</t>
  </si>
  <si>
    <t>Volkswagen А 531 ТЕ</t>
  </si>
  <si>
    <t>Милтек</t>
  </si>
  <si>
    <t>Ларгус Е 209 ТС</t>
  </si>
  <si>
    <t>Ларгус Е 908 ХН</t>
  </si>
  <si>
    <t>LADA Granta Х 068 УУ</t>
  </si>
  <si>
    <t>Scania К 520 СУ</t>
  </si>
  <si>
    <t>Аппанов (Сайгушев Ф. С)</t>
  </si>
  <si>
    <t>Scania К 533 СУ</t>
  </si>
  <si>
    <t>Аппанов</t>
  </si>
  <si>
    <t>СВ-Лига</t>
  </si>
  <si>
    <t>Hidromek 3859АА</t>
  </si>
  <si>
    <t>Газель В 642 НТ</t>
  </si>
  <si>
    <t>ГАЗ К 531 ЕУ</t>
  </si>
  <si>
    <t>ООО КСП</t>
  </si>
  <si>
    <t>Ларгус Е 313 ХС</t>
  </si>
  <si>
    <t>Volvo А 187 ВР</t>
  </si>
  <si>
    <t>АлсуГаф</t>
  </si>
  <si>
    <t>Scania К 403 СУ</t>
  </si>
  <si>
    <t>Детский Дом Орбита</t>
  </si>
  <si>
    <t>КАМАЗ К 807 СХ</t>
  </si>
  <si>
    <t>Авиаль</t>
  </si>
  <si>
    <t>331ц</t>
  </si>
  <si>
    <t>Isuzu В 790 ХУ</t>
  </si>
  <si>
    <t>Toyota К 153 СХ</t>
  </si>
  <si>
    <t>БТИ2018</t>
  </si>
  <si>
    <t>Газель К 623 УР</t>
  </si>
  <si>
    <t>БАРЫШПАССЕРВИС</t>
  </si>
  <si>
    <t>КАМАЗ К 767 СХ</t>
  </si>
  <si>
    <t>КАМАЗ К 845 СХ</t>
  </si>
  <si>
    <t>Газель К 608 УР</t>
  </si>
  <si>
    <t>КАМАЗ К 786 СХ</t>
  </si>
  <si>
    <t>GEO Е 502 УУ</t>
  </si>
  <si>
    <t>(GeoDiamix) Скрытный</t>
  </si>
  <si>
    <t>Михайловское сельское поселенье Теренгульского района</t>
  </si>
  <si>
    <t>сами будут ставить</t>
  </si>
  <si>
    <t>ГАЗ К 716 СХ</t>
  </si>
  <si>
    <t>VOLKSWAGEN Р 068 НР</t>
  </si>
  <si>
    <t>ДРСУ Инза</t>
  </si>
  <si>
    <t>ГАЗель А 981 ТС</t>
  </si>
  <si>
    <t>Х 219 ЕА (ГАЗель)</t>
  </si>
  <si>
    <t>центротех</t>
  </si>
  <si>
    <t>Мерседес Е 370 ТН</t>
  </si>
  <si>
    <t>KIA RIO К 226 СХ</t>
  </si>
  <si>
    <t>Черняев СЕ</t>
  </si>
  <si>
    <t>ГАЗель К 909 АМ</t>
  </si>
  <si>
    <t>ИП Погодин</t>
  </si>
  <si>
    <t>ПАЗ К 900 ЕН</t>
  </si>
  <si>
    <t>ПАЗ К 184 ХМ</t>
  </si>
  <si>
    <t>МТЗ 4327 УЕ</t>
  </si>
  <si>
    <t>HOWO К 605 УТ</t>
  </si>
  <si>
    <t>Hitachi 0482 МК</t>
  </si>
  <si>
    <t>МТЗ 2849 УА</t>
  </si>
  <si>
    <t>Volvo К 504 НН</t>
  </si>
  <si>
    <t>Гафуров</t>
  </si>
  <si>
    <t>Largus К 784 УР</t>
  </si>
  <si>
    <t>Центротех</t>
  </si>
  <si>
    <t>Scania К 283 ХН</t>
  </si>
  <si>
    <t>МТЗ 0840 УО</t>
  </si>
  <si>
    <t>258ц</t>
  </si>
  <si>
    <t>МТЗ 0240 УА</t>
  </si>
  <si>
    <t>Lada Granta К 163 КУ</t>
  </si>
  <si>
    <t>ИП Легошин</t>
  </si>
  <si>
    <t>KIA Rio К 405 ХР</t>
  </si>
  <si>
    <t>Ford Transit К 487 ХО</t>
  </si>
  <si>
    <t>Lada Granta К 243 ХЕ</t>
  </si>
  <si>
    <t>Lada Granta А 387 АА</t>
  </si>
  <si>
    <t>МТЗ 1221 (г.н.1552 УО) Родин</t>
  </si>
  <si>
    <t>Агротех</t>
  </si>
  <si>
    <t>Volvo Х 243 ВЕ</t>
  </si>
  <si>
    <t>DAF Е 389 ТО</t>
  </si>
  <si>
    <t>КАМАЗ Т 858 ЕМ</t>
  </si>
  <si>
    <t>МАЗ В 030 КН</t>
  </si>
  <si>
    <t>р.303</t>
  </si>
  <si>
    <t>МАЗ В 705 ХХ</t>
  </si>
  <si>
    <t>Новая жизнь</t>
  </si>
  <si>
    <t>Volvo В 336 КХ</t>
  </si>
  <si>
    <t>Volvo Е 115 РА</t>
  </si>
  <si>
    <t>УАЗ Е 226 КО</t>
  </si>
  <si>
    <t>Hyundai Solaris К 430 ХВ</t>
  </si>
  <si>
    <t>ИПНизамутдинов</t>
  </si>
  <si>
    <t>Лада Е 606 ТА</t>
  </si>
  <si>
    <t>Lada Granta К 089 ХО</t>
  </si>
  <si>
    <t>ГАЗель О 345 ВТ</t>
  </si>
  <si>
    <t>МАЗ В 704 ХХ</t>
  </si>
  <si>
    <t>ГАЗ К 564 ХК</t>
  </si>
  <si>
    <t>ГАЗель Н 658 ВТ</t>
  </si>
  <si>
    <t>Газель К 867 СН</t>
  </si>
  <si>
    <t>Mercedes Р 948 АЕ</t>
  </si>
  <si>
    <t>ГАЗель О 084 ВН</t>
  </si>
  <si>
    <t>ГАЗель У 282 ВС</t>
  </si>
  <si>
    <t>Газель К 238 КЕ</t>
  </si>
  <si>
    <t>МТЗ 7111УМ</t>
  </si>
  <si>
    <t>МО БСП</t>
  </si>
  <si>
    <t>МТЗ 3199 УМ</t>
  </si>
  <si>
    <t>МТЗ 3855 УС</t>
  </si>
  <si>
    <t>Погрузчик 3314 УХ</t>
  </si>
  <si>
    <t>Регион групп</t>
  </si>
  <si>
    <t>Шакман в616ку</t>
  </si>
  <si>
    <t>ООО Стройторг</t>
  </si>
  <si>
    <t>Шакман е616мт73</t>
  </si>
  <si>
    <t>КАМАЗ О 903 ЕВ</t>
  </si>
  <si>
    <t>Наиль (ИП Алмакаев)</t>
  </si>
  <si>
    <t>Шакман о616вв</t>
  </si>
  <si>
    <t>Газель К 798 НК</t>
  </si>
  <si>
    <t>ИП Софьичева</t>
  </si>
  <si>
    <t>КАМАЗ Т 305 АМ</t>
  </si>
  <si>
    <t>Вдовин</t>
  </si>
  <si>
    <t>А 460 РР (ГАЗель)</t>
  </si>
  <si>
    <t>В 242 ЕН(ГАЗель)</t>
  </si>
  <si>
    <t>ГК_Герасимов</t>
  </si>
  <si>
    <t>Хендай К 838 ХО</t>
  </si>
  <si>
    <t>geosystem</t>
  </si>
  <si>
    <t>Шевроле Тахо</t>
  </si>
  <si>
    <t>КАМАЗ А 090 ХВ</t>
  </si>
  <si>
    <t>avtodelevator</t>
  </si>
  <si>
    <t>КАМАЗ К 665 ХВ (кран)</t>
  </si>
  <si>
    <t>ГАЗель К 517 МС</t>
  </si>
  <si>
    <t>КАМАЗ К 139 РМ</t>
  </si>
  <si>
    <t>ИП Микеева</t>
  </si>
  <si>
    <t>р 606.</t>
  </si>
  <si>
    <t>HOWO К 483 УТ</t>
  </si>
  <si>
    <t>Амкадор 2420УХ73</t>
  </si>
  <si>
    <t>ГАЗон next К 750 СК</t>
  </si>
  <si>
    <t>Энергомодуль</t>
  </si>
  <si>
    <t>DAF М 784 ХО73</t>
  </si>
  <si>
    <t>Гафиятуллов</t>
  </si>
  <si>
    <t>Б 170</t>
  </si>
  <si>
    <t>Б 170А</t>
  </si>
  <si>
    <t>КАМАЗ Е 628 ХХ</t>
  </si>
  <si>
    <t>ИП Карачев</t>
  </si>
  <si>
    <t>МТЗ 4385 УС</t>
  </si>
  <si>
    <t>МТЗ 8317 УС</t>
  </si>
  <si>
    <t>МТЗ 7315 УМ</t>
  </si>
  <si>
    <t>МТЗ 3815 УХ</t>
  </si>
  <si>
    <t>ДОН 1378УХ</t>
  </si>
  <si>
    <t>Птицефабрика Симбирская</t>
  </si>
  <si>
    <t>DAF А 735 ХМ</t>
  </si>
  <si>
    <t>КАМАЗ Е 159 СМ</t>
  </si>
  <si>
    <t>ГАЗ Е 081 РМ</t>
  </si>
  <si>
    <t>ГАЗ К 635 РН</t>
  </si>
  <si>
    <t>КАМАЗ М 770 ОС</t>
  </si>
  <si>
    <t>ДОН 1362 УХ</t>
  </si>
  <si>
    <t>DAF В 955 ТВ</t>
  </si>
  <si>
    <t>ГАЗ К 582 РН</t>
  </si>
  <si>
    <t>КАМАЗ О 653 УН</t>
  </si>
  <si>
    <t>КАМАЗ А 161 ХА</t>
  </si>
  <si>
    <t>УАЗ Е 798 МР</t>
  </si>
  <si>
    <t>МТЗ 9231УС</t>
  </si>
  <si>
    <t>Валдай А 909 ХР</t>
  </si>
  <si>
    <t>Scania К 993 НТ</t>
  </si>
  <si>
    <t>MAN М 638 МХ</t>
  </si>
  <si>
    <t>МТЗ 3898 УС</t>
  </si>
  <si>
    <t>Krasnoborsk</t>
  </si>
  <si>
    <t>ПАЗ К 787 СВ</t>
  </si>
  <si>
    <t>Галекс</t>
  </si>
  <si>
    <t>Ford К 682 РР</t>
  </si>
  <si>
    <t>ПАЗ К 656 ТЕ</t>
  </si>
  <si>
    <t>ГАЗель К 572 КС</t>
  </si>
  <si>
    <t>Пежо р493ев</t>
  </si>
  <si>
    <t>ПАЗ К 899 СА</t>
  </si>
  <si>
    <t>ПАЗ АХ 089</t>
  </si>
  <si>
    <t>ПАЗ К 304 СН</t>
  </si>
  <si>
    <t>ПАЗ У 221 ВХ</t>
  </si>
  <si>
    <t>ПАЗ Х 056 ВС</t>
  </si>
  <si>
    <t>ПАЗ У 099 ТА</t>
  </si>
  <si>
    <t>ПАЗ Т 716 ВУ</t>
  </si>
  <si>
    <t>Газель К 499 СХ</t>
  </si>
  <si>
    <t>Алмазавтотранс</t>
  </si>
  <si>
    <t>Ford К 112 КХ</t>
  </si>
  <si>
    <t>ПАЗ В 747 ХМ</t>
  </si>
  <si>
    <t>Scania Х 615 ХУ</t>
  </si>
  <si>
    <t>ЗИЛ О 090 ВТ</t>
  </si>
  <si>
    <t>УльГЭС</t>
  </si>
  <si>
    <t>ЗИЛ Х 550 ВН</t>
  </si>
  <si>
    <t>ГАЗ В 943 ХК</t>
  </si>
  <si>
    <t>ГАЗон NEXT К 076 СХ</t>
  </si>
  <si>
    <t>ГАЗон NEXT К 068 СХ</t>
  </si>
  <si>
    <t>Scania К 658 ХУ</t>
  </si>
  <si>
    <t>ГАЗон В 340 МА</t>
  </si>
  <si>
    <t>Doosan 112220</t>
  </si>
  <si>
    <t>ЗИЛ Н 720 ВМ</t>
  </si>
  <si>
    <t>Тойота в805хх</t>
  </si>
  <si>
    <t>Scania  К 923 ХО</t>
  </si>
  <si>
    <t>Scania К 383 РХ</t>
  </si>
  <si>
    <t>Scania К 370 РХ</t>
  </si>
  <si>
    <t>Ford Transit К 764 ХВ</t>
  </si>
  <si>
    <t>МАЗ В 286 ТХ</t>
  </si>
  <si>
    <t>Sizov</t>
  </si>
  <si>
    <t>Урал Н 313 НЕ</t>
  </si>
  <si>
    <t>Грачева ИП</t>
  </si>
  <si>
    <t>К 189 ХР (Volvo)</t>
  </si>
  <si>
    <t>Volvo К 928 ХХ73</t>
  </si>
  <si>
    <t>Центротех73</t>
  </si>
  <si>
    <t>КАМАЗ Е 566 МО</t>
  </si>
  <si>
    <t>ООО Фермер</t>
  </si>
  <si>
    <t>МТЗ 9694 УС</t>
  </si>
  <si>
    <t>КАМАЗ В 640 КН</t>
  </si>
  <si>
    <t>КАМАЗ Н 840 ОХ</t>
  </si>
  <si>
    <t>КАМАЗ М 086 МУ</t>
  </si>
  <si>
    <t>КАМАЗ Е 582 КА</t>
  </si>
  <si>
    <t>Peugeot К 227 НУ</t>
  </si>
  <si>
    <t>Peugeot А 622 РВ</t>
  </si>
  <si>
    <t>ПАЗ К 907 НУ</t>
  </si>
  <si>
    <t>Ford К 320 РА</t>
  </si>
  <si>
    <t>KIA  К 565НТ</t>
  </si>
  <si>
    <t>Охотин В.А</t>
  </si>
  <si>
    <t>Ford К 061 ХВ</t>
  </si>
  <si>
    <t>УАЗ Н 807 ОВ</t>
  </si>
  <si>
    <t>Volvo К 915 ХХ73</t>
  </si>
  <si>
    <t>КАМАЗ К 208 ВТ</t>
  </si>
  <si>
    <t>Беляев СЕ</t>
  </si>
  <si>
    <t>DAF М 116 ЕТ</t>
  </si>
  <si>
    <t>ООО Аверс</t>
  </si>
  <si>
    <t>ИП Хусанов</t>
  </si>
  <si>
    <t>КАМАЗ В 336 НТ Березовы</t>
  </si>
  <si>
    <t>МАЗ К 273 ХХ</t>
  </si>
  <si>
    <t>Volvo К 921 ХХ73</t>
  </si>
  <si>
    <t>Амкадор 9604УС</t>
  </si>
  <si>
    <t>ТУМАН2 1485 УХ</t>
  </si>
  <si>
    <t>ТУМАН2 9893 УС</t>
  </si>
  <si>
    <t>ТУМАН 7393 УС</t>
  </si>
  <si>
    <t>ТУМАН2 1573 УХ</t>
  </si>
  <si>
    <t>ТУМАН 9622 УМ</t>
  </si>
  <si>
    <t>ТУМАН 9894 УС</t>
  </si>
  <si>
    <t>ТУМАН 6099 УС</t>
  </si>
  <si>
    <t>ТУМАН 6046 УС</t>
  </si>
  <si>
    <t>К700 4213УХ</t>
  </si>
  <si>
    <t>Волга ООО</t>
  </si>
  <si>
    <t>Марс</t>
  </si>
  <si>
    <t>ПТР ФЛОТ</t>
  </si>
  <si>
    <t>Персей</t>
  </si>
  <si>
    <t>К701 б/н</t>
  </si>
  <si>
    <t>МТЗ 1221</t>
  </si>
  <si>
    <t>МТЗ 8750 УС</t>
  </si>
  <si>
    <t>Камаз К 473 РК</t>
  </si>
  <si>
    <t>КАМАЗ К 361 РЕ</t>
  </si>
  <si>
    <t>ХТЗ Б/Н</t>
  </si>
  <si>
    <t>New Holland 4927 МА</t>
  </si>
  <si>
    <t>Volvo К 558 ХУ</t>
  </si>
  <si>
    <t>ООО Агросоюз</t>
  </si>
  <si>
    <t>МАЗ м784уо Володя</t>
  </si>
  <si>
    <t>ГАЗ Е 067 МА</t>
  </si>
  <si>
    <t>КАМАЗ В 602 ОА</t>
  </si>
  <si>
    <t>Terex 3432 УС</t>
  </si>
  <si>
    <t>МТЗ 2516 УС</t>
  </si>
  <si>
    <t>ГАЗон Е 190 ТУ</t>
  </si>
  <si>
    <t>Куликов Айся</t>
  </si>
  <si>
    <t>Аюпов Равиль</t>
  </si>
  <si>
    <t>Hendai Е 092 НХ</t>
  </si>
  <si>
    <t>Гонцов И</t>
  </si>
  <si>
    <t>Кушманцева</t>
  </si>
  <si>
    <t>Воронин С.И.</t>
  </si>
  <si>
    <t>Махмутов Равиль</t>
  </si>
  <si>
    <t>МТЗ Б/Н Паленко</t>
  </si>
  <si>
    <t>Павленко Д</t>
  </si>
  <si>
    <t>КАМАЗ Е 402 МО</t>
  </si>
  <si>
    <t>Газель В 510 РК</t>
  </si>
  <si>
    <t>ГАЗель Н 127 ЕН</t>
  </si>
  <si>
    <t>Largus Е 003 СУ</t>
  </si>
  <si>
    <t>ГАЗель Р 999 ВН</t>
  </si>
  <si>
    <t>Volvo Е 100 ХА</t>
  </si>
  <si>
    <t>ИДЕАЛАВТО</t>
  </si>
  <si>
    <t>КАМАЗ Н 170 УА</t>
  </si>
  <si>
    <t>Ford Е 507 УУ</t>
  </si>
  <si>
    <t>Сатдаров</t>
  </si>
  <si>
    <t>Плав кран ВД 15</t>
  </si>
  <si>
    <t>КАМАЗ К 643 РО</t>
  </si>
  <si>
    <t>Цесис</t>
  </si>
  <si>
    <t>МТЗ 1574 УС</t>
  </si>
  <si>
    <t>КАМАЗ М 617 КК</t>
  </si>
  <si>
    <t>КАМАЗ К 408 РК</t>
  </si>
  <si>
    <t>МТЗ 8747УС</t>
  </si>
  <si>
    <t>Плав кран 1570</t>
  </si>
  <si>
    <t>К700 1279НМ</t>
  </si>
  <si>
    <t>Т-150 б/н</t>
  </si>
  <si>
    <t>МТЗ 2522 Б/Н</t>
  </si>
  <si>
    <t>МТЗ 8749 УС</t>
  </si>
  <si>
    <t>МТЗ 8751 УС</t>
  </si>
  <si>
    <t>325ц</t>
  </si>
  <si>
    <t>ЗИЛ А 508 НА</t>
  </si>
  <si>
    <t>Газтрейд</t>
  </si>
  <si>
    <t>О 867 ЕО (МАЗ)</t>
  </si>
  <si>
    <t>ufsin</t>
  </si>
  <si>
    <t>КАМАЗ М 725 ЕТ</t>
  </si>
  <si>
    <t>MAN К 888 ХУ</t>
  </si>
  <si>
    <t>КАМАЗ К 490 ХУ</t>
  </si>
  <si>
    <t>Е 961 ЕК (Volvo)</t>
  </si>
  <si>
    <t>Largus К 054 ХС</t>
  </si>
  <si>
    <t>КАМАЗ А 925 АВ</t>
  </si>
  <si>
    <t>Е 911 КА (Volvo)</t>
  </si>
  <si>
    <t>New Holland 2968 МА</t>
  </si>
  <si>
    <t>КАМАЗ А 935 АВ</t>
  </si>
  <si>
    <t>КАМАЗ А 933 АВ</t>
  </si>
  <si>
    <t>КАМАЗ А 951 АВ</t>
  </si>
  <si>
    <t>КАМАЗ А 903 АВ</t>
  </si>
  <si>
    <t>УАЗ К 188 ХУ</t>
  </si>
  <si>
    <t>МТЗ 0319 УО</t>
  </si>
  <si>
    <t>ООО Рада</t>
  </si>
  <si>
    <t>КАМАЗ В 353 РК</t>
  </si>
  <si>
    <t>Агро-инвест</t>
  </si>
  <si>
    <t>Газель К 126 ХС</t>
  </si>
  <si>
    <t>Регион вкуса</t>
  </si>
  <si>
    <t>305ц</t>
  </si>
  <si>
    <t>МАЗ К 083 ХЕ</t>
  </si>
  <si>
    <t>ГАЗон next Е 545 НТ</t>
  </si>
  <si>
    <t>Hyundai М 282 АК</t>
  </si>
  <si>
    <t>КАМАЗ Е 545 СС</t>
  </si>
  <si>
    <t>ГАЗ В 659 РН</t>
  </si>
  <si>
    <t>КАМАЗ Е 951 РА</t>
  </si>
  <si>
    <t>УАЗ Е 820 КВ</t>
  </si>
  <si>
    <t>Scania М 220 ЕУ</t>
  </si>
  <si>
    <t>УАЗ Т 094 АС</t>
  </si>
  <si>
    <t>МТЗ 3407 УХ</t>
  </si>
  <si>
    <t>Четра 4412 УС</t>
  </si>
  <si>
    <t>КАМАЗ Н 352 АК</t>
  </si>
  <si>
    <t>КАМАЗ У 290 КТ</t>
  </si>
  <si>
    <t>Merc М 683 ЕУ</t>
  </si>
  <si>
    <t>Merc М 637 ЕУ</t>
  </si>
  <si>
    <t>Merc М 656 ЕУ</t>
  </si>
  <si>
    <t>ГАЗель next К 661 НТ</t>
  </si>
  <si>
    <t>Хаяров РШ</t>
  </si>
  <si>
    <t>Нива К 950 ХК</t>
  </si>
  <si>
    <t>Volvo М 678 ЕУ 73</t>
  </si>
  <si>
    <t>Volvo Р 617 ЕЕ</t>
  </si>
  <si>
    <t>УАЗ Е 180 МР</t>
  </si>
  <si>
    <t>ГАЗ В518 ХТ</t>
  </si>
  <si>
    <t>ГАЗ В 529 ХТ</t>
  </si>
  <si>
    <t>МАЗ К 140 УВ</t>
  </si>
  <si>
    <t>Volvo М 693 ЕУ 73</t>
  </si>
  <si>
    <t>Volvo М 668 ЕУ 73</t>
  </si>
  <si>
    <t>Volvo М 692 ЕУ 73</t>
  </si>
  <si>
    <t>Nissan К 792 ОН</t>
  </si>
  <si>
    <t>НПФ Сосны</t>
  </si>
  <si>
    <t>Largus Е 169 ХВ</t>
  </si>
  <si>
    <t>Toyota А 887 ТВ</t>
  </si>
  <si>
    <t>Nissan М 728 ОН</t>
  </si>
  <si>
    <t>Toyota В 077 ХУ</t>
  </si>
  <si>
    <t>КАМАЗ Н 098 СМ</t>
  </si>
  <si>
    <t>Scania К 437 ХС</t>
  </si>
  <si>
    <t>Scania М 480 ЕР Оранжевая</t>
  </si>
  <si>
    <t>КАМАЗ К 784 СР</t>
  </si>
  <si>
    <t>3847ух73</t>
  </si>
  <si>
    <t>КАМАЗ К 939 ХХ</t>
  </si>
  <si>
    <t>КАМАЗ К 351 АН</t>
  </si>
  <si>
    <t>Renault К 311 УР</t>
  </si>
  <si>
    <t>Bobcat 1329 ХО</t>
  </si>
  <si>
    <t>Е896АО799</t>
  </si>
  <si>
    <t>Мамонова АЮ</t>
  </si>
  <si>
    <t>ПАЗ м532ат</t>
  </si>
  <si>
    <t>Галекс и Ко</t>
  </si>
  <si>
    <t>KIA RIO К 941 ХТ</t>
  </si>
  <si>
    <t>Погрузчик Mustang 7325 УС Денисов</t>
  </si>
  <si>
    <t>Komatsu 7610 УС</t>
  </si>
  <si>
    <t>Кадермятов</t>
  </si>
  <si>
    <t>Scania М 458 ЕР</t>
  </si>
  <si>
    <t>АКРОСС 550 ( г.н 3942 ух)</t>
  </si>
  <si>
    <t>КАМАЗ К 498 ХК</t>
  </si>
  <si>
    <t>ПК-2202 5593 УС</t>
  </si>
  <si>
    <t>320ц</t>
  </si>
  <si>
    <t>Scania К 603 ХО</t>
  </si>
  <si>
    <t>КАМАЗ К 955 ХК</t>
  </si>
  <si>
    <t>КАМАЗ К 931 ХК</t>
  </si>
  <si>
    <t>МАЗ К 879 КР</t>
  </si>
  <si>
    <t>ЖБИ№1</t>
  </si>
  <si>
    <t>МАЗ О 282 ЕВ</t>
  </si>
  <si>
    <t>ИП Юртанов</t>
  </si>
  <si>
    <t>Scania К 042 ХТ</t>
  </si>
  <si>
    <t>Кирпичный двор</t>
  </si>
  <si>
    <t>ДОН 7347 УМ</t>
  </si>
  <si>
    <t>Палессе 4478УС</t>
  </si>
  <si>
    <t>Полесье 4477 УС</t>
  </si>
  <si>
    <t>КАМАЗ А 766 ВВ</t>
  </si>
  <si>
    <t>Mercedes Е 241 РХ</t>
  </si>
  <si>
    <t>ТД Волга АС</t>
  </si>
  <si>
    <t>Largus М 055 КК</t>
  </si>
  <si>
    <t>Антонова new</t>
  </si>
  <si>
    <t>Mercedes М 887 КХ</t>
  </si>
  <si>
    <t>Nissan А 835 ЕТ</t>
  </si>
  <si>
    <t>Ярмарка73</t>
  </si>
  <si>
    <t>КИА М 553 КК 73</t>
  </si>
  <si>
    <t>В 867  СР (Renaut Logan)</t>
  </si>
  <si>
    <t>ГАЗель К 200 СЕ 73</t>
  </si>
  <si>
    <t>М 309 КК (ГАЗель)</t>
  </si>
  <si>
    <t>ГАЗ М 148 КК</t>
  </si>
  <si>
    <t>Volvo К 844 УВ №2</t>
  </si>
  <si>
    <t>УАЗ Е 264 ТН</t>
  </si>
  <si>
    <t>Мордово</t>
  </si>
  <si>
    <t>К744 3837УС</t>
  </si>
  <si>
    <t>УАЗ Е 199 РХ</t>
  </si>
  <si>
    <t>New Holland 6949 мк</t>
  </si>
  <si>
    <t>К744 1742 УХ</t>
  </si>
  <si>
    <t>КАМАЗ К 450 ХК</t>
  </si>
  <si>
    <t>КАМАЗ К 696 ХК</t>
  </si>
  <si>
    <t>ГАЗ К 374 РУ</t>
  </si>
  <si>
    <t>ДАНН</t>
  </si>
  <si>
    <t>МАЗ К 716 ЕТ</t>
  </si>
  <si>
    <t>КАМАЗ М 316 КЕ</t>
  </si>
  <si>
    <t>ФМ Таралина</t>
  </si>
  <si>
    <t>ГАЗ М 375 КЕ</t>
  </si>
  <si>
    <t>ГАЗель М 130 КК</t>
  </si>
  <si>
    <t>ГАЗель М 322 КЕ</t>
  </si>
  <si>
    <t>ГАЗ М 687 КК</t>
  </si>
  <si>
    <t>ГЕЗель М 149 КК</t>
  </si>
  <si>
    <t>Беларус 3751УС</t>
  </si>
  <si>
    <t>К744 7387 РА</t>
  </si>
  <si>
    <t>ГАЗ Е 683 ТА</t>
  </si>
  <si>
    <t>Пальмира ООО</t>
  </si>
  <si>
    <t>Кировец 6634 УМ 73</t>
  </si>
  <si>
    <t>КФХ Сяпуков</t>
  </si>
  <si>
    <t>Scania К 981 РЕ</t>
  </si>
  <si>
    <t>ЗИЛ А 728 ЕН</t>
  </si>
  <si>
    <t>ГАЗон next К 453 НН</t>
  </si>
  <si>
    <t>МАКСАТ</t>
  </si>
  <si>
    <t>ЗИЛ В 699 МЕ</t>
  </si>
  <si>
    <t>КАМАЗ М 221 ЕУ</t>
  </si>
  <si>
    <t>МетИнвест</t>
  </si>
  <si>
    <t>Газель В 744 ЕР</t>
  </si>
  <si>
    <t>Загидуллин</t>
  </si>
  <si>
    <t>DAF  М 484 КО</t>
  </si>
  <si>
    <t>Scania К 999 ХС</t>
  </si>
  <si>
    <t>Scania А 453 ХУ</t>
  </si>
  <si>
    <t>Ютонг М 166 ЕХ</t>
  </si>
  <si>
    <t>ИП Котельникова</t>
  </si>
  <si>
    <t>КАМАЗ Х 941 УС116</t>
  </si>
  <si>
    <t>Абдрахманов</t>
  </si>
  <si>
    <t>КАМАЗ В 757 СК116</t>
  </si>
  <si>
    <t>ИП Салахов</t>
  </si>
  <si>
    <t>МТЗ 2130 УЕ</t>
  </si>
  <si>
    <t>УлВодоканал</t>
  </si>
  <si>
    <t>ПАЗ Н 082 ТТ</t>
  </si>
  <si>
    <t>Карсунское АТП</t>
  </si>
  <si>
    <t>ГАЗель К 860 ХТ</t>
  </si>
  <si>
    <t>KIA RIO М 140 КР</t>
  </si>
  <si>
    <t>Газель М 899 КР</t>
  </si>
  <si>
    <t>Бекас-73</t>
  </si>
  <si>
    <t>МТЗ 3051 УА</t>
  </si>
  <si>
    <t>ГАЗон next М 430 КУ</t>
  </si>
  <si>
    <t>ИП Бахитова</t>
  </si>
  <si>
    <t>Кировец 9969 НМ77</t>
  </si>
  <si>
    <t>КАМАЗ Х 339 ХХ</t>
  </si>
  <si>
    <t>ДОН 7311 УМ</t>
  </si>
  <si>
    <t>КАМАЗ Х 340 ХХ</t>
  </si>
  <si>
    <t>XGMA 6761 УМ</t>
  </si>
  <si>
    <t>КАМАЗ У 068 ЕС</t>
  </si>
  <si>
    <t>Т-150 5637 УС</t>
  </si>
  <si>
    <t>ANKAI К 905 ХЕ 73</t>
  </si>
  <si>
    <t>Т-150 5636 УС</t>
  </si>
  <si>
    <t>Рено С 419 ЕА</t>
  </si>
  <si>
    <t>МТЗ 1814 УА</t>
  </si>
  <si>
    <t>К-700 6670 УН</t>
  </si>
  <si>
    <t>Т-150 5411 УС</t>
  </si>
  <si>
    <t>Т-150 2698 УО</t>
  </si>
  <si>
    <t>МАЗ А 835 НЕ</t>
  </si>
  <si>
    <t>Строй Континент</t>
  </si>
  <si>
    <t>Т-150 6671 УМ</t>
  </si>
  <si>
    <t>Т-150 2697 УО</t>
  </si>
  <si>
    <t>Т-150 5432 УЕ</t>
  </si>
  <si>
    <t>МТЗ 9149 УО</t>
  </si>
  <si>
    <t>МТЗ 2699 УО</t>
  </si>
  <si>
    <t>МТЗ 997649</t>
  </si>
  <si>
    <t>А 949 НХ (МАЗ)</t>
  </si>
  <si>
    <t>TATA О 356 ВУ</t>
  </si>
  <si>
    <t>КАМАЗ М 175 КР</t>
  </si>
  <si>
    <t>КАМАЗ К 284 НТ</t>
  </si>
  <si>
    <t>Курмакаев</t>
  </si>
  <si>
    <t>Т-150 5434 УЕ</t>
  </si>
  <si>
    <t>ГАЗель Е 664 ТК</t>
  </si>
  <si>
    <t>Полесье Б/Н Агродело</t>
  </si>
  <si>
    <t>Агродело</t>
  </si>
  <si>
    <t>Т-150 5433 УЕ</t>
  </si>
  <si>
    <t>КАМАЗ М 111 КР</t>
  </si>
  <si>
    <t>Т-150 9148 УО</t>
  </si>
  <si>
    <t>МТЗ 3726 УО</t>
  </si>
  <si>
    <t>МТЗ 8723 УС</t>
  </si>
  <si>
    <t>Volvo К 188 ЕТ</t>
  </si>
  <si>
    <t>ИП_Рахматуллин_А</t>
  </si>
  <si>
    <t>Камаз В 765 ЕУ</t>
  </si>
  <si>
    <t>МТЗ 2474 УМ</t>
  </si>
  <si>
    <t>ГАЗ Р 715 ХС</t>
  </si>
  <si>
    <t>OOO Кристалл</t>
  </si>
  <si>
    <t>Погрузчик XGMA б/н</t>
  </si>
  <si>
    <t>Комбайн (симбирцит)</t>
  </si>
  <si>
    <t>Агропромпарк</t>
  </si>
  <si>
    <t>Е 964 КА 73 (Volvo)</t>
  </si>
  <si>
    <t>Е 049 РА Volvo</t>
  </si>
  <si>
    <t>Sonata О 014 ОО</t>
  </si>
  <si>
    <t>Toyota Camry У 098 УУ</t>
  </si>
  <si>
    <t>Kia М 100 ЕУ</t>
  </si>
  <si>
    <t>ГАЗ А 876 РН</t>
  </si>
  <si>
    <t>Тойота Р 473 СО</t>
  </si>
  <si>
    <t>Skoda У 012 УУ</t>
  </si>
  <si>
    <t>Трактор 5353 УМ</t>
  </si>
  <si>
    <t>УАЗ Е 506 МС</t>
  </si>
  <si>
    <t>ГАЗ В 719 ВМ</t>
  </si>
  <si>
    <t>УАЗ Р 319 АА</t>
  </si>
  <si>
    <t>Kia М 108 ЕУ</t>
  </si>
  <si>
    <t>Kia М 121 ЕУ</t>
  </si>
  <si>
    <t>ACROS 3945 УС</t>
  </si>
  <si>
    <t>Экскаватор 8709 УС</t>
  </si>
  <si>
    <t>HINO М 331 КС</t>
  </si>
  <si>
    <t>Альянс_Трейд</t>
  </si>
  <si>
    <t>Хендай б/н</t>
  </si>
  <si>
    <t>ЗИЛ К 399 СО</t>
  </si>
  <si>
    <t>Газель К 798 РЕ 73</t>
  </si>
  <si>
    <t>Acros 2105 УХ</t>
  </si>
  <si>
    <t>ГАЗель О 085 ВН</t>
  </si>
  <si>
    <t>ЗИЛ К 413 СО</t>
  </si>
  <si>
    <t>317ц</t>
  </si>
  <si>
    <t>ПАЗ Н 110 ТТ</t>
  </si>
  <si>
    <t>Лада Н 570 КУ</t>
  </si>
  <si>
    <t>Suslov</t>
  </si>
  <si>
    <t>Lada Granta М 710 КУ</t>
  </si>
  <si>
    <t>ПАЗ Н 108 ХУ</t>
  </si>
  <si>
    <t>Lada Granta М 698 КУ</t>
  </si>
  <si>
    <t>Granta М 354 КУ</t>
  </si>
  <si>
    <t>Дорошенко73</t>
  </si>
  <si>
    <t>ЗИЛ Р 687 РР</t>
  </si>
  <si>
    <t>КАМАЗ С 955 АК</t>
  </si>
  <si>
    <t>Газель М 088 КУ</t>
  </si>
  <si>
    <t>Бабикова</t>
  </si>
  <si>
    <t>КАМАЗ Е 863 УН</t>
  </si>
  <si>
    <t>УАЗ М 639 ЕВ</t>
  </si>
  <si>
    <t>КАМАЗ У 937 АЕ</t>
  </si>
  <si>
    <t>КАМАЗ С 956 АК</t>
  </si>
  <si>
    <t>КАМАЗ Е 891 УН</t>
  </si>
  <si>
    <t>КАМАЗ С 178 УЕ</t>
  </si>
  <si>
    <t>КАМАЗ О 385 АМ</t>
  </si>
  <si>
    <t>ПАЗ А 062 УВ</t>
  </si>
  <si>
    <t>УАЗ Е 920 ВР</t>
  </si>
  <si>
    <t>Mitsubishi Outlander Е 943 НМ</t>
  </si>
  <si>
    <t>ЗИЛ О 988 УТ</t>
  </si>
  <si>
    <t>КАМАЗ Т 650 АВ</t>
  </si>
  <si>
    <t>КАМАЗ В 081 ТР</t>
  </si>
  <si>
    <t>КАМАЗ Т 647 АВ</t>
  </si>
  <si>
    <t>Газель М 947 МВ</t>
  </si>
  <si>
    <t>Ford У 709 ЕН73</t>
  </si>
  <si>
    <t>Камаз А 305 ЕТ</t>
  </si>
  <si>
    <t>Грешняков</t>
  </si>
  <si>
    <t>Газель К 828 ЕР</t>
  </si>
  <si>
    <t>Валдай В 530 ХМ</t>
  </si>
  <si>
    <t>Ford Е 211 ТК</t>
  </si>
  <si>
    <t>Е 631 ХТ (ГАЗель)</t>
  </si>
  <si>
    <t>УЛАМПЭК</t>
  </si>
  <si>
    <t>Веста б/н2</t>
  </si>
  <si>
    <t>Пивцов АН</t>
  </si>
  <si>
    <t>Веста б/н1</t>
  </si>
  <si>
    <t>ЕК 12 4792 УМ</t>
  </si>
  <si>
    <t>Iveco А 836 ТК</t>
  </si>
  <si>
    <t>Hendai М 547 ТН 48</t>
  </si>
  <si>
    <t>Хачатурян А</t>
  </si>
  <si>
    <t>Т 150 3712 УО</t>
  </si>
  <si>
    <t>3393 УС (Terex)</t>
  </si>
  <si>
    <t>Костюнин</t>
  </si>
  <si>
    <t>Камаз К 933 ХА</t>
  </si>
  <si>
    <t>MAN У 024 ХА</t>
  </si>
  <si>
    <t>Volvo 5220УХ73</t>
  </si>
  <si>
    <t>Komatsu 5221УХ73</t>
  </si>
  <si>
    <t>ПАЗ В 626 ВУ</t>
  </si>
  <si>
    <t>УРАЛ Кран С123 ТО</t>
  </si>
  <si>
    <t>МАЗ К 674 ХВ</t>
  </si>
  <si>
    <t>Support_1</t>
  </si>
  <si>
    <t>Русснефть</t>
  </si>
  <si>
    <t>У 332 АТ (ГАЗель)</t>
  </si>
  <si>
    <t>УАЗ Е 576 ОХ</t>
  </si>
  <si>
    <t>Mustang 1090 УХ</t>
  </si>
  <si>
    <t>ПАЗ Х 079 СМ</t>
  </si>
  <si>
    <t>ГАЗель К 350 КО</t>
  </si>
  <si>
    <t>Верест ООО</t>
  </si>
  <si>
    <t>К 100 ЕМ</t>
  </si>
  <si>
    <t>Kia Е 982 ТС</t>
  </si>
  <si>
    <t>Lada К 768 КЕ</t>
  </si>
  <si>
    <t>Veco Е 713 ХО</t>
  </si>
  <si>
    <t>Нива К 927 ХК</t>
  </si>
  <si>
    <t>Skoda О 115 АМ</t>
  </si>
  <si>
    <t>Ларгус М 336 МЕ</t>
  </si>
  <si>
    <t>Брат-Групп</t>
  </si>
  <si>
    <t>New Holland 6950</t>
  </si>
  <si>
    <t>МАЗ К 669 УВ</t>
  </si>
  <si>
    <t>Кировец 3183 НХ</t>
  </si>
  <si>
    <t>Renault М 609 КС</t>
  </si>
  <si>
    <t>DAF В 986 XA</t>
  </si>
  <si>
    <t>Индустрия</t>
  </si>
  <si>
    <t>Renault М 578 КС</t>
  </si>
  <si>
    <t>Т-150 6327 УО</t>
  </si>
  <si>
    <t>Mitsubishi М 449 КР</t>
  </si>
  <si>
    <t>Антонов ИП</t>
  </si>
  <si>
    <t>Газель Е 367 РМ</t>
  </si>
  <si>
    <t>ПАЗ Е 098 ХУ</t>
  </si>
  <si>
    <t>Газель В 641 СМ</t>
  </si>
  <si>
    <t>Зиятдинов Н.C</t>
  </si>
  <si>
    <t>Газель М 403 МК73</t>
  </si>
  <si>
    <t>А 110 ХО (Камаз)</t>
  </si>
  <si>
    <t>УКЭС ООО</t>
  </si>
  <si>
    <t>ПАЗ О 363 ВУ</t>
  </si>
  <si>
    <t>Камаз М 204 КХ</t>
  </si>
  <si>
    <t>МАЗ К 521 СР</t>
  </si>
  <si>
    <t>КАМАЗ М 380 МК</t>
  </si>
  <si>
    <t>Спецснабжение</t>
  </si>
  <si>
    <t>315ц</t>
  </si>
  <si>
    <t>Камаз М 181 КХ</t>
  </si>
  <si>
    <t>Рено К 115 ТВ</t>
  </si>
  <si>
    <t>ПАЗ К 814 СУ</t>
  </si>
  <si>
    <t>Газель К 703 НУ73</t>
  </si>
  <si>
    <t>ПАЗ М 186 МР</t>
  </si>
  <si>
    <t>Камаз В 629 ХА</t>
  </si>
  <si>
    <t>УлМетСтрой</t>
  </si>
  <si>
    <t>Камаз М 295 РЕ</t>
  </si>
  <si>
    <t>КАМАЗ М 325 РЕ</t>
  </si>
  <si>
    <t>КАМАЗ М 296 МР</t>
  </si>
  <si>
    <t>Вторметиндустрия</t>
  </si>
  <si>
    <t>ГАЗ С 857 АР</t>
  </si>
  <si>
    <t>ГАЗ Р 850 АТ</t>
  </si>
  <si>
    <t>МТЗ 2022.3 1627МА13</t>
  </si>
  <si>
    <t>ИНСАРОВСКОЕ</t>
  </si>
  <si>
    <t>330ц</t>
  </si>
  <si>
    <t>Николаевский Элеватор</t>
  </si>
  <si>
    <t>KIA RIO М 959 МЕ</t>
  </si>
  <si>
    <t>Ford М 957 КХ</t>
  </si>
  <si>
    <t>ПРЕСТИЖ ООО</t>
  </si>
  <si>
    <t>BobCat 5401УХ</t>
  </si>
  <si>
    <t>Ford К 626 НУ</t>
  </si>
  <si>
    <t>ПАЗ М 141 ЕТ</t>
  </si>
  <si>
    <t>ОГАОУ</t>
  </si>
  <si>
    <t>Камаз М 131 РЕ</t>
  </si>
  <si>
    <t>Камаз М 176 РЕ</t>
  </si>
  <si>
    <t>ЛИАЗ Т 005 ЕО</t>
  </si>
  <si>
    <t>Хендай У 119 ОУ</t>
  </si>
  <si>
    <t>Scania М 413 ХТ</t>
  </si>
  <si>
    <t>КАМАЗ М 475 РК</t>
  </si>
  <si>
    <t>ООО Восток Закрома</t>
  </si>
  <si>
    <t>ГАЗ К 752 РН</t>
  </si>
  <si>
    <t>Isuzu Н 164 МР</t>
  </si>
  <si>
    <t>КАМАЗ А 651 СА</t>
  </si>
  <si>
    <t>Санатуллин Айрат</t>
  </si>
  <si>
    <t>ГАЗ М 515 РК</t>
  </si>
  <si>
    <t>Hyundai М 107 ЕК</t>
  </si>
  <si>
    <t>Кран К 776 ХТ</t>
  </si>
  <si>
    <t>ЭКСКАВАТОР УС 0492 73</t>
  </si>
  <si>
    <t>ООО ССК</t>
  </si>
  <si>
    <t>КАМАЗ М 638 МХ 73</t>
  </si>
  <si>
    <t>Mercedes К 571 ХО</t>
  </si>
  <si>
    <t>Lada Largus М 122 РМ</t>
  </si>
  <si>
    <t>Экскаватор JCB 5341 МА</t>
  </si>
  <si>
    <t>Т-150 Зузлов</t>
  </si>
  <si>
    <t>Changlin 6265 МК</t>
  </si>
  <si>
    <t>КАМАЗ К 669 РР</t>
  </si>
  <si>
    <t>ПАЗ М 100 ЕМ</t>
  </si>
  <si>
    <t>ИП Лошкарев</t>
  </si>
  <si>
    <t>ПАЗ Х 065 ЕА</t>
  </si>
  <si>
    <t>ГАЗель О 303 ВС</t>
  </si>
  <si>
    <t>УАЗ б/н</t>
  </si>
  <si>
    <t>Mitsubishi К 436 НМ</t>
  </si>
  <si>
    <t>Бровин</t>
  </si>
  <si>
    <t>Volvo Р 556 КА</t>
  </si>
  <si>
    <t>Volvo Р 546 ЕУ</t>
  </si>
  <si>
    <t>Volvo Р 679 ЕУ</t>
  </si>
  <si>
    <t>Volvo 534</t>
  </si>
  <si>
    <t>Volvo Р 761 ЕУ</t>
  </si>
  <si>
    <t>Volvo Р 702 ЕУ</t>
  </si>
  <si>
    <t>Volvo Р 698 ЕУ</t>
  </si>
  <si>
    <t>Volvo Р 495 КА</t>
  </si>
  <si>
    <t>Volvo Р 528 КА</t>
  </si>
  <si>
    <t>Scania М 644 НК 73</t>
  </si>
  <si>
    <t>СИМТЭП ООО</t>
  </si>
  <si>
    <t>DAF М 986 РМ 73</t>
  </si>
  <si>
    <t>ПАЗ В 292 КУ</t>
  </si>
  <si>
    <t>ПАЗ В 383 ВУ</t>
  </si>
  <si>
    <t>ПАЗ Х 088 ЕА</t>
  </si>
  <si>
    <t>ПАЗ Е 444 ВУ</t>
  </si>
  <si>
    <t>К 491 СР (Газель)</t>
  </si>
  <si>
    <t>Камаз К 013 СА</t>
  </si>
  <si>
    <t>ГАЗон Next М 186 МО</t>
  </si>
  <si>
    <t>Человеческий фактор</t>
  </si>
  <si>
    <t>КАМАЗ С 909 ВУ 73</t>
  </si>
  <si>
    <t>Камаз М 472 МХ</t>
  </si>
  <si>
    <t>Volvo К 063 НР</t>
  </si>
  <si>
    <t>Волкова</t>
  </si>
  <si>
    <t>УАЗ М 852 РМ</t>
  </si>
  <si>
    <t>Скания М 333 МТ</t>
  </si>
  <si>
    <t>МАЗ 544028 М980НК73</t>
  </si>
  <si>
    <t>Hyundai М 083 МС</t>
  </si>
  <si>
    <t>Lada К 779 ХН</t>
  </si>
  <si>
    <t>Hyundai М 145 МС</t>
  </si>
  <si>
    <t>Газель М 286 МС</t>
  </si>
  <si>
    <t>MAN А 199 РЕ</t>
  </si>
  <si>
    <t>Ford М 204 ВУ</t>
  </si>
  <si>
    <t>Вольво К 280 РВ</t>
  </si>
  <si>
    <t>Scania М 928 ХЕ</t>
  </si>
  <si>
    <t>Кежаев</t>
  </si>
  <si>
    <t>МТЗ 82.1 (г.н. 0400 УЕ) Кологреев</t>
  </si>
  <si>
    <t>King Long К 909 СО</t>
  </si>
  <si>
    <t>ИП Бельских</t>
  </si>
  <si>
    <t>КАМАЗ А 780 ОТ</t>
  </si>
  <si>
    <t>КАМАЗ В 800 АС</t>
  </si>
  <si>
    <t>Камаз М 629 МХ</t>
  </si>
  <si>
    <t>СЫНОК М079НЕ 73</t>
  </si>
  <si>
    <t>Дозор №1</t>
  </si>
  <si>
    <t>ФГКУ Комбинат Северный</t>
  </si>
  <si>
    <t>Fiat М 865 МТ</t>
  </si>
  <si>
    <t>Такси-Сервис (Хуснутдинова Светлана Азатовна (Такси-Сервис))</t>
  </si>
  <si>
    <t>Reno А 492 ТА</t>
  </si>
  <si>
    <t>АВ_Краснов</t>
  </si>
  <si>
    <t>Газель В319КУ73</t>
  </si>
  <si>
    <t>ai.starodubov</t>
  </si>
  <si>
    <t>А 438 РА (Hyundai)</t>
  </si>
  <si>
    <t>ХладоКомбинат</t>
  </si>
  <si>
    <t>ЮМЗ 5147</t>
  </si>
  <si>
    <t>XGMA 2067 УХ</t>
  </si>
  <si>
    <t>КАМАЗ Т 657 ЕС</t>
  </si>
  <si>
    <t>ИП Пчелкин</t>
  </si>
  <si>
    <t>Lada Granta А 676 ТЕ</t>
  </si>
  <si>
    <t>JCB 5336</t>
  </si>
  <si>
    <t>New Holland б/н</t>
  </si>
  <si>
    <t>Бароян</t>
  </si>
  <si>
    <t>Кировец К-525</t>
  </si>
  <si>
    <t>JCB 3373УХ73</t>
  </si>
  <si>
    <t>Атеев Рифкат
(Мехстрой)</t>
  </si>
  <si>
    <t>Дозор №2</t>
  </si>
  <si>
    <t>308ц</t>
  </si>
  <si>
    <t>Е 482 ВО(Камаз)</t>
  </si>
  <si>
    <t>Энергия baltika</t>
  </si>
  <si>
    <t>МАЗ М 911 МУ</t>
  </si>
  <si>
    <t>КАМАЗ М 695 МУ 73</t>
  </si>
  <si>
    <t>9050353131nv</t>
  </si>
  <si>
    <t>Isuzu Е861ХН163</t>
  </si>
  <si>
    <t>КАМАЗ М 694 МУ 73</t>
  </si>
  <si>
    <t>Hyundai М 161 ЕЕ</t>
  </si>
  <si>
    <t>Камаз М 041 НЕ 73</t>
  </si>
  <si>
    <t>Фрегат73</t>
  </si>
  <si>
    <t>МАЗ К 785 РК</t>
  </si>
  <si>
    <t>Hyundai Solaris М 560 НА 73</t>
  </si>
  <si>
    <t>Кочетков</t>
  </si>
  <si>
    <t>Hyundai Solaris М 533 МА 73</t>
  </si>
  <si>
    <t>Hyundai Solaris М 505 НА 73</t>
  </si>
  <si>
    <t>Hyundai Solaris М 582 ХТ 73</t>
  </si>
  <si>
    <t>ПРЕМЬЕР</t>
  </si>
  <si>
    <t>Chevrolet М 874 МС 73</t>
  </si>
  <si>
    <t>ПАЗ А 258 СР</t>
  </si>
  <si>
    <t>ПАЗ А 255 СН</t>
  </si>
  <si>
    <t>Hyundai Solaris М 011 НВ 73</t>
  </si>
  <si>
    <t>Симаз К 352 СЕ</t>
  </si>
  <si>
    <t>2978 УА(МТЗ)</t>
  </si>
  <si>
    <t>Kia Rio Н 211 ХЕ</t>
  </si>
  <si>
    <t>Такси-Сервис</t>
  </si>
  <si>
    <t>Kia Rio К 948 РА</t>
  </si>
  <si>
    <t>Hyundai К 818 ХО</t>
  </si>
  <si>
    <t>Hyundai К 947 РА</t>
  </si>
  <si>
    <t>DATSUN ON-DO К 611 СА</t>
  </si>
  <si>
    <t>Kia Rio К 456 ХН</t>
  </si>
  <si>
    <t>DATSUN ON-DO К 720 СА</t>
  </si>
  <si>
    <t>DATSUN ON-DO К 494 КУ</t>
  </si>
  <si>
    <t>DATSUN ON-DO К 530 РТ</t>
  </si>
  <si>
    <t>Volkswagen М 793 МС</t>
  </si>
  <si>
    <t>Volkswagen К 016 СН</t>
  </si>
  <si>
    <t>Renault Logan К 638 КО</t>
  </si>
  <si>
    <t>Renault Logan К 282 КО</t>
  </si>
  <si>
    <t>Renault Logan К 617 КО</t>
  </si>
  <si>
    <t>Hyundai К 536 РМ</t>
  </si>
  <si>
    <t>Renault Logan К 715 НН</t>
  </si>
  <si>
    <t>Hyundai К 257 УР</t>
  </si>
  <si>
    <t>Renault Logan К 511 НН</t>
  </si>
  <si>
    <t>Reno Logan К 621 КО</t>
  </si>
  <si>
    <t>Hyundai М 479 МС</t>
  </si>
  <si>
    <t>DATSUN ON-DO Datsun К 351 РР</t>
  </si>
  <si>
    <t>Volkswagen Polo К 074 СН</t>
  </si>
  <si>
    <t>Volkswagen Polo К 053 СН</t>
  </si>
  <si>
    <t>Hyundai М 303 МС</t>
  </si>
  <si>
    <t>DATSUN ON-DO К 708 СА</t>
  </si>
  <si>
    <t>Reno Logan К 996 КЕ</t>
  </si>
  <si>
    <t>Hyundai М 486 МС</t>
  </si>
  <si>
    <t>Renault Logan К 761 НН</t>
  </si>
  <si>
    <t>Volkswagen К 009 СН</t>
  </si>
  <si>
    <t>Kia Rio К 787 НМ</t>
  </si>
  <si>
    <t>Kia Rio К 372 ХН</t>
  </si>
  <si>
    <t>Kia Rio К 368 ХН</t>
  </si>
  <si>
    <t>Kia Rio К 385 ХН</t>
  </si>
  <si>
    <t>Kia Rio К 668 ХН</t>
  </si>
  <si>
    <t>Hyundai М 450 МС</t>
  </si>
  <si>
    <t>Volkswagen Polo К 057 СН</t>
  </si>
  <si>
    <t>Kia Rio К 565 ХН</t>
  </si>
  <si>
    <t>Reno Logan К 107 НН</t>
  </si>
  <si>
    <t>DATSUN ON-DO К 587 СА</t>
  </si>
  <si>
    <t>Reno Renault К 019 КН</t>
  </si>
  <si>
    <t>Kia Rio К 623 КС</t>
  </si>
  <si>
    <t>DATSUN ON-DO М 955 ЕТ</t>
  </si>
  <si>
    <t>Volkswagen Polo К 018 СН</t>
  </si>
  <si>
    <t>Volkswagen Polo К 062 СН</t>
  </si>
  <si>
    <t>Reno Logan К 759 КЕ</t>
  </si>
  <si>
    <t>Reno Logan К 304 КН</t>
  </si>
  <si>
    <t>Renault Logan К 769 НН</t>
  </si>
  <si>
    <t>Kia Rio К 920 РА</t>
  </si>
  <si>
    <t>Renault Logan К 673 КЕ</t>
  </si>
  <si>
    <t>Renault Logan К 648 КО</t>
  </si>
  <si>
    <t>Kia Rio К 922 РА</t>
  </si>
  <si>
    <t>DATSUN ON-DO К 452 КУ</t>
  </si>
  <si>
    <t>Kia Rio К 612 КС</t>
  </si>
  <si>
    <t>Kia Rio К 390 ХН</t>
  </si>
  <si>
    <t>Hyundai М 812 НЕ</t>
  </si>
  <si>
    <t>Isuzu М 288 МТ 73</t>
  </si>
  <si>
    <t>Надейкин</t>
  </si>
  <si>
    <t>УАЗ Е 355 ЕВ</t>
  </si>
  <si>
    <t>Ульяновсккурорт</t>
  </si>
  <si>
    <t>ГАЗель М 205 НР</t>
  </si>
  <si>
    <t>Галанов</t>
  </si>
  <si>
    <t>Камаз Р 916 НМ 790</t>
  </si>
  <si>
    <t>9050353131nv
Палькеев М. А.</t>
  </si>
  <si>
    <t>DAF М 511 НК 73</t>
  </si>
  <si>
    <t>Газель М 055 НР</t>
  </si>
  <si>
    <t>АГРО-Н</t>
  </si>
  <si>
    <t>Komatsu 3829 УХ</t>
  </si>
  <si>
    <t>Силикат+</t>
  </si>
  <si>
    <t>К 744 9480 МК</t>
  </si>
  <si>
    <t>Урал М 827 ХТ</t>
  </si>
  <si>
    <t>Galileosky 7.0</t>
  </si>
  <si>
    <t>Автогазэксперт</t>
  </si>
  <si>
    <t>Scania М 760 НР 73</t>
  </si>
  <si>
    <t>ВАЗ А 137 ЕН 73</t>
  </si>
  <si>
    <t>FIAT Dukato Н 069 ВО 73</t>
  </si>
  <si>
    <t>ФГБУЗ КБ172
ФГБУ ФНКЦРИО ФМБА РОССИИ</t>
  </si>
  <si>
    <t>Газель В 186 ХР 73</t>
  </si>
  <si>
    <t>Дефус</t>
  </si>
  <si>
    <t>Капелла (Европа)</t>
  </si>
  <si>
    <t>Lada М 559 ХК 73</t>
  </si>
  <si>
    <t>Shkoda М 987 НК 73</t>
  </si>
  <si>
    <t>В 666 АХ (Hyndai Porter)</t>
  </si>
  <si>
    <t>КВЗ Е 395 ХН 73</t>
  </si>
  <si>
    <t>ДДТ-МБУК</t>
  </si>
  <si>
    <t>FIAT Dukato О 145 ВО 73</t>
  </si>
  <si>
    <t>ГАЗель К 900 АУ 763</t>
  </si>
  <si>
    <t>КАМАЗ Н 258 ХН 73</t>
  </si>
  <si>
    <t>КАМАЗ Н 214 ХН 73</t>
  </si>
  <si>
    <t>Scania М 749 НР 73</t>
  </si>
  <si>
    <t>КАМАЗ М417РЕ73</t>
  </si>
  <si>
    <t>ООО Ильвитстрой (ИВС ООО )</t>
  </si>
  <si>
    <t>КАМАЗ Н 694 ХК 73</t>
  </si>
  <si>
    <t>КАМАЗ Н 706 ХК 73</t>
  </si>
  <si>
    <t>Freightliner В 255 НУ 21</t>
  </si>
  <si>
    <t>Назыров (Босфор)</t>
  </si>
  <si>
    <t>КАМАЗ М 794 НЕ 73</t>
  </si>
  <si>
    <t>КАМАЗ Н 255 ХН 73</t>
  </si>
  <si>
    <t>Komatsu 6230 УХ 73</t>
  </si>
  <si>
    <t>КАМАЗ Н 256 ХН 73</t>
  </si>
  <si>
    <t>КАМАЗ М 535 НК 73</t>
  </si>
  <si>
    <t>Камаз М 603 НС 73</t>
  </si>
  <si>
    <t>МАЗ М 424 НК 73</t>
  </si>
  <si>
    <t>ИП Бахтин</t>
  </si>
  <si>
    <t xml:space="preserve">ТД Ундоровская Волжанка </t>
  </si>
  <si>
    <t>9050353131nv
Наш Век (Пальекеев А. В,)</t>
  </si>
  <si>
    <t>ПАЗ М 819 НР 73</t>
  </si>
  <si>
    <t>Mercedes М 176 НМ 73</t>
  </si>
  <si>
    <t>Курносов</t>
  </si>
  <si>
    <t>МТЗ 1221 (vin-0570) Сыров</t>
  </si>
  <si>
    <t>Село Вешкайма
Вешкаймское ООО</t>
  </si>
  <si>
    <t>Ford М 107 НС 73</t>
  </si>
  <si>
    <t>АО Банк-Венец</t>
  </si>
  <si>
    <t>К700 7321 УМ</t>
  </si>
  <si>
    <t>ГАЗель Е 358 СА 73</t>
  </si>
  <si>
    <t>Volvo A25D 9899 УМ</t>
  </si>
  <si>
    <t>Лукьяновский ГОК</t>
  </si>
  <si>
    <t>МТЗ 1221 (vin-0565) Аладин</t>
  </si>
  <si>
    <t>Село Вешкайма
ООО Вешкаймское</t>
  </si>
  <si>
    <t>М 361 ВХ (Камаз)</t>
  </si>
  <si>
    <t>Mercedes М 967 НМ 73</t>
  </si>
  <si>
    <t>Гафуров Р. А</t>
  </si>
  <si>
    <t>Е 018 РА VOLVO</t>
  </si>
  <si>
    <t xml:space="preserve"> (Буран 5042УХ73)</t>
  </si>
  <si>
    <t>ВОЛЖАНКА ПО УЗМВ (Волжанка Ундоры)</t>
  </si>
  <si>
    <t>Datsun on-DO К 176 НМ 73</t>
  </si>
  <si>
    <t>Газель К913ХН73 (БЕЛАЯ)</t>
  </si>
  <si>
    <t>BobCat ###</t>
  </si>
  <si>
    <t>FIAT Dukato Н 505 ВО</t>
  </si>
  <si>
    <t>Ford vin 53661</t>
  </si>
  <si>
    <t>ГАЗель Е 294 НР 73</t>
  </si>
  <si>
    <t>ПАЗ В 473 КК 73</t>
  </si>
  <si>
    <t>Газель М 624 НК 73</t>
  </si>
  <si>
    <t>Ориентир ТД</t>
  </si>
  <si>
    <t>МАЗ А 600 ЕО</t>
  </si>
  <si>
    <t>МАЗ М 975 ХЕ 73</t>
  </si>
  <si>
    <t>ИПНовиков</t>
  </si>
  <si>
    <t>КАМАЗ В 906 УР</t>
  </si>
  <si>
    <t>ООО ТехноСтрой (Полежаева Е. Ю,)</t>
  </si>
  <si>
    <t>Камаз б/н</t>
  </si>
  <si>
    <t>Scania М 504 РА</t>
  </si>
  <si>
    <t>Едифанов
(Арсенал ТК ООО)</t>
  </si>
  <si>
    <t>ГАЗон Next М 068 НС 73</t>
  </si>
  <si>
    <t>Паттранс</t>
  </si>
  <si>
    <t>Scania М 374 НС 73</t>
  </si>
  <si>
    <t>ГАЗон К 836 РА 73</t>
  </si>
  <si>
    <t>ТЕПЛОЭЛЕКТРОСЕРВИС ООО</t>
  </si>
  <si>
    <t>SHANTUI SD16</t>
  </si>
  <si>
    <t>ООО Транс Сервис</t>
  </si>
  <si>
    <t>Volkswagen Polo М 021 НМ</t>
  </si>
  <si>
    <t>Ровенский</t>
  </si>
  <si>
    <t>Mercedes К 851 КУ</t>
  </si>
  <si>
    <t>Navtelecom SMART S-2435</t>
  </si>
  <si>
    <t>2084 Камаз 518</t>
  </si>
  <si>
    <t>АГРО - ИНВЕСТ ООО</t>
  </si>
  <si>
    <t>8758 КАМАЗ Т 481 ОМ Богатов</t>
  </si>
  <si>
    <t>9787 КАМАЗ 381</t>
  </si>
  <si>
    <t>4083 КАМАЗ А 256 РХ 123 Губанов</t>
  </si>
  <si>
    <t>9061 УАЗ К 221</t>
  </si>
  <si>
    <t>5090 Камаз У 932 КС 163 Филаретов</t>
  </si>
  <si>
    <t>2162 Камаз Е 496 ТЕ 73 Грачев</t>
  </si>
  <si>
    <t>7411 КАМАЗ А 569 СМ Сотников Р</t>
  </si>
  <si>
    <t>8234 ДАФ Т 253 СХ Фокин А</t>
  </si>
  <si>
    <t>МАЗ 544028 М030НК73</t>
  </si>
  <si>
    <t>КАМАЗ 147</t>
  </si>
  <si>
    <t>Субаев Марат Рафикович</t>
  </si>
  <si>
    <t>КАМАЗ 230</t>
  </si>
  <si>
    <t>силикат+</t>
  </si>
  <si>
    <t>ПАЗ В 474 КК</t>
  </si>
  <si>
    <t>Hyundai К 757 НК</t>
  </si>
  <si>
    <t>Такси-Сервис (Дорофеев Максим Владимирович)</t>
  </si>
  <si>
    <t>ГАЗ М 355 КУ 73</t>
  </si>
  <si>
    <t>ВТК ГРУПП</t>
  </si>
  <si>
    <t>КАМАЗ М614НР73</t>
  </si>
  <si>
    <t>ООО Петровское</t>
  </si>
  <si>
    <t>УАЗ А670РО73</t>
  </si>
  <si>
    <t>СКИК Новомалыклинский
(Агроконцепт-Волга)</t>
  </si>
  <si>
    <t>Mercedes М 774 РТ 73</t>
  </si>
  <si>
    <t>Datsun on-DO М 845 РВ</t>
  </si>
  <si>
    <t>Datsun on-Do Е 916 СА</t>
  </si>
  <si>
    <t>Газель Н 510 ХР 73</t>
  </si>
  <si>
    <t>К 744 VIN 2272 (автомат)</t>
  </si>
  <si>
    <t>Транс Сервис ООО</t>
  </si>
  <si>
    <t>Мерседес К707НА</t>
  </si>
  <si>
    <t>Союз ООО (Елатов)</t>
  </si>
  <si>
    <t>ГАЗ К 991 РН</t>
  </si>
  <si>
    <t>Скик
(агроконцепт)</t>
  </si>
  <si>
    <t>МАЗ Н 433 ХР</t>
  </si>
  <si>
    <t>Нехожин КА</t>
  </si>
  <si>
    <t>МАН М083ВТ</t>
  </si>
  <si>
    <t>ГАЗ М 658 АН</t>
  </si>
  <si>
    <t>МАЗ К218СР73</t>
  </si>
  <si>
    <t>М07 Е 643 СН</t>
  </si>
  <si>
    <t>ГАЗель А 050 ТТ</t>
  </si>
  <si>
    <t>Хлебпром 4</t>
  </si>
  <si>
    <t>Скания В563ХР73</t>
  </si>
  <si>
    <t>Мустакимов Марат Шаукатович</t>
  </si>
  <si>
    <t>Shacman М895РТ73</t>
  </si>
  <si>
    <t>ООО Союз ЛТД</t>
  </si>
  <si>
    <t>Lada Largus Т 958 АЕ</t>
  </si>
  <si>
    <t>Вертикаль Сервис</t>
  </si>
  <si>
    <t>Газель К294РР</t>
  </si>
  <si>
    <t>Махмутов Ирек Иршатович (Махмутова Елена Евгеньевна)</t>
  </si>
  <si>
    <t>Марседес Атего 1823 (Е 244ЕЕ 730)</t>
  </si>
  <si>
    <t>НикишкинМН</t>
  </si>
  <si>
    <t>Газель К 945 КА 73</t>
  </si>
  <si>
    <t>kontract-tehno</t>
  </si>
  <si>
    <t>маз 457143 (С 273ЕО 73)</t>
  </si>
  <si>
    <t>ТихоновОВ</t>
  </si>
  <si>
    <t>Reno А 698 ЕЕ 163</t>
  </si>
  <si>
    <t>ИП Мукин</t>
  </si>
  <si>
    <t>Yigong 9897 УС 73</t>
  </si>
  <si>
    <t>НизамовЛФ</t>
  </si>
  <si>
    <t>Neman М 465 НЕ 73</t>
  </si>
  <si>
    <t>МБУ СШОР Волга</t>
  </si>
  <si>
    <t>Газон NEXT К 514 НК</t>
  </si>
  <si>
    <t>БаранниковДА</t>
  </si>
  <si>
    <t>Renault Logan М 434 РТ</t>
  </si>
  <si>
    <t>SCANIA М 480 РТ</t>
  </si>
  <si>
    <t>ГАЗель М 846 СВ</t>
  </si>
  <si>
    <t>DAF М 709 ХН 73</t>
  </si>
  <si>
    <t>Агат ООО</t>
  </si>
  <si>
    <t>SCANIA М 501 РТ</t>
  </si>
  <si>
    <t>Кран М 036 РУ</t>
  </si>
  <si>
    <t>ИЛЬВИТСТРОЙ</t>
  </si>
  <si>
    <t>ГАЗ К 675 РМ</t>
  </si>
  <si>
    <t>Традиция baltika</t>
  </si>
  <si>
    <t>ПАЗ А 342 РО 154</t>
  </si>
  <si>
    <t>Камнеречка</t>
  </si>
  <si>
    <t>МТЗ 8581 МВ</t>
  </si>
  <si>
    <t>Туман 2158 УХ</t>
  </si>
  <si>
    <t>Викинг-Агро ООО</t>
  </si>
  <si>
    <t>МТЗ 4924 УС</t>
  </si>
  <si>
    <t>МТЗ 6873 УМ 73</t>
  </si>
  <si>
    <t>СПК Волга</t>
  </si>
  <si>
    <t>МТЗ 3939 УХ 73</t>
  </si>
  <si>
    <t>MST 7336 УХ</t>
  </si>
  <si>
    <t>Белаз 25</t>
  </si>
  <si>
    <t>Луидор Н 312 ЕУ 154</t>
  </si>
  <si>
    <t>Scania М 491 РТ 73</t>
  </si>
  <si>
    <t>Lada Largus К 515 НВ</t>
  </si>
  <si>
    <t>Hyundai М 106 АР 13</t>
  </si>
  <si>
    <t>ГАЗ С 380 ОУ</t>
  </si>
  <si>
    <t>УАЗ К 650 РТ</t>
  </si>
  <si>
    <t>УАЗ В 639 НВ</t>
  </si>
  <si>
    <t>УАЗ В 656 НХ</t>
  </si>
  <si>
    <t>УАЗ С 464 АР</t>
  </si>
  <si>
    <t>УАЗ О 987 УТ</t>
  </si>
  <si>
    <t>УАЗ Х 876 УХ</t>
  </si>
  <si>
    <t>УАЗ В 637 НВ</t>
  </si>
  <si>
    <t>ВАЗ 2107 К 006 ВВ</t>
  </si>
  <si>
    <t>УАЗ С 445 АР</t>
  </si>
  <si>
    <t>Терекс 6062 УМ</t>
  </si>
  <si>
    <t>ГАЗ В 945 ХК</t>
  </si>
  <si>
    <t>ГАЗ Е 902 МХ</t>
  </si>
  <si>
    <t>Терекс 0090 УХ</t>
  </si>
  <si>
    <t>УАЗ В 632 НВ</t>
  </si>
  <si>
    <t>КАМАЗ Е 272 ХН</t>
  </si>
  <si>
    <t>ИПСавельева</t>
  </si>
  <si>
    <t>МТЗ 6898 УМ</t>
  </si>
  <si>
    <t>МТЗ 0985 УС</t>
  </si>
  <si>
    <t>К-701 0321 УЕ</t>
  </si>
  <si>
    <t>В 238 ЕН (ГАЗон)</t>
  </si>
  <si>
    <t>ISUZU М 947 СА</t>
  </si>
  <si>
    <t>МТЗ 1288 УС</t>
  </si>
  <si>
    <t>ГАЗель М 170 ЕТ</t>
  </si>
  <si>
    <t>Lonking 5172 УХ</t>
  </si>
  <si>
    <t>СЕДРУС ПОВОЛЖЬЕ</t>
  </si>
  <si>
    <t>Белаз 26</t>
  </si>
  <si>
    <t>Туман б/н</t>
  </si>
  <si>
    <t>M 507 CB 73 (Toyota HINO)</t>
  </si>
  <si>
    <t>ЧеркашинСН</t>
  </si>
  <si>
    <t>МТЗ 3904 УХ</t>
  </si>
  <si>
    <t>Белаз 27</t>
  </si>
  <si>
    <t>КАМАЗ Н 743 НС</t>
  </si>
  <si>
    <t>УАЗ М 264 РТ</t>
  </si>
  <si>
    <t>МТЗ 4450 УМ</t>
  </si>
  <si>
    <t>Камаз М 706 РУ 73</t>
  </si>
  <si>
    <t>Ford М 086 АР</t>
  </si>
  <si>
    <t>Ford М 062 АР</t>
  </si>
  <si>
    <t>Versatile 3905 УХ</t>
  </si>
  <si>
    <t>Massey Ferguson 4811 УХ 73</t>
  </si>
  <si>
    <t>ГАЗель М 837 РУ 73</t>
  </si>
  <si>
    <t>ИП Абаимова</t>
  </si>
  <si>
    <t>ГАЗель М 739 РУ 73</t>
  </si>
  <si>
    <t>ГАЗель М 830 РУ 73</t>
  </si>
  <si>
    <t>УАЗ Е 977 НМ</t>
  </si>
  <si>
    <t>ГУЗ 3</t>
  </si>
  <si>
    <t>Беларус Vin-101130</t>
  </si>
  <si>
    <t>УАЗ М 675 НК</t>
  </si>
  <si>
    <t>УАЗ М 665 НК</t>
  </si>
  <si>
    <t>Reno Arkana М 953 СА</t>
  </si>
  <si>
    <t>ГАЗель М 785 РУ 73</t>
  </si>
  <si>
    <t>Медведев</t>
  </si>
  <si>
    <t>Kinglog Р238ХТ73</t>
  </si>
  <si>
    <t>ООО КАРЕТА</t>
  </si>
  <si>
    <t>Foxbus М 305 СО 73</t>
  </si>
  <si>
    <t>CLASS Jaguar 5780 УХ</t>
  </si>
  <si>
    <t>НОВАЯ ЖИЗНЬ СХПК</t>
  </si>
  <si>
    <t>Бензовоз М 285 НЕ</t>
  </si>
  <si>
    <t>Колонка ТРК Топаз</t>
  </si>
  <si>
    <t>CLAAS 5125 УХ</t>
  </si>
  <si>
    <t>CLAAS 5124 УХ</t>
  </si>
  <si>
    <t>Manitou 3959 УХ</t>
  </si>
  <si>
    <t>Massey Ferguson 4812 УХ</t>
  </si>
  <si>
    <t>Massey 5127 УХ</t>
  </si>
  <si>
    <t>Экскаватор Hitachi 5318 УХ 73</t>
  </si>
  <si>
    <t>ООО ДорСтрой</t>
  </si>
  <si>
    <t>Прямоход БАРС</t>
  </si>
  <si>
    <t>Село Вешкайма 3</t>
  </si>
  <si>
    <t>К-762 4931 УХ</t>
  </si>
  <si>
    <t>Контур ТП700</t>
  </si>
  <si>
    <t>МТЗ vin 108939</t>
  </si>
  <si>
    <t>К-742 МСТ1 vin-00137</t>
  </si>
  <si>
    <t>Вольский</t>
  </si>
  <si>
    <t>Mercedes М 596 РТ73</t>
  </si>
  <si>
    <t>Газон В 760 КВ</t>
  </si>
  <si>
    <t>КФХ Сяпуков2</t>
  </si>
  <si>
    <t>Е 779 ЕО (ГАЗон)</t>
  </si>
  <si>
    <t>МТЗ vin 44556</t>
  </si>
  <si>
    <t>К040УЕ82(Зубренок)</t>
  </si>
  <si>
    <t>КАМАЗ М 288 НВ</t>
  </si>
  <si>
    <t>КАМАЗ М 632 МУ 73</t>
  </si>
  <si>
    <t>Наш век</t>
  </si>
  <si>
    <t>Камаз С 440 ЕН</t>
  </si>
  <si>
    <t>Terex В 3648 УХ 73</t>
  </si>
  <si>
    <t>ИП Салахутдинов</t>
  </si>
  <si>
    <t>КАМАЗ Х 262 АО</t>
  </si>
  <si>
    <t>К-744 090277</t>
  </si>
  <si>
    <t>Foton Н 062 ХХ</t>
  </si>
  <si>
    <t>КАМАЗ C 739 КК 163</t>
  </si>
  <si>
    <t>ТРАНСЛАЙН ООО</t>
  </si>
  <si>
    <t>JCB 7393 УХ 73</t>
  </si>
  <si>
    <t>ООО СИНЕРГИЯ</t>
  </si>
  <si>
    <t>эльбрус самара</t>
  </si>
  <si>
    <t>УАЗ Патриот М090НК</t>
  </si>
  <si>
    <t>УАЗ Патриот А474АА</t>
  </si>
  <si>
    <t>Mercedes А 519 ХН</t>
  </si>
  <si>
    <t>ИПАбдрахманов</t>
  </si>
  <si>
    <t>Granta VIS М 812 НА 73</t>
  </si>
  <si>
    <t>Мавлюшов ИИ</t>
  </si>
  <si>
    <t>МАЗ М 274 МР</t>
  </si>
  <si>
    <t>МельниковАН</t>
  </si>
  <si>
    <t>Е 177 МУ (ГАЗель) Мочалов</t>
  </si>
  <si>
    <t>Е 796 РН (Skoda)</t>
  </si>
  <si>
    <t>Hyundai Solaris М 099 РТ 73</t>
  </si>
  <si>
    <t>Lada Largus Н 518 ХК 73</t>
  </si>
  <si>
    <t>МагСтрой</t>
  </si>
  <si>
    <t>МАЗ У 606 ЕЕ 73 (Контакт)</t>
  </si>
  <si>
    <t>ТалаловВЮ</t>
  </si>
  <si>
    <t>Валдай К 805 РМ</t>
  </si>
  <si>
    <t>Валдай А 637 ТК 73</t>
  </si>
  <si>
    <t>КривошеевДВ</t>
  </si>
  <si>
    <t>Scania А 704 СХ 73</t>
  </si>
  <si>
    <t>Mercedes Е 918 СО</t>
  </si>
  <si>
    <t>Скания М784СС</t>
  </si>
  <si>
    <t>ООО СИМТЭП</t>
  </si>
  <si>
    <t>DAF О 184 ЕО 73</t>
  </si>
  <si>
    <t>ACROS 550 vin: ROACR 550013846</t>
  </si>
  <si>
    <t>ООО Волга (ИП Санатуллин И.Ш)</t>
  </si>
  <si>
    <t>ACROS 585  8762УС73</t>
  </si>
  <si>
    <t>Acros б/н vin 26379</t>
  </si>
  <si>
    <t>Рено Т4x2 Х223ТС18</t>
  </si>
  <si>
    <t>Петров Николай Глебович</t>
  </si>
  <si>
    <t>Acros б/н vin 26352</t>
  </si>
  <si>
    <t>Acros 8763 УС</t>
  </si>
  <si>
    <t>Volvo Е048РА73</t>
  </si>
  <si>
    <t>Volvo FM  В434СЕ73</t>
  </si>
  <si>
    <t>ACROS 530  000127</t>
  </si>
  <si>
    <t>ACROS 530  6977УР21</t>
  </si>
  <si>
    <t>ДАФ М420РМ73</t>
  </si>
  <si>
    <t>Трефилов Вадим Владимирович</t>
  </si>
  <si>
    <t>Скания М971НУ37</t>
  </si>
  <si>
    <t>ГрузТранс37</t>
  </si>
  <si>
    <t>Камаз В893МУ73</t>
  </si>
  <si>
    <t>Забихуллов Раис Ханафиевич</t>
  </si>
  <si>
    <t>Lada T 803 НР</t>
  </si>
  <si>
    <t>ООО Риц-Ульяновск</t>
  </si>
  <si>
    <t>7216 Камаз С 712 КВ 58 Хакимов Р</t>
  </si>
  <si>
    <t>Газель next М 529 СН 73</t>
  </si>
  <si>
    <t>Газель next М 679 СН 73</t>
  </si>
  <si>
    <t>5914 Камаз М 518 ЕК Пайгин</t>
  </si>
  <si>
    <t>7667камаз Р082МХ Уразаев</t>
  </si>
  <si>
    <t>5199 ГАЗ 633 Кичигин</t>
  </si>
  <si>
    <t>7470 Е 617 НХ 58 Кожевников М</t>
  </si>
  <si>
    <t>5108 MAN Т 296ЕВ Адешин</t>
  </si>
  <si>
    <t>4099 Камаз 072</t>
  </si>
  <si>
    <t>Газель next М 790 СН 73</t>
  </si>
  <si>
    <t>Газель next М 789 СН 73</t>
  </si>
  <si>
    <t>УАЗ М 433 СО 73</t>
  </si>
  <si>
    <t>Газел Т 752 ВК 163</t>
  </si>
  <si>
    <t>УАЗ М 657 СО 73</t>
  </si>
  <si>
    <t>УЛЬЯНОВСКОЕ ЛЕСНИЧЕСТВО</t>
  </si>
  <si>
    <t>УАЗ М 590 СО 73</t>
  </si>
  <si>
    <t>830-ц</t>
  </si>
  <si>
    <t>ЕвроцементТР</t>
  </si>
  <si>
    <t>УАЗ М 488 СО 73</t>
  </si>
  <si>
    <t>УАЗ М 481 СО 73</t>
  </si>
  <si>
    <t>УАЗ Патриот М318СА</t>
  </si>
  <si>
    <t>ООО Вешкаймское</t>
  </si>
  <si>
    <t>Mercedes М 697 ХХ 73</t>
  </si>
  <si>
    <t>suharev</t>
  </si>
  <si>
    <t>956ц</t>
  </si>
  <si>
    <t>Scania Н 151 ХН</t>
  </si>
  <si>
    <t>ООО Дальтранс</t>
  </si>
  <si>
    <t>Туман 1322 АЕ 16</t>
  </si>
  <si>
    <t>Цильна</t>
  </si>
  <si>
    <t>Полесье 0005 НЕ Валиев Фанис</t>
  </si>
  <si>
    <t>КАМАЗ Е 950 CE 73</t>
  </si>
  <si>
    <t>КАМАЗ Р 259 ВА Валеев</t>
  </si>
  <si>
    <t>МТЗ 1334 АЕ Аббазов Фаргат</t>
  </si>
  <si>
    <t>JACTO 5154 УХ</t>
  </si>
  <si>
    <t>МТЗ 5471 АВ Булатов Талгат</t>
  </si>
  <si>
    <t>МТЗ 1979 ОУ Сайфутдинов Радик</t>
  </si>
  <si>
    <t>Claas 5458 МК16</t>
  </si>
  <si>
    <t>КАМАЗ Р 258 ВА 16</t>
  </si>
  <si>
    <t>DAF Е 897 ТО 21</t>
  </si>
  <si>
    <t>Scania Н 796 ХН 73</t>
  </si>
  <si>
    <t>К-700 6565 АЕ 77</t>
  </si>
  <si>
    <t>Claas 3936 ОХ 16</t>
  </si>
  <si>
    <t>Камаз М 999 РВ 73</t>
  </si>
  <si>
    <t>Симкин Е.В</t>
  </si>
  <si>
    <t>Scania М 833 МР 73</t>
  </si>
  <si>
    <t>Газель М 139 СО 73</t>
  </si>
  <si>
    <t>Shacman Б/Н</t>
  </si>
  <si>
    <t>Uniport 9136 МЕ</t>
  </si>
  <si>
    <t>Полесье 3447 МЕ</t>
  </si>
  <si>
    <t>МАЗ М 714 МР</t>
  </si>
  <si>
    <t>КАМАЗ Р 250 ВА 16</t>
  </si>
  <si>
    <t>КАМАЗ У 170 МН</t>
  </si>
  <si>
    <t>MacDon 6239 ЕР 16</t>
  </si>
  <si>
    <t>КАМАЗ М 297 УО</t>
  </si>
  <si>
    <t>Claas 1410 ЕР 16</t>
  </si>
  <si>
    <t>CLAAS TUCANO 430 1323 АЕ 16</t>
  </si>
  <si>
    <t>петров</t>
  </si>
  <si>
    <t>Газель В 728 НР</t>
  </si>
  <si>
    <t>СИ_МАРКЕТ</t>
  </si>
  <si>
    <t>Lada Westa М 103 РВ 73</t>
  </si>
  <si>
    <t>Леготин Д.</t>
  </si>
  <si>
    <t>ГАЗ К 320 РН 73</t>
  </si>
  <si>
    <t>ФГБУЗ КБ172</t>
  </si>
  <si>
    <t>ГАЗ К 797 НК 73</t>
  </si>
  <si>
    <t>KIA Rio М 644 СН</t>
  </si>
  <si>
    <t>Клементьев А.В</t>
  </si>
  <si>
    <t>Lada Granta Н 139 ХЕ 73</t>
  </si>
  <si>
    <t>Библюк А.О</t>
  </si>
  <si>
    <t>КАМАЗ Е 595 НТ 73</t>
  </si>
  <si>
    <t>ПАЗ К 147 ЕХ 73</t>
  </si>
  <si>
    <t>Газель В 450 ХМ</t>
  </si>
  <si>
    <t>ГАЗ К 310 РН 73</t>
  </si>
  <si>
    <t>ГАЗ К 951 НР 73</t>
  </si>
  <si>
    <t>Skoda Octavia В 855 ВТ 82</t>
  </si>
  <si>
    <t>Газель В 255 РУ</t>
  </si>
  <si>
    <t>Fiat Ducto А 318 КО 73</t>
  </si>
  <si>
    <t>ТрансТехСервис</t>
  </si>
  <si>
    <t>Газель В 583 РВ</t>
  </si>
  <si>
    <t>Газель Р 340 РР</t>
  </si>
  <si>
    <t>Isuzu М 244 ВС</t>
  </si>
  <si>
    <t>Ford К 294 КУ 73</t>
  </si>
  <si>
    <t>ГУЗ УТЦМК</t>
  </si>
  <si>
    <t>Isuzu А 447 КА</t>
  </si>
  <si>
    <t>Lada Granta М 015 МР</t>
  </si>
  <si>
    <t>Ford К 339 РО 82</t>
  </si>
  <si>
    <t>Газель К 453 СА</t>
  </si>
  <si>
    <t>Lada Vesta М 047 СА</t>
  </si>
  <si>
    <t>РКЦ-УЛЬЯНОВСК ООО</t>
  </si>
  <si>
    <t>Renault В 069 ТР</t>
  </si>
  <si>
    <t>Isuzu А 446 КА</t>
  </si>
  <si>
    <t>Ford М 378 НА 73</t>
  </si>
  <si>
    <t>Lada Granta М 937 МО</t>
  </si>
  <si>
    <t>Wolksvagen Polo К 742 ЕР 73</t>
  </si>
  <si>
    <t>УРАЛ Р 345 ЕО</t>
  </si>
  <si>
    <t>John Deere УХ 1785</t>
  </si>
  <si>
    <t>Палессе 5405 УС</t>
  </si>
  <si>
    <t>Палессе 6799 УМ</t>
  </si>
  <si>
    <t>Палессе 5485 УС</t>
  </si>
  <si>
    <t>Isuzu К522ХР73</t>
  </si>
  <si>
    <t>Палессе 5669 УС</t>
  </si>
  <si>
    <t>ГАЗель О 564 ВТ</t>
  </si>
  <si>
    <t>Барышский хлебокомбинат</t>
  </si>
  <si>
    <t>ГАЗель Р 090 ЕМ</t>
  </si>
  <si>
    <t>Газель М 668 ХН 73</t>
  </si>
  <si>
    <t>ОбуховВА</t>
  </si>
  <si>
    <t>Acros 585 5671 УС</t>
  </si>
  <si>
    <t>Scania М 959 СО 73</t>
  </si>
  <si>
    <t>СтакановЕГ</t>
  </si>
  <si>
    <t>Комбайн Палессе 1386 АМ</t>
  </si>
  <si>
    <t>Shacman М 902 РУ 73</t>
  </si>
  <si>
    <t>СанатулловРТ</t>
  </si>
  <si>
    <t>Кран XCMG в463хт</t>
  </si>
  <si>
    <t>Scania М 761 CH 73</t>
  </si>
  <si>
    <t>Энерготрансстрой</t>
  </si>
  <si>
    <t>Комбайн Симбирцит 0881 УХ</t>
  </si>
  <si>
    <t>KIO RIO М 302 СК</t>
  </si>
  <si>
    <t>ТявинАМ</t>
  </si>
  <si>
    <t>ГАЗель М 689 РМ</t>
  </si>
  <si>
    <t>УАЗ Patriot М 141 НМ</t>
  </si>
  <si>
    <t>ГУЗ КБ</t>
  </si>
  <si>
    <t>Lada Largus Н 712 ХН 73</t>
  </si>
  <si>
    <t>ООО Днепр</t>
  </si>
  <si>
    <t>ГАЗ Н 419 ВМ 73</t>
  </si>
  <si>
    <t>Хуснетдинов</t>
  </si>
  <si>
    <t>Газель В 883 ХМ</t>
  </si>
  <si>
    <t>ГАЗель Е 835 НС</t>
  </si>
  <si>
    <t>Renault Premium Е 311 ХУ</t>
  </si>
  <si>
    <t>Усерднов АВ</t>
  </si>
  <si>
    <t>Lada Granta М 588 МС</t>
  </si>
  <si>
    <t>Гидроцикл</t>
  </si>
  <si>
    <t>Зайнуллин РИ</t>
  </si>
  <si>
    <t>Peugeot А 529 ТХ</t>
  </si>
  <si>
    <t>Газель Н 665 ХК</t>
  </si>
  <si>
    <t>Lada Granta Н 967 ХВ 73</t>
  </si>
  <si>
    <t>К 222 АМ 56</t>
  </si>
  <si>
    <t>КалмантаевВА</t>
  </si>
  <si>
    <t>Volkswagen Polo М 462 СР 73</t>
  </si>
  <si>
    <t>Триада ООО</t>
  </si>
  <si>
    <t>Hyundai М 939 РМ</t>
  </si>
  <si>
    <t>ГАЗель Е 878 НВ 73</t>
  </si>
  <si>
    <t>СадыковМ</t>
  </si>
  <si>
    <t>Yutong Н 794 ХТ</t>
  </si>
  <si>
    <t>Volkswagen Polo М 418 СР 73</t>
  </si>
  <si>
    <t>Volkswagen Polo К 742 ЕР 73</t>
  </si>
  <si>
    <t>Hyundai У 111 ЕН</t>
  </si>
  <si>
    <t>Lada Vesta Р 020 ХУ</t>
  </si>
  <si>
    <t>Lada Vesta Р 194 ХТ</t>
  </si>
  <si>
    <t>Lada Vesta Р 421 ХС</t>
  </si>
  <si>
    <t>УАЗ Профи Е 664 АХ 97</t>
  </si>
  <si>
    <t>Газель К 028 КУ 73</t>
  </si>
  <si>
    <t>МингазовРФ</t>
  </si>
  <si>
    <t>Lada Vesta Р 013 ХН</t>
  </si>
  <si>
    <t>УАЗ Буханка М 161 НМ</t>
  </si>
  <si>
    <t>Lada Largus Е 763 НУ</t>
  </si>
  <si>
    <t>БачковаНН</t>
  </si>
  <si>
    <t>Toyota Corolla Х 111 ВУ</t>
  </si>
  <si>
    <t>Ldad Largus Е 704 ТН 73</t>
  </si>
  <si>
    <t>ИП Пивцайкин</t>
  </si>
  <si>
    <t>УАЗ Профи Е 372 АК 797</t>
  </si>
  <si>
    <t>М 364 ТВ VOLVO</t>
  </si>
  <si>
    <t>ПАЗ К 248 СС</t>
  </si>
  <si>
    <t>ГАЗ С 095 АР</t>
  </si>
  <si>
    <t>УАЗ Е 083 МВ</t>
  </si>
  <si>
    <t>ГАЗ Т 874 АС</t>
  </si>
  <si>
    <t>ГАЗель Е 980 ТН</t>
  </si>
  <si>
    <t>Hyundai Р 111 ЕМ</t>
  </si>
  <si>
    <t>УАЗ Р 762 ЕВ</t>
  </si>
  <si>
    <t>Scania Р 203 ХТ</t>
  </si>
  <si>
    <t>Geka D50 vin 1851120</t>
  </si>
  <si>
    <t>В 535 ХМ (Валдай)</t>
  </si>
  <si>
    <t>Yutong Е 423 ХЕ</t>
  </si>
  <si>
    <t>Камаз М 221 СМ</t>
  </si>
  <si>
    <t>Восток</t>
  </si>
  <si>
    <t>Scania А 385 ВУ</t>
  </si>
  <si>
    <t>МАЗ М 725 СС</t>
  </si>
  <si>
    <t>Higer М 768 ХН</t>
  </si>
  <si>
    <t>КАМАЗ О 395 НХ</t>
  </si>
  <si>
    <t>ГранинАП</t>
  </si>
  <si>
    <t>ГАЗ Н 912 ХО 73</t>
  </si>
  <si>
    <t>Эвакуаторы</t>
  </si>
  <si>
    <t>Камаз М 309 ВА 73</t>
  </si>
  <si>
    <t>ДоронинВЕ</t>
  </si>
  <si>
    <t>Амкадор 7382 УМ 73</t>
  </si>
  <si>
    <t>Ростсельмаш 6164 УХ 73</t>
  </si>
  <si>
    <t>Палессе 8799 УО (перенос)</t>
  </si>
  <si>
    <t>ГАЗон Н 876 ХВ 73</t>
  </si>
  <si>
    <t>ГАЗ Н 805 ХО 73</t>
  </si>
  <si>
    <t>ГАЗ Н 957 ХС 73</t>
  </si>
  <si>
    <t>ГАЗ Н 915 ХТ 73</t>
  </si>
  <si>
    <t>Scania Н 707 ХХ 73</t>
  </si>
  <si>
    <t>MAN Е 638 ХВ</t>
  </si>
  <si>
    <t>ЗИЛ М 560 ММ</t>
  </si>
  <si>
    <t>МТЗ 4140 УХ</t>
  </si>
  <si>
    <t>КАМАЗ М 274 СУ</t>
  </si>
  <si>
    <t>Scania М 108 СК</t>
  </si>
  <si>
    <t>КАМАЗ М 249 РХ</t>
  </si>
  <si>
    <t>DAF- 026</t>
  </si>
  <si>
    <t>ГАЗ Р 029 ХУ 73</t>
  </si>
  <si>
    <t>К-742 Р1845 б/н</t>
  </si>
  <si>
    <t>МАЗ Р 938 ХК</t>
  </si>
  <si>
    <t>CASE TR270B</t>
  </si>
  <si>
    <t>Камаз М 922 МВ 73</t>
  </si>
  <si>
    <t>Калинова</t>
  </si>
  <si>
    <t>н 232.</t>
  </si>
  <si>
    <t>LongKing LG863N</t>
  </si>
  <si>
    <t>КАМАЗ М 198 СС</t>
  </si>
  <si>
    <t>Валдай Р 038 ХЕ 73</t>
  </si>
  <si>
    <t>Hitachi 8662 УС (Экскаватор)</t>
  </si>
  <si>
    <t>ROPA Tiger 5067 ТТ 16</t>
  </si>
  <si>
    <t>DAF- 032</t>
  </si>
  <si>
    <t>7169 Камаз о 328 му Асяев 89375455909</t>
  </si>
  <si>
    <t>6377 Камаз р 628 тн 63</t>
  </si>
  <si>
    <t>32660 КАМАЗ 828 Богдалов</t>
  </si>
  <si>
    <t>7201 Камаз р 270 ух 89370266284</t>
  </si>
  <si>
    <t>Lada Vesta М 972 ХН</t>
  </si>
  <si>
    <t>Lada Vesta Р 013 ХМ</t>
  </si>
  <si>
    <t>Lada Vesta Р 017 ХН</t>
  </si>
  <si>
    <t>Lada Vesta Р 015 ХУ</t>
  </si>
  <si>
    <t>3499 КАМАЗ 988 Тюгаев</t>
  </si>
  <si>
    <t>9663 КАМАЗ м 203 ео Ислам А</t>
  </si>
  <si>
    <t>2543 GBS 5 участок</t>
  </si>
  <si>
    <t>9846 Case 8806 то8906148524345</t>
  </si>
  <si>
    <t>0773_Бульдозер</t>
  </si>
  <si>
    <t>Lada Vesta Р 405 ХС</t>
  </si>
  <si>
    <t>Scania Р 949 ХК</t>
  </si>
  <si>
    <t>МетСплавТорг</t>
  </si>
  <si>
    <t>Scania Н 106 ХЕ</t>
  </si>
  <si>
    <t>ООО МетСплавТорг</t>
  </si>
  <si>
    <t>Scania Р 100 ХУ</t>
  </si>
  <si>
    <t>Scania М 147 ТМ</t>
  </si>
  <si>
    <t>Нива Е247РК73</t>
  </si>
  <si>
    <t>Scania М 936 СЕ</t>
  </si>
  <si>
    <t>Трекер (ADM50)</t>
  </si>
  <si>
    <t>Работники глонасс</t>
  </si>
  <si>
    <t>ACROS 595 7918 НХ</t>
  </si>
  <si>
    <t>Волжанка СХП</t>
  </si>
  <si>
    <t>Support_KD3</t>
  </si>
  <si>
    <t>Buhler 2375 4810 УО</t>
  </si>
  <si>
    <t>Волжанка2</t>
  </si>
  <si>
    <t>Кировец К-4 1654УХ73</t>
  </si>
  <si>
    <t>ACROS 595 3688 УХ</t>
  </si>
  <si>
    <t>МТЗ 5038 УХ</t>
  </si>
  <si>
    <t>МТЗ 3634УМ73</t>
  </si>
  <si>
    <t>ДТ75 г/н уо7255</t>
  </si>
  <si>
    <t>БатраевРН</t>
  </si>
  <si>
    <t>KIO RIO М 042 СК</t>
  </si>
  <si>
    <t>0214 КАМАЗ 216/ 689 Аюпов</t>
  </si>
  <si>
    <t>11836 КАМАЗ 838 Мальков</t>
  </si>
  <si>
    <t>1786 КАМАЗ х 001 ва 64</t>
  </si>
  <si>
    <t>27650 КАМАЗ с 639 ем 58</t>
  </si>
  <si>
    <t>ГАЗ Р 045 ХС</t>
  </si>
  <si>
    <t>Renault Logan Р 289 ХТ</t>
  </si>
  <si>
    <t>9788 Камаз о 426 х 58 89297769333</t>
  </si>
  <si>
    <t>2480 Эксковатор 5221 ас 63</t>
  </si>
  <si>
    <t>0134 КАМАЗ 702 Исляев</t>
  </si>
  <si>
    <t>2098 КАМАЗ с 771 но 62</t>
  </si>
  <si>
    <t>Hyundai М 824 ХР</t>
  </si>
  <si>
    <t>MAN Т 593 ЕА</t>
  </si>
  <si>
    <t>Scania К 292 НЕ</t>
  </si>
  <si>
    <t>УАЗ М 068 СХ</t>
  </si>
  <si>
    <t>Scania М 366 СХ 73</t>
  </si>
  <si>
    <t>Агрегат</t>
  </si>
  <si>
    <t>Scania М 535 ТА</t>
  </si>
  <si>
    <t>852-ц</t>
  </si>
  <si>
    <t>885-ц</t>
  </si>
  <si>
    <t>Isuzu М 058 ТА</t>
  </si>
  <si>
    <t>Scania М 645 ТЕ</t>
  </si>
  <si>
    <t>Shacman Е 262 КС</t>
  </si>
  <si>
    <t>Орлов1</t>
  </si>
  <si>
    <t>Сфера УАЗ М089ТМ/73</t>
  </si>
  <si>
    <t>Беларус 7432 УХ</t>
  </si>
  <si>
    <t>837ц</t>
  </si>
  <si>
    <t>Jac М 473 ТК</t>
  </si>
  <si>
    <t>Тотем Авто</t>
  </si>
  <si>
    <t>6107 камаз о 070 м о 58</t>
  </si>
  <si>
    <t>0896 КАМАЗ н 446 он 68</t>
  </si>
  <si>
    <t>Мерседес У798ВК163</t>
  </si>
  <si>
    <t>Билалов Линар Мансурович</t>
  </si>
  <si>
    <t>КАМАЗ М 674 ХЕ</t>
  </si>
  <si>
    <t>0729 КАМАЗ с 937 ем 58</t>
  </si>
  <si>
    <t>9564 CASE 3454 рв</t>
  </si>
  <si>
    <t>Hyundai Solaris Н 904 ХК</t>
  </si>
  <si>
    <t>КАМАЗ М 708 ХТ</t>
  </si>
  <si>
    <t>2140 Case 2445 рв64 Звягинцев</t>
  </si>
  <si>
    <t>5950 КАМАЗ у 501 ек 61</t>
  </si>
  <si>
    <t>Хайгер В713МК73</t>
  </si>
  <si>
    <t>ИП Билалов Мансур Фазелзянович</t>
  </si>
  <si>
    <t>0173 КАМАЗ О 426 ХМ 58</t>
  </si>
  <si>
    <t>Peugeot О 706 ЕА</t>
  </si>
  <si>
    <t>3515 Case 8812 со 64 Самойлов</t>
  </si>
  <si>
    <t>0869 Камаз с 178 кх 58</t>
  </si>
  <si>
    <t>Фольксваген М673СУ73</t>
  </si>
  <si>
    <t>0596 Кейс 5764</t>
  </si>
  <si>
    <t>ГАЗель О 535 ОМ</t>
  </si>
  <si>
    <t>МытаревЕ</t>
  </si>
  <si>
    <t>YUTONG К856СВ73</t>
  </si>
  <si>
    <t>ИП Билалов Илнур Мансурович</t>
  </si>
  <si>
    <t>Камаз Е861ЕВ73</t>
  </si>
  <si>
    <t>Ип Кияйкин А.В. (ООО Ресурс-Ойл)</t>
  </si>
  <si>
    <t>Носков Владимир Васильевич</t>
  </si>
  <si>
    <t>Hitachi 0375 УХ</t>
  </si>
  <si>
    <t>Doosan 8287 ОН</t>
  </si>
  <si>
    <t>(Bobcat 2213УХ)</t>
  </si>
  <si>
    <t>Акватрэйдер</t>
  </si>
  <si>
    <t>PrimeTech PT-300</t>
  </si>
  <si>
    <t>Симб_ТС (ООО СТС (Симбтрансервис))</t>
  </si>
  <si>
    <t>УАЗ Е 726 ТО</t>
  </si>
  <si>
    <t>Эврика ООО</t>
  </si>
  <si>
    <t>Renault М 949 НВ</t>
  </si>
  <si>
    <t>862531047614863 АН</t>
  </si>
  <si>
    <t>862531044640960 АН</t>
  </si>
  <si>
    <t>862531047654240 АН</t>
  </si>
  <si>
    <t>Hyundai М 047 ТЕ</t>
  </si>
  <si>
    <t>2207 Камаз р510 ок Тюгаев</t>
  </si>
  <si>
    <t>6158 камаз т897 тс163</t>
  </si>
  <si>
    <t>0275 камаз р 425 ух Кирахиров</t>
  </si>
  <si>
    <t>7262 камаз р 790 хн 56</t>
  </si>
  <si>
    <t>9929 Камаз р 510 ок</t>
  </si>
  <si>
    <t>0919 камаз 645</t>
  </si>
  <si>
    <t>2164 Камаз р 248 мн Тюгаев 2</t>
  </si>
  <si>
    <t>7458 Камаз с 805 ар 58 Асяев</t>
  </si>
  <si>
    <t>0706 Камаз к 584 ст 73 89278093178</t>
  </si>
  <si>
    <t>0993 Камаз р935 ур Дулатов</t>
  </si>
  <si>
    <t>Iveco Х 675 КУ</t>
  </si>
  <si>
    <t>Камаз В960ЕТ73</t>
  </si>
  <si>
    <t>ОАО Транспорт-Сервис</t>
  </si>
  <si>
    <t>Volvo К212РО82</t>
  </si>
  <si>
    <t>Волга-тракс ООО</t>
  </si>
  <si>
    <t>ЗИЛ А 078 АА</t>
  </si>
  <si>
    <t>Вольво Е708СН73</t>
  </si>
  <si>
    <t>Kia Rio М 879 СС 73</t>
  </si>
  <si>
    <t>Газель К 117 ХУ 73</t>
  </si>
  <si>
    <t>Lada Granta К 853 ХТ</t>
  </si>
  <si>
    <t>ПрохоровКА</t>
  </si>
  <si>
    <t>Datsun К 795 СВ</t>
  </si>
  <si>
    <t>6283 камаз в 097 вв 58</t>
  </si>
  <si>
    <t>2185 камаз в 863 тх 73</t>
  </si>
  <si>
    <t>9191 Камаз р 425 УХ 58</t>
  </si>
  <si>
    <t>1912 камаз р 845 ор 58</t>
  </si>
  <si>
    <t>51921 камаз с 474уо 73</t>
  </si>
  <si>
    <t>0984 камаз с 937ем</t>
  </si>
  <si>
    <t>2314 камаз р 378 ов 64</t>
  </si>
  <si>
    <t>7871Камаз о 979 хм 58</t>
  </si>
  <si>
    <t>1896 камаз с 465 ув</t>
  </si>
  <si>
    <t>Сфера УАЗ М 157 НВ 73</t>
  </si>
  <si>
    <t>ЗИЛ К800ВК73</t>
  </si>
  <si>
    <t>ООО ЭПС (ИП Юдашнов) Сервис</t>
  </si>
  <si>
    <t>Lada Largus Е 250 НМ</t>
  </si>
  <si>
    <t>ДТ-75 Усманов Раис</t>
  </si>
  <si>
    <t>Газель Р 109 ХН</t>
  </si>
  <si>
    <t>МТЗ 3975 ОХ Сатдинов Илнур</t>
  </si>
  <si>
    <t>ГАЗ Р 269 ВА</t>
  </si>
  <si>
    <t>Амкадор 1952 ОУ 16 Раимов Дамир</t>
  </si>
  <si>
    <t>МАЗ Р 453 ХТ</t>
  </si>
  <si>
    <t>IVECO А 899 ХХ 763</t>
  </si>
  <si>
    <t>Мехул</t>
  </si>
  <si>
    <t>КАМАЗ Н 221 МХ 777</t>
  </si>
  <si>
    <t>Урал М 463 ХО</t>
  </si>
  <si>
    <t>Сфера К 224 КУ (ЗИЛ)</t>
  </si>
  <si>
    <t>878-ц</t>
  </si>
  <si>
    <t>DAF б/н</t>
  </si>
  <si>
    <t>ИП Едифанов Александр Вячеславович</t>
  </si>
  <si>
    <t>DAF Р 280 ХН</t>
  </si>
  <si>
    <t>Scania М 873 ТМ</t>
  </si>
  <si>
    <t>Урал М 456 ХН</t>
  </si>
  <si>
    <t>ГАЗель Т 002 ОО</t>
  </si>
  <si>
    <t>КАМАЗ А 044 СК</t>
  </si>
  <si>
    <t>Матренин</t>
  </si>
  <si>
    <t>ГАЗель М 446 СХ</t>
  </si>
  <si>
    <t>ГАЗ В 933 МО</t>
  </si>
  <si>
    <t>УАЗ К 056 РР</t>
  </si>
  <si>
    <t>Прицеп рефрижератор ВО 3438</t>
  </si>
  <si>
    <t>Сутин</t>
  </si>
  <si>
    <t>МТЗ 5984 ТМ Туктамышев Бэдертдин</t>
  </si>
  <si>
    <t>Амкадор 4661АТ 16 Фролов</t>
  </si>
  <si>
    <t>Газель К 595 ХХ</t>
  </si>
  <si>
    <t>КАМАЗ М 072 ТК</t>
  </si>
  <si>
    <t>Урал М 505 ХХ</t>
  </si>
  <si>
    <t>ГАЗель Е 860 НС</t>
  </si>
  <si>
    <t>Таиров АН</t>
  </si>
  <si>
    <t>Lada Granta М 309 КУ</t>
  </si>
  <si>
    <t>Lada Granta Р 034 ХК 73</t>
  </si>
  <si>
    <t>Hyundai Solaris М 820 ТМ</t>
  </si>
  <si>
    <t>Henday М 659 ТМ</t>
  </si>
  <si>
    <t>BMW А 175 СС 73</t>
  </si>
  <si>
    <t>Peugeot Р 051 ХТ</t>
  </si>
  <si>
    <t>ГАЗель Е 028 РО 73</t>
  </si>
  <si>
    <t>КАМАЗ Т 163 ЕВ 73</t>
  </si>
  <si>
    <t>ЛЕСТОПСНАБ</t>
  </si>
  <si>
    <t>Е 891 РА КАМАЗ</t>
  </si>
  <si>
    <t>ВАЗ 2114 В 498 ХР</t>
  </si>
  <si>
    <t>ГАЗель В 005 ЕМ</t>
  </si>
  <si>
    <t>ГАЗель К 928 КХ</t>
  </si>
  <si>
    <t>РузановАС</t>
  </si>
  <si>
    <t>ГАЗель А 979 СЕ</t>
  </si>
  <si>
    <t>АфанасьевИН</t>
  </si>
  <si>
    <t>Scania Р 801 ХМ</t>
  </si>
  <si>
    <t>Газель Р109ХН73</t>
  </si>
  <si>
    <t>ИП Хуснутдинов Р.Р.</t>
  </si>
  <si>
    <t>Скания Р862ХМ73</t>
  </si>
  <si>
    <t>Камаз Е173ОХ73</t>
  </si>
  <si>
    <t>Такси Сервис (Хуснутдинов)</t>
  </si>
  <si>
    <t>Mitsubishi В 250 ХС 73</t>
  </si>
  <si>
    <t>К700 6510УО73</t>
  </si>
  <si>
    <t>Рено Премиум М519ВН190</t>
  </si>
  <si>
    <t>романов</t>
  </si>
  <si>
    <t>Мерс Акрос Н 362 ЕХ 159</t>
  </si>
  <si>
    <t>Осокин ОГ</t>
  </si>
  <si>
    <t>УРАЛ Х478ВВ64</t>
  </si>
  <si>
    <t>ООО Феникс (Павловский лесхоз)</t>
  </si>
  <si>
    <t>МТЗ 6128 УХ 73</t>
  </si>
  <si>
    <t>Шарловский Леспромхоз</t>
  </si>
  <si>
    <t>ГАЗ Т 416 ОЕ 73</t>
  </si>
  <si>
    <t>МТЗ 4589 УС 73</t>
  </si>
  <si>
    <t>Урал Т 417 ОЕ 73</t>
  </si>
  <si>
    <t>МТЗ 3423 УХ 73</t>
  </si>
  <si>
    <t>скания е807вв 763</t>
  </si>
  <si>
    <t>фортуна 147</t>
  </si>
  <si>
    <t>ГАЗ Т 415 ОЕ 73</t>
  </si>
  <si>
    <t>ГАЗ Н 158 ВС 73</t>
  </si>
  <si>
    <t>Урал Е 109 ОС 73</t>
  </si>
  <si>
    <t>ГАЗ Т 538 АК 73</t>
  </si>
  <si>
    <t>Скания Е169РО73</t>
  </si>
  <si>
    <t>тумзиков</t>
  </si>
  <si>
    <t>Урал В 727 ОУ 73</t>
  </si>
  <si>
    <t>УАЗ А 543 КН 73</t>
  </si>
  <si>
    <t>Хендай Солярис М472ТР73</t>
  </si>
  <si>
    <t>ИП Тявин Алексей Михайлович</t>
  </si>
  <si>
    <t>Хендай Солярис М078РМ73</t>
  </si>
  <si>
    <t>передано</t>
  </si>
  <si>
    <t>эндюков</t>
  </si>
  <si>
    <t>Лада Ларгус С 176 НС 30</t>
  </si>
  <si>
    <t>Кар-Групп</t>
  </si>
  <si>
    <t>УАЗ бн</t>
  </si>
  <si>
    <t>Ситроен Е241ХС73</t>
  </si>
  <si>
    <t>Салин Евгений Владимирович</t>
  </si>
  <si>
    <t>Тойота камри Е333ВН73</t>
  </si>
  <si>
    <t>Зайнуллин Р.И.</t>
  </si>
  <si>
    <t>KIA RIO М 994 РТ</t>
  </si>
  <si>
    <t>Вольво Е210МО73</t>
  </si>
  <si>
    <t>Идеал Авто</t>
  </si>
  <si>
    <t>Largus Н 582 ХО 73</t>
  </si>
  <si>
    <t>Лада Ларгус М368ТТ73</t>
  </si>
  <si>
    <t>Ульяновский ЦСМ</t>
  </si>
  <si>
    <t>FIAT Dukato Н 501 ВО</t>
  </si>
  <si>
    <t>Е 099 ЕН (ГАЗель)</t>
  </si>
  <si>
    <t>Газель Р 103 ХН 73</t>
  </si>
  <si>
    <t>Renault Daster М171ТХ73</t>
  </si>
  <si>
    <t>ООО Центротех</t>
  </si>
  <si>
    <t>Isuzu М 070 ТВ</t>
  </si>
  <si>
    <t>Isuzu М 614 ТО</t>
  </si>
  <si>
    <t>ИП Голов</t>
  </si>
  <si>
    <t>УАЗ С 770 ВС</t>
  </si>
  <si>
    <t>Илюхин</t>
  </si>
  <si>
    <t>ГАЗель NEXT М 907 ТС 73</t>
  </si>
  <si>
    <t>Scania А 185 ТН</t>
  </si>
  <si>
    <t>CAT 8280 УХ 73</t>
  </si>
  <si>
    <t>Scania М 673 ТО</t>
  </si>
  <si>
    <t>МАЗ М 331 ТМ</t>
  </si>
  <si>
    <t>Новый резерв</t>
  </si>
  <si>
    <t>В 100 ВТ (Volvo)</t>
  </si>
  <si>
    <t>МАЗ Е 807 ЕТ</t>
  </si>
  <si>
    <t>ГАЗель М 474 СХ 73</t>
  </si>
  <si>
    <t>Хендай №3 Р197ХО</t>
  </si>
  <si>
    <t>МАЗ М 973 ХХ</t>
  </si>
  <si>
    <t>ГАЗель NEXT М 930 ТС 73</t>
  </si>
  <si>
    <t>Volkswagen Touareg А 356 МЕ</t>
  </si>
  <si>
    <t>Scania М 090 ТР 73</t>
  </si>
  <si>
    <t>КАМАЗ Т 306 АМ 197</t>
  </si>
  <si>
    <t>HMK-102В 4900 УХ</t>
  </si>
  <si>
    <t>Цнобиладзе</t>
  </si>
  <si>
    <t>КАМАЗ Т 594 АМ 197</t>
  </si>
  <si>
    <t>К 689 РТ (УАЗ) (Стройэкспресс)</t>
  </si>
  <si>
    <t>Scania Б/Н</t>
  </si>
  <si>
    <t>ГАЗон Р 581 ХЕ 73</t>
  </si>
  <si>
    <t>УАЗ К 409 РК</t>
  </si>
  <si>
    <t>ISUZU М 928 ТН</t>
  </si>
  <si>
    <t>ИП Костров</t>
  </si>
  <si>
    <t>Shacman Р 465 ХЕ 73</t>
  </si>
  <si>
    <t>МегаНефтеХим</t>
  </si>
  <si>
    <t>MST 8286 УХ 73</t>
  </si>
  <si>
    <t>MST644</t>
  </si>
  <si>
    <t>Камаз М679СА73</t>
  </si>
  <si>
    <t>ООО ТРЭК (Ундоровская Волжанка)</t>
  </si>
  <si>
    <t>Henday Р 150 ХТ 73</t>
  </si>
  <si>
    <t>Scania М 436 ТР</t>
  </si>
  <si>
    <t>Газель М612ТР73</t>
  </si>
  <si>
    <t>ООО ТФ Волжанка</t>
  </si>
  <si>
    <t>Shacman Р 972 ХС 73</t>
  </si>
  <si>
    <t>ГАЗель Next М 756 СХ 73</t>
  </si>
  <si>
    <t>Scania К 931 РО</t>
  </si>
  <si>
    <t>Камаз М949РУ73</t>
  </si>
  <si>
    <t>Mitsubishi М 643 ТТ</t>
  </si>
  <si>
    <t>СапуновМС</t>
  </si>
  <si>
    <t>Shacman Р 415 ХН 73</t>
  </si>
  <si>
    <t>DAF 374 AAG 07</t>
  </si>
  <si>
    <t>Хендай М 674 РК</t>
  </si>
  <si>
    <t>Mercedes Т 792 УМ 199</t>
  </si>
  <si>
    <t>Газель М541ТР73</t>
  </si>
  <si>
    <t>К 579 НЕ (VOLVO)</t>
  </si>
  <si>
    <t>Кузин</t>
  </si>
  <si>
    <t>МАЗ С715ВХ152</t>
  </si>
  <si>
    <t>Лаишевская Любовь Николаевна</t>
  </si>
  <si>
    <t>Scania М 070 МЕ 73</t>
  </si>
  <si>
    <t>Газель М684ТМ73</t>
  </si>
  <si>
    <t>Mercedes Н 365 ХО 73</t>
  </si>
  <si>
    <t>Mercedes Actros М 439 ТС 73</t>
  </si>
  <si>
    <t>Volvo Н 911 ХВ</t>
  </si>
  <si>
    <t>ЛожковДВ</t>
  </si>
  <si>
    <t>NEXT М 168 ТХ</t>
  </si>
  <si>
    <t>ИП ЛиАГ</t>
  </si>
  <si>
    <t>Massey Ferguson 5021 УХ</t>
  </si>
  <si>
    <t>Агро-Лидер</t>
  </si>
  <si>
    <t>МТЗ 2363 УО 73</t>
  </si>
  <si>
    <t>КувшинниковаЛМ</t>
  </si>
  <si>
    <t>МТЗ 0554 УХ 73</t>
  </si>
  <si>
    <t>МТЗ 0582 УР 73</t>
  </si>
  <si>
    <t>КалининДК</t>
  </si>
  <si>
    <t>УРАЛ Х020АА73</t>
  </si>
  <si>
    <t>ООО Лесопромышленник</t>
  </si>
  <si>
    <t>МТЗ 0562 УХ 73</t>
  </si>
  <si>
    <t>МТЗ 0587 УХ 73</t>
  </si>
  <si>
    <t>Урал А 583 ЕУ 73</t>
  </si>
  <si>
    <t>МТЗ 0509 УХ 73</t>
  </si>
  <si>
    <t>МТЗ 7612 УО 73</t>
  </si>
  <si>
    <t>ГАЗон NEXT Н 085 КА</t>
  </si>
  <si>
    <t>ЗИЛ С 223 ВХ 73</t>
  </si>
  <si>
    <t>BobCat 8313 УХ 73</t>
  </si>
  <si>
    <t>Твой дом</t>
  </si>
  <si>
    <t>Iveco А 924 МТ</t>
  </si>
  <si>
    <t>DAF Р 621 ХУ</t>
  </si>
  <si>
    <t>Р 013 ХС 73</t>
  </si>
  <si>
    <t>МАЗ К 141 ЕО 73</t>
  </si>
  <si>
    <t>Марьин</t>
  </si>
  <si>
    <t>МАЗ М 672 УУ 73</t>
  </si>
  <si>
    <t>КАМАЗ Е 183 РХ</t>
  </si>
  <si>
    <t>DAF М 865 УУ</t>
  </si>
  <si>
    <t>ХТЗ 1969 УС 73</t>
  </si>
  <si>
    <t>Н 363 ВХ 73 ГАЗель</t>
  </si>
  <si>
    <t>Case 6672 УХ 73</t>
  </si>
  <si>
    <t>симбирск-стелс</t>
  </si>
  <si>
    <t>К-700 4407 УМ</t>
  </si>
  <si>
    <t>КАМАЗ Р 376 ХВ 73</t>
  </si>
  <si>
    <t>КАМАЗ В 487 НВ</t>
  </si>
  <si>
    <t>ГАЗон next К 245 УУ</t>
  </si>
  <si>
    <t>Т 150 1950 УМ 73</t>
  </si>
  <si>
    <t>Scania Е 714 РК</t>
  </si>
  <si>
    <t>МТЗ 4090УС73</t>
  </si>
  <si>
    <t>Ютонг М969ХК73</t>
  </si>
  <si>
    <t>КАМАЗ Е 683</t>
  </si>
  <si>
    <t>Komatsu 3488 РА 77</t>
  </si>
  <si>
    <t>Кран Клинцы КАМАЗ М 377 УУ 73</t>
  </si>
  <si>
    <t>Lada Н 896 ЕР</t>
  </si>
  <si>
    <t>ООО Эковолга (ИП Ликанин В.Н.)</t>
  </si>
  <si>
    <t>КАМАЗ 6023 АМ 76</t>
  </si>
  <si>
    <t>ДОСААФ</t>
  </si>
  <si>
    <t>Ютонг К844ХВ73</t>
  </si>
  <si>
    <t>Ип Котельникова Любовь Николаевна</t>
  </si>
  <si>
    <t>Scania Е 646 НН</t>
  </si>
  <si>
    <t>DAF М 510 УУ</t>
  </si>
  <si>
    <t>КАМАЗ Х 149 УК</t>
  </si>
  <si>
    <t>Исмет</t>
  </si>
  <si>
    <t>Mercedes Atego К 001 КО 73</t>
  </si>
  <si>
    <t>ПопковВА</t>
  </si>
  <si>
    <t>ГАЗель В 484 СМ</t>
  </si>
  <si>
    <t>ЛегейдаЖБИ</t>
  </si>
  <si>
    <t>Е 318 ХК 73</t>
  </si>
  <si>
    <t>ЗахаровА</t>
  </si>
  <si>
    <t>Renault Logan М 146 РТ</t>
  </si>
  <si>
    <t>КлементьевАВ</t>
  </si>
  <si>
    <t>ГАЗон next В 397 УЕ</t>
  </si>
  <si>
    <t>ИП Имуллина</t>
  </si>
  <si>
    <t>Renault Logon М 172 РМ</t>
  </si>
  <si>
    <t>Клементьев Александр Владимирович</t>
  </si>
  <si>
    <t>VW Taos О 234 ВМ 73</t>
  </si>
  <si>
    <t>КондратьевПН</t>
  </si>
  <si>
    <t>КАМАЗ А 252 ТН 73</t>
  </si>
  <si>
    <t>Евграфов</t>
  </si>
  <si>
    <t>ГАЗель А 404 АА 73</t>
  </si>
  <si>
    <t>Мифтахов Д.Н</t>
  </si>
  <si>
    <t>ГАЗель К 444 ХХ 73</t>
  </si>
  <si>
    <t>Скания О800ВО73</t>
  </si>
  <si>
    <t>Volvo Е 003 РХ 73</t>
  </si>
  <si>
    <t>Кердановский</t>
  </si>
  <si>
    <t>Урал Н 809 ХН</t>
  </si>
  <si>
    <t>Камаз М 499 ХК 73</t>
  </si>
  <si>
    <t>Урал У 113 ХЕ 174</t>
  </si>
  <si>
    <t>Камаз М646СЕ73</t>
  </si>
  <si>
    <t>ООО Атекс</t>
  </si>
  <si>
    <t>Грейдер 7715 УХ 73</t>
  </si>
  <si>
    <t>Грейдер 4306 УХ 73</t>
  </si>
  <si>
    <t>МТЗ 7936 УС 73</t>
  </si>
  <si>
    <t>Грейдер 7932 УС 73</t>
  </si>
  <si>
    <t>МАЗ О 726 ОТ 73</t>
  </si>
  <si>
    <t>МТЗ 1931 УХ 73</t>
  </si>
  <si>
    <t>Грейдер 7933 УС 73</t>
  </si>
  <si>
    <t>МТЗ 0054 УХ 73</t>
  </si>
  <si>
    <t>Камаз Е 852 ЕН 73</t>
  </si>
  <si>
    <t>катербузов</t>
  </si>
  <si>
    <t>школа по хоккею лидер</t>
  </si>
  <si>
    <t>Скания С359КВ73</t>
  </si>
  <si>
    <t>абдуллов зуфар</t>
  </si>
  <si>
    <t>скания е120та73</t>
  </si>
  <si>
    <t>симтеп</t>
  </si>
  <si>
    <t>стройком</t>
  </si>
  <si>
    <t>триада</t>
  </si>
  <si>
    <t>поволжмкая водная компания</t>
  </si>
  <si>
    <t>спк волга</t>
  </si>
  <si>
    <t>человеческий фактор</t>
  </si>
  <si>
    <t xml:space="preserve">Датчик уровня топлива ITALON 1000 </t>
  </si>
  <si>
    <t>Датчик уровня топлива ITALON 1000</t>
  </si>
  <si>
    <t>Датчик уровня топлива Omnicomm LLS-4 700</t>
  </si>
  <si>
    <t>Датчик уровня топлива Omnicomm LLS-AF4</t>
  </si>
  <si>
    <t>Датчик уровня топлива ITALON 1500ВЗ</t>
  </si>
  <si>
    <t>Датчик уровня топлива ITALON 1000ВЗ</t>
  </si>
  <si>
    <t>Датчик уровня топлива Omnicomm LLS4</t>
  </si>
  <si>
    <t>Датчик уровня топлива ITALON 2000</t>
  </si>
  <si>
    <t>Датчик уровня топлива Omnicomm LLS-AF-4 700</t>
  </si>
  <si>
    <t>Датчик уровня Omnicomm LLS-4</t>
  </si>
  <si>
    <t>датчик уровня топлива tkls-l-750</t>
  </si>
  <si>
    <t>датчик уровня топлива Italon 1000</t>
  </si>
  <si>
    <t>датчик уровня топлива Omnicomm lls-af-700</t>
  </si>
  <si>
    <t>датчик уровня топлива Omnicomm lls-4</t>
  </si>
  <si>
    <t>дут р-4-датчик контроля уровня топлива б\п.+прс2</t>
  </si>
  <si>
    <t>датчик уровня топлива italon 1000</t>
  </si>
  <si>
    <t>датчик уровня топлива Omnicomm LLS-AF4 1000мм</t>
  </si>
  <si>
    <t>Датчик уровня топлива Italon 1000мм</t>
  </si>
  <si>
    <t>Датчик уровня топлива italon 1000мм</t>
  </si>
  <si>
    <t>датчик уровня топлива Italon 1500 ВЗ</t>
  </si>
  <si>
    <t>Датчик уровня топлива italon 1000</t>
  </si>
  <si>
    <t>датчик уровня топлива Omnicomm LLS4 700мм</t>
  </si>
  <si>
    <t>Датчик уровня топлива Омникомм lls4</t>
  </si>
  <si>
    <t>Датчик уровня топлива Italon</t>
  </si>
  <si>
    <t>дут Эскорт -td-ble l-1000</t>
  </si>
  <si>
    <t>дут омникомм lls5 700</t>
  </si>
  <si>
    <t>дут омникомм lls -ex5 1500</t>
  </si>
  <si>
    <t>датчик уровня топлива Omnicomm LLs4</t>
  </si>
  <si>
    <t>датчик уровня топлива Omnicomm lls5 700</t>
  </si>
  <si>
    <t>датчик уровня топлива italon 1500</t>
  </si>
  <si>
    <t>комплект датчика уровня топлива "Эскорт -td-ble base" 1000</t>
  </si>
  <si>
    <t>дут омникомм lls af4 1000мм</t>
  </si>
  <si>
    <t>датчик уровня топлива эскорт td-ble 1000</t>
  </si>
  <si>
    <t>датчик уровня топлива italon1000</t>
  </si>
  <si>
    <t>датчик уровня топлива ЭСКОРТ TD BLE Base 1000 с базой</t>
  </si>
  <si>
    <t>датчик уровня топлива Эскорт Лайт тд -150 со жгутом</t>
  </si>
  <si>
    <t>Датчик уровня топлива Italon1000</t>
  </si>
  <si>
    <t>датчик уровня топлива Эскорт  TD_BLE 1000</t>
  </si>
  <si>
    <t>датчик уровня топлива Эскорт TD_BLE 1000</t>
  </si>
  <si>
    <t>датчик уровня топлива эскорт td-ble base 1000</t>
  </si>
  <si>
    <t>датчик уровня топлива Эскорт -td-Ble Base 1000</t>
  </si>
  <si>
    <t>19060693\19060699</t>
  </si>
  <si>
    <t>саранск</t>
  </si>
  <si>
    <t>отпрвлен в новоспасский филиал 06.08</t>
  </si>
  <si>
    <t>отправлен в новоспасский филиал 06.08</t>
  </si>
  <si>
    <t>саранский филиал</t>
  </si>
  <si>
    <t>новоспасский филиал</t>
  </si>
  <si>
    <t>отправлено в саранск</t>
  </si>
  <si>
    <t>отправлено в новоспасское</t>
  </si>
  <si>
    <t>отправлен в новоспасское</t>
  </si>
  <si>
    <t>отправлено в саранск 2.09</t>
  </si>
  <si>
    <t>отправлен в саранск 12.03</t>
  </si>
  <si>
    <t>отправлено в саранск 30.07</t>
  </si>
  <si>
    <t>подряд</t>
  </si>
  <si>
    <t>выдан подрядчику</t>
  </si>
  <si>
    <t>отправлен установщику Саранск</t>
  </si>
  <si>
    <t>отправлен установщику  Новоспасское</t>
  </si>
  <si>
    <t>У Ботаенкова 18.01.2022</t>
  </si>
  <si>
    <t>Вольво Е318РТ73</t>
  </si>
  <si>
    <t>е063тс</t>
  </si>
  <si>
    <t>исудзу к907нн73</t>
  </si>
  <si>
    <t>исудзу к912нн73</t>
  </si>
  <si>
    <t>камаз к511кх73</t>
  </si>
  <si>
    <t>к653еу</t>
  </si>
  <si>
    <t>скания е874нн</t>
  </si>
  <si>
    <t>погрузчик</t>
  </si>
  <si>
    <t>скания 470</t>
  </si>
  <si>
    <t>к395ку73</t>
  </si>
  <si>
    <t>Камаз К 332 тр</t>
  </si>
  <si>
    <t>ивеко н427ру62</t>
  </si>
  <si>
    <t>камаз к516кх73</t>
  </si>
  <si>
    <t>скания е046еу73</t>
  </si>
  <si>
    <t>камаз к093нх73</t>
  </si>
  <si>
    <t>скания</t>
  </si>
  <si>
    <t>газон некст к138нн73</t>
  </si>
  <si>
    <t>хундай к521во70</t>
  </si>
  <si>
    <t>камаз к740ну73</t>
  </si>
  <si>
    <t>хундай к098ув</t>
  </si>
  <si>
    <t>скания х923ар73</t>
  </si>
  <si>
    <t>а355хн скания</t>
  </si>
  <si>
    <t>скания а499рс73</t>
  </si>
  <si>
    <t>хундай в940ех73</t>
  </si>
  <si>
    <t>вольво 291</t>
  </si>
  <si>
    <t>вольво 324</t>
  </si>
  <si>
    <t>ивеко</t>
  </si>
  <si>
    <t>даф 426</t>
  </si>
  <si>
    <t>газель к160нр73</t>
  </si>
  <si>
    <t>маз в989ех73</t>
  </si>
  <si>
    <t>с128ан</t>
  </si>
  <si>
    <t>зил р672вн 73</t>
  </si>
  <si>
    <t>зил к 842 ес73</t>
  </si>
  <si>
    <t>камаз с972ус73</t>
  </si>
  <si>
    <t>нью холланд</t>
  </si>
  <si>
    <t>камаз к218нт73</t>
  </si>
  <si>
    <t>камаз у619 ус73</t>
  </si>
  <si>
    <t>газель в003кк164</t>
  </si>
  <si>
    <t>маз к 644рк73</t>
  </si>
  <si>
    <t>уаз е513се73</t>
  </si>
  <si>
    <t>соболь т962ат73</t>
  </si>
  <si>
    <t>камаз к452нх73</t>
  </si>
  <si>
    <t>газель к490ра73</t>
  </si>
  <si>
    <t>скания 845</t>
  </si>
  <si>
    <t>даф 901</t>
  </si>
  <si>
    <t>камаз к193ре73</t>
  </si>
  <si>
    <t>даф т315ео73</t>
  </si>
  <si>
    <t>уаз е902ту73</t>
  </si>
  <si>
    <t>уаз х626ов73</t>
  </si>
  <si>
    <t>митс.фусо к345ех73</t>
  </si>
  <si>
    <t>уаз в050ср73</t>
  </si>
  <si>
    <t>уаз е899ту73</t>
  </si>
  <si>
    <t>эксковатор 0224</t>
  </si>
  <si>
    <t>зил с 176 он73</t>
  </si>
  <si>
    <t>камаз к076та</t>
  </si>
  <si>
    <t>мерс к945ре73</t>
  </si>
  <si>
    <t>рено р308ву73</t>
  </si>
  <si>
    <t>рено а084во73</t>
  </si>
  <si>
    <t>мерс к984ре73</t>
  </si>
  <si>
    <t>камаз 796</t>
  </si>
  <si>
    <t>зил к862ес73</t>
  </si>
  <si>
    <t>камаз е886мс</t>
  </si>
  <si>
    <t>к400рт газон некст</t>
  </si>
  <si>
    <t>к030ру73 камаз</t>
  </si>
  <si>
    <t>м864су77</t>
  </si>
  <si>
    <t>е126нв73</t>
  </si>
  <si>
    <t>р136вн73 камаз</t>
  </si>
  <si>
    <t>в340вв73 камаз</t>
  </si>
  <si>
    <t>а120аа валдай</t>
  </si>
  <si>
    <t>к443рк73</t>
  </si>
  <si>
    <t>в640рт</t>
  </si>
  <si>
    <t>даф</t>
  </si>
  <si>
    <t>даф к267ко</t>
  </si>
  <si>
    <t>ман к750рх</t>
  </si>
  <si>
    <t>мерс к974кх</t>
  </si>
  <si>
    <t>jcb 3243ух</t>
  </si>
  <si>
    <t>вольво 177</t>
  </si>
  <si>
    <t>камаз к 201рн73</t>
  </si>
  <si>
    <t>газель к213нт</t>
  </si>
  <si>
    <t>газ 155</t>
  </si>
  <si>
    <t>газель а466рв73</t>
  </si>
  <si>
    <t>митсюбиси кантер в407ку73</t>
  </si>
  <si>
    <t>маз б\н</t>
  </si>
  <si>
    <t>камаз к508ут</t>
  </si>
  <si>
    <t>хюндай с498са</t>
  </si>
  <si>
    <t>меседес 152</t>
  </si>
  <si>
    <t>мерседес 152</t>
  </si>
  <si>
    <t>вольво е287рт73</t>
  </si>
  <si>
    <t>газель к884се73</t>
  </si>
  <si>
    <t>газель 561</t>
  </si>
  <si>
    <t>вольво е728ра</t>
  </si>
  <si>
    <t>газель а424те</t>
  </si>
  <si>
    <t>камаз е843тк73</t>
  </si>
  <si>
    <t>ДАФ т656ео</t>
  </si>
  <si>
    <t>ГАЗель к907се73</t>
  </si>
  <si>
    <t>маз 867</t>
  </si>
  <si>
    <t>уаз патриот б\н</t>
  </si>
  <si>
    <t>Мерс к820см73</t>
  </si>
  <si>
    <t>хино к966ке73</t>
  </si>
  <si>
    <t>Скания м681вт73</t>
  </si>
  <si>
    <t>К-701 5047ус</t>
  </si>
  <si>
    <t>Мерседес к637ум</t>
  </si>
  <si>
    <t>скания е145хн73</t>
  </si>
  <si>
    <t>газон некст к279со73</t>
  </si>
  <si>
    <t>ГАЗон к285со73</t>
  </si>
  <si>
    <t>маз н137ву73</t>
  </si>
  <si>
    <t>МТЗ 2394ох</t>
  </si>
  <si>
    <t>ГАЗель с666ео</t>
  </si>
  <si>
    <t>уаз б.н</t>
  </si>
  <si>
    <t>газель к404ка</t>
  </si>
  <si>
    <t>Рено х838вх73</t>
  </si>
  <si>
    <t>рено х303ех</t>
  </si>
  <si>
    <t>МАН к142см73</t>
  </si>
  <si>
    <t>Скания к708сн</t>
  </si>
  <si>
    <t>Скания е714рк73</t>
  </si>
  <si>
    <t>Скания е646нн73</t>
  </si>
  <si>
    <t>ниссан 0436ус73</t>
  </si>
  <si>
    <t>е389то</t>
  </si>
  <si>
    <t>мерседес 512</t>
  </si>
  <si>
    <t>Амкадор 0210ус</t>
  </si>
  <si>
    <t>МТЗ 6478ус</t>
  </si>
  <si>
    <t>вольво 320</t>
  </si>
  <si>
    <t>МАЗ В312НЕ73</t>
  </si>
  <si>
    <t>газон некст к716сх</t>
  </si>
  <si>
    <t>скания 403</t>
  </si>
  <si>
    <t>Камаз о419от</t>
  </si>
  <si>
    <t>ЗИЛ к965ае</t>
  </si>
  <si>
    <t>камаз 786</t>
  </si>
  <si>
    <t>камаз787</t>
  </si>
  <si>
    <t>мтз4385ус</t>
  </si>
  <si>
    <t>камаз 845</t>
  </si>
  <si>
    <t>камаз 807</t>
  </si>
  <si>
    <t>скания 980</t>
  </si>
  <si>
    <t>хюндай е406мо</t>
  </si>
  <si>
    <t>мтз7315ум</t>
  </si>
  <si>
    <t>скания м030хо73</t>
  </si>
  <si>
    <t>скания к395ку73</t>
  </si>
  <si>
    <t>Камаз а495мн</t>
  </si>
  <si>
    <t>Рено е169хр73 (установлен взамен снятого на ремонт)</t>
  </si>
  <si>
    <t>Хово к605ут</t>
  </si>
  <si>
    <t>хюндай р712ео</t>
  </si>
  <si>
    <t>кран</t>
  </si>
  <si>
    <t>хундай к838хо73</t>
  </si>
  <si>
    <t>газон некст к411ну73</t>
  </si>
  <si>
    <t>ивеко в949кх</t>
  </si>
  <si>
    <t>мтз8317ух</t>
  </si>
  <si>
    <t>Маз к093ха</t>
  </si>
  <si>
    <t>маз к273хх73</t>
  </si>
  <si>
    <t>вольво 558</t>
  </si>
  <si>
    <t>Валдай а909хр73</t>
  </si>
  <si>
    <t>мтз4385 ус</t>
  </si>
  <si>
    <t>камаз к139рм</t>
  </si>
  <si>
    <t>камаз</t>
  </si>
  <si>
    <t>мтз 7315ум</t>
  </si>
  <si>
    <t>мтз 8317ух</t>
  </si>
  <si>
    <t>мтз8315ух</t>
  </si>
  <si>
    <t>газон некст к068сх73</t>
  </si>
  <si>
    <t>газон некст к076сх73</t>
  </si>
  <si>
    <t>Газель к521кх73</t>
  </si>
  <si>
    <t>исудзу м860ер73</t>
  </si>
  <si>
    <t>исудзу м720ер73</t>
  </si>
  <si>
    <t>ман к888ху</t>
  </si>
  <si>
    <t>камаз к538хе73</t>
  </si>
  <si>
    <t>вольво 310</t>
  </si>
  <si>
    <t>вольво е329рт</t>
  </si>
  <si>
    <t>маз 282</t>
  </si>
  <si>
    <t>скания к603хо</t>
  </si>
  <si>
    <t>камаз 316</t>
  </si>
  <si>
    <t>газель</t>
  </si>
  <si>
    <t>камаз к455ро73</t>
  </si>
  <si>
    <t>маз 716</t>
  </si>
  <si>
    <t>камаз е230нм73</t>
  </si>
  <si>
    <t>маз 202</t>
  </si>
  <si>
    <t>камаз м617кк73</t>
  </si>
  <si>
    <t>акрос</t>
  </si>
  <si>
    <t>камаз 086</t>
  </si>
  <si>
    <t>камаз 111</t>
  </si>
  <si>
    <t>камаз 175</t>
  </si>
  <si>
    <t>зил 413</t>
  </si>
  <si>
    <t>газель 798</t>
  </si>
  <si>
    <t>хундай б\н</t>
  </si>
  <si>
    <t>хино 331</t>
  </si>
  <si>
    <t>хино331</t>
  </si>
  <si>
    <t xml:space="preserve">камаз </t>
  </si>
  <si>
    <t>зил 399</t>
  </si>
  <si>
    <t>рено м 578кс73</t>
  </si>
  <si>
    <t>камаз к248нт73</t>
  </si>
  <si>
    <t>ман у024ха777</t>
  </si>
  <si>
    <t>газель 558</t>
  </si>
  <si>
    <t>камаз б.н.</t>
  </si>
  <si>
    <t>газель к100ем</t>
  </si>
  <si>
    <t>камаз а110хо</t>
  </si>
  <si>
    <t>камаз м380мк73</t>
  </si>
  <si>
    <t>даф 868мс73</t>
  </si>
  <si>
    <t>камаз а651са73</t>
  </si>
  <si>
    <t>даф м613ре73</t>
  </si>
  <si>
    <t>камаз 475</t>
  </si>
  <si>
    <t>уаз м852рм73</t>
  </si>
  <si>
    <t>вольво 314</t>
  </si>
  <si>
    <t>камаз 934</t>
  </si>
  <si>
    <t>вольво 316</t>
  </si>
  <si>
    <t>камаз к013са</t>
  </si>
  <si>
    <t>скания к012хн</t>
  </si>
  <si>
    <t>исудзу е861хн163</t>
  </si>
  <si>
    <t>даф 511</t>
  </si>
  <si>
    <t>камаз р916нм</t>
  </si>
  <si>
    <t>камаз 193</t>
  </si>
  <si>
    <t>газон некст 638</t>
  </si>
  <si>
    <t>газель 199</t>
  </si>
  <si>
    <t>газ 343</t>
  </si>
  <si>
    <t>маз 975</t>
  </si>
  <si>
    <t>маз м424нк</t>
  </si>
  <si>
    <t>Камаз М603НС73</t>
  </si>
  <si>
    <t>Скания А996РУ716</t>
  </si>
  <si>
    <t>скания 749</t>
  </si>
  <si>
    <t>скания 374</t>
  </si>
  <si>
    <t>Камаз М535МК</t>
  </si>
  <si>
    <t>Т-150 Ремизов</t>
  </si>
  <si>
    <t>FENDT 0188МК</t>
  </si>
  <si>
    <t>скания 491</t>
  </si>
  <si>
    <t>Кировец К-744 9480 мк</t>
  </si>
  <si>
    <t>камаз м706ру</t>
  </si>
  <si>
    <t>исудзу 358</t>
  </si>
  <si>
    <t>уаз 264</t>
  </si>
  <si>
    <t>даф 709</t>
  </si>
  <si>
    <t>скания 890</t>
  </si>
  <si>
    <t>скания м562му</t>
  </si>
  <si>
    <t>скания 983</t>
  </si>
  <si>
    <t>меседес 596</t>
  </si>
  <si>
    <t>мерседес 596</t>
  </si>
  <si>
    <t>МТЗ 8581МВ</t>
  </si>
  <si>
    <t>МАЗ М130КЕ</t>
  </si>
  <si>
    <t>газель 510</t>
  </si>
  <si>
    <t>скания м487хр10</t>
  </si>
  <si>
    <t>скания н151хн</t>
  </si>
  <si>
    <t>Погрузчик Komatsu 6230УХ</t>
  </si>
  <si>
    <t>мерседес 566</t>
  </si>
  <si>
    <t>камаз м999рв73</t>
  </si>
  <si>
    <t>скания м833мр73</t>
  </si>
  <si>
    <t>даф в439рм</t>
  </si>
  <si>
    <t>мерседес т112нс790</t>
  </si>
  <si>
    <t>скания н959со</t>
  </si>
  <si>
    <t>маз м890нк73</t>
  </si>
  <si>
    <t xml:space="preserve">рено </t>
  </si>
  <si>
    <t>Газель Н805ХО</t>
  </si>
  <si>
    <t>Газон NEXT Н876ХВ</t>
  </si>
  <si>
    <t>Комбайн Палессе 8799УО</t>
  </si>
  <si>
    <t>камаз м221см73</t>
  </si>
  <si>
    <t>Газель Н957ХС</t>
  </si>
  <si>
    <t>Газель Н912ХО</t>
  </si>
  <si>
    <t>Скания Р203ХТ</t>
  </si>
  <si>
    <t>даф м420нм73</t>
  </si>
  <si>
    <t>мерседес у415нс790</t>
  </si>
  <si>
    <t>мерседес у 091нс790</t>
  </si>
  <si>
    <t>JCB 5689МК</t>
  </si>
  <si>
    <t>даф р032хн73</t>
  </si>
  <si>
    <t>скания м936се73</t>
  </si>
  <si>
    <t>ROPA Higer 5067ТТ 16</t>
  </si>
  <si>
    <t>JCB 8010УХ</t>
  </si>
  <si>
    <t>ЗИЛ М560ММ116</t>
  </si>
  <si>
    <t>Ростсельмаш 6164УХ</t>
  </si>
  <si>
    <t>Scania К292НЕ</t>
  </si>
  <si>
    <t>Погрузчик Long King   LG863M</t>
  </si>
  <si>
    <t>даф р026хе73</t>
  </si>
  <si>
    <t>камаз м198се73</t>
  </si>
  <si>
    <t>даф ро32хн73</t>
  </si>
  <si>
    <t>Газель  б/н vin XZV3003Z2M (р029ху)</t>
  </si>
  <si>
    <t>Валдай б/н VIN: 34330 (р038хе)</t>
  </si>
  <si>
    <t>МТЗ 4140УХ73</t>
  </si>
  <si>
    <t>МТЗ 7432УХ73</t>
  </si>
  <si>
    <t>Скания М645ТЕ73</t>
  </si>
  <si>
    <t>Скания М023НВ73</t>
  </si>
  <si>
    <t>Исузу М085ТА73</t>
  </si>
  <si>
    <t>Скания М535ТА73</t>
  </si>
  <si>
    <t>Вольво А853НТ790</t>
  </si>
  <si>
    <t>УАЗ Фермер б/н</t>
  </si>
  <si>
    <t>МАЗ Р938ХК73</t>
  </si>
  <si>
    <t>MAN Т593ЕА799</t>
  </si>
  <si>
    <t>Вольво А830НО790</t>
  </si>
  <si>
    <t>Вольво А885НН</t>
  </si>
  <si>
    <t>Экскаватор Hitachi 0375УХ</t>
  </si>
  <si>
    <t>Скания К021ЕХ73</t>
  </si>
  <si>
    <t>Вольво А852НС</t>
  </si>
  <si>
    <t>Вольво А837НХ790</t>
  </si>
  <si>
    <t>вольво 948</t>
  </si>
  <si>
    <t>вольво 851</t>
  </si>
  <si>
    <t>скания н106хе</t>
  </si>
  <si>
    <t>хюндай р232хн73</t>
  </si>
  <si>
    <t>уаз м157нв</t>
  </si>
  <si>
    <t>маз 453</t>
  </si>
  <si>
    <t>вольво а839но</t>
  </si>
  <si>
    <t>вольво у130нс790</t>
  </si>
  <si>
    <t>мерседес 119</t>
  </si>
  <si>
    <t>маз 331тм</t>
  </si>
  <si>
    <t>вольво а839нс</t>
  </si>
  <si>
    <t>газель р783хн</t>
  </si>
  <si>
    <t>газ 756 хс</t>
  </si>
  <si>
    <t>шакман р972хс73</t>
  </si>
  <si>
    <t>маз в646тк</t>
  </si>
  <si>
    <t>шакман р465хе73</t>
  </si>
  <si>
    <t>мст8286ух73</t>
  </si>
  <si>
    <t>камаз м679са</t>
  </si>
  <si>
    <t>исудзу м928тн</t>
  </si>
  <si>
    <t>скания м070ме</t>
  </si>
  <si>
    <t>вольво 579</t>
  </si>
  <si>
    <t>скания е807вв763</t>
  </si>
  <si>
    <t>мерседес т792ум199</t>
  </si>
  <si>
    <t>скания м196вк</t>
  </si>
  <si>
    <t>камаз х149ум102</t>
  </si>
  <si>
    <t>мерседес м606тр</t>
  </si>
  <si>
    <t>вольво а956нт</t>
  </si>
  <si>
    <t>газель м168тх</t>
  </si>
  <si>
    <t>мерседес н365хо73</t>
  </si>
  <si>
    <t>газ н085ка73</t>
  </si>
  <si>
    <t>камаз м377уу73</t>
  </si>
  <si>
    <t>рено м519вн190</t>
  </si>
  <si>
    <t>вольво а839нс790</t>
  </si>
  <si>
    <t>скания 646</t>
  </si>
  <si>
    <t>газель н363вх73</t>
  </si>
  <si>
    <t>даф а101рм</t>
  </si>
  <si>
    <t>скания с359кв73</t>
  </si>
  <si>
    <t>скания е714рк</t>
  </si>
  <si>
    <t>СТС (Гермес)</t>
  </si>
  <si>
    <t>симбирск мол пром</t>
  </si>
  <si>
    <t>рахматуллин</t>
  </si>
  <si>
    <t>спецбетон мордовия</t>
  </si>
  <si>
    <t>саранск кабель</t>
  </si>
  <si>
    <t>карета</t>
  </si>
  <si>
    <t>росбекон</t>
  </si>
  <si>
    <t>логинов</t>
  </si>
  <si>
    <t>мир комфорта+</t>
  </si>
  <si>
    <t>жэу 1 димитровград</t>
  </si>
  <si>
    <t>ип трофимов\аванта</t>
  </si>
  <si>
    <t>сму 27</t>
  </si>
  <si>
    <t>сапфир</t>
  </si>
  <si>
    <t>жэу 1димитровград</t>
  </si>
  <si>
    <t>ип понетайкин</t>
  </si>
  <si>
    <t>ооо пко</t>
  </si>
  <si>
    <t>иевлев</t>
  </si>
  <si>
    <t>абс групп</t>
  </si>
  <si>
    <t>сантерра агро</t>
  </si>
  <si>
    <t>укбп</t>
  </si>
  <si>
    <t>кабаева</t>
  </si>
  <si>
    <t>абушаев</t>
  </si>
  <si>
    <t>ооо пко/саранск</t>
  </si>
  <si>
    <t>тройка фарм\саранск</t>
  </si>
  <si>
    <t>посеряев</t>
  </si>
  <si>
    <t>омникомм пенза</t>
  </si>
  <si>
    <t>волжанка</t>
  </si>
  <si>
    <t>едифанов</t>
  </si>
  <si>
    <t>ип артюхин</t>
  </si>
  <si>
    <t>автотехсторой</t>
  </si>
  <si>
    <t>гелла</t>
  </si>
  <si>
    <t>мбу инза</t>
  </si>
  <si>
    <t xml:space="preserve">гелла </t>
  </si>
  <si>
    <t>башмонитор</t>
  </si>
  <si>
    <t>авиастар сп</t>
  </si>
  <si>
    <t>стс гермес</t>
  </si>
  <si>
    <t>агро инвест плюс</t>
  </si>
  <si>
    <t>строймеханизация (ооо кровля)</t>
  </si>
  <si>
    <t>барс\хакимова</t>
  </si>
  <si>
    <t>городская теплосеть</t>
  </si>
  <si>
    <t>мир комфорта</t>
  </si>
  <si>
    <t>кфх салюкин</t>
  </si>
  <si>
    <t>ип иевлев</t>
  </si>
  <si>
    <t>управление инженерной защиты</t>
  </si>
  <si>
    <t>антонов</t>
  </si>
  <si>
    <t>симбирск мет ком</t>
  </si>
  <si>
    <t>ип посеряев</t>
  </si>
  <si>
    <t>валитов х.з</t>
  </si>
  <si>
    <t xml:space="preserve">городская теплосеть </t>
  </si>
  <si>
    <t>полежаева</t>
  </si>
  <si>
    <t>закрома ооо</t>
  </si>
  <si>
    <t>скик</t>
  </si>
  <si>
    <t>этэль торг</t>
  </si>
  <si>
    <t>волжанка(самара)</t>
  </si>
  <si>
    <t>мордов автотранс</t>
  </si>
  <si>
    <t>арс новоспасское</t>
  </si>
  <si>
    <t>соя поволжья</t>
  </si>
  <si>
    <t>упрз</t>
  </si>
  <si>
    <t>строй рем</t>
  </si>
  <si>
    <t>агро дело</t>
  </si>
  <si>
    <t>ооо закрома</t>
  </si>
  <si>
    <t>агроконцепт волга</t>
  </si>
  <si>
    <t>ип гиматдинов\дельфин групп</t>
  </si>
  <si>
    <t>димитровградский элеватор</t>
  </si>
  <si>
    <t>управление инж. защиты</t>
  </si>
  <si>
    <t>дырин</t>
  </si>
  <si>
    <t>валитов х.з.</t>
  </si>
  <si>
    <t>ооо силена</t>
  </si>
  <si>
    <t>салюкин</t>
  </si>
  <si>
    <t>транзит 73</t>
  </si>
  <si>
    <t>ип логинов</t>
  </si>
  <si>
    <t>управлен инж защиты</t>
  </si>
  <si>
    <t>синаева</t>
  </si>
  <si>
    <t>юриков</t>
  </si>
  <si>
    <t>мет инвест</t>
  </si>
  <si>
    <t xml:space="preserve">управл инж защиты </t>
  </si>
  <si>
    <t>мордов агро ресурс</t>
  </si>
  <si>
    <t xml:space="preserve">агро дело </t>
  </si>
  <si>
    <t>взлет</t>
  </si>
  <si>
    <t>ооо цильна</t>
  </si>
  <si>
    <t>ул сахар</t>
  </si>
  <si>
    <t>ип синаев</t>
  </si>
  <si>
    <t>ип ивахненко</t>
  </si>
  <si>
    <t>ооо искра</t>
  </si>
  <si>
    <t>меньшов с.м.</t>
  </si>
  <si>
    <t>аппанов</t>
  </si>
  <si>
    <t>энергохимсервис</t>
  </si>
  <si>
    <t>строй актив</t>
  </si>
  <si>
    <t>аппаева г.р.</t>
  </si>
  <si>
    <t>гортеплосервис</t>
  </si>
  <si>
    <t xml:space="preserve">взлет </t>
  </si>
  <si>
    <t>калитов</t>
  </si>
  <si>
    <t>ИП Кабаева 21.08.</t>
  </si>
  <si>
    <t>муп чердаклинский</t>
  </si>
  <si>
    <t>владорс</t>
  </si>
  <si>
    <t>интер тех строй</t>
  </si>
  <si>
    <t>кфх абрамов</t>
  </si>
  <si>
    <t>новатор +</t>
  </si>
  <si>
    <t>авто тех строй</t>
  </si>
  <si>
    <t>евроизол</t>
  </si>
  <si>
    <t xml:space="preserve">евроизол </t>
  </si>
  <si>
    <t>тк милка</t>
  </si>
  <si>
    <t>юдашнов</t>
  </si>
  <si>
    <t>юнит транс_унион транс</t>
  </si>
  <si>
    <t>ИП Ли  - 06.08.</t>
  </si>
  <si>
    <t>сразу в ремонт</t>
  </si>
  <si>
    <t xml:space="preserve">ридтэк сервис </t>
  </si>
  <si>
    <t>автоэксперт</t>
  </si>
  <si>
    <t>этель торг</t>
  </si>
  <si>
    <t>кфх волынщиков</t>
  </si>
  <si>
    <t>ИП Ли  - 29.08.</t>
  </si>
  <si>
    <t>сапфир саранск</t>
  </si>
  <si>
    <t>ип юдашнов</t>
  </si>
  <si>
    <t>еврострой</t>
  </si>
  <si>
    <t>ПКО 14.08.</t>
  </si>
  <si>
    <t>назмеев\юнит транс</t>
  </si>
  <si>
    <t>Мордовский экологический Комбинат - 22.08.</t>
  </si>
  <si>
    <t xml:space="preserve">Ип логинов </t>
  </si>
  <si>
    <t>ао взлет</t>
  </si>
  <si>
    <t>союз инза</t>
  </si>
  <si>
    <t>ип ермолаев дс</t>
  </si>
  <si>
    <t>мир комфорта +</t>
  </si>
  <si>
    <t xml:space="preserve">библаев </t>
  </si>
  <si>
    <t>ремон групп</t>
  </si>
  <si>
    <t>ип Соловьев</t>
  </si>
  <si>
    <t xml:space="preserve">ооо сапфир </t>
  </si>
  <si>
    <t>ИП Колачин</t>
  </si>
  <si>
    <t>ип волкова</t>
  </si>
  <si>
    <t>ооо бизнес стаб</t>
  </si>
  <si>
    <t>ип вандеева</t>
  </si>
  <si>
    <t>СТС (гермес)</t>
  </si>
  <si>
    <t>даг и ко</t>
  </si>
  <si>
    <t>заволжский мк</t>
  </si>
  <si>
    <t>фабрика мебели веста</t>
  </si>
  <si>
    <t>груз лайн</t>
  </si>
  <si>
    <t>петровское</t>
  </si>
  <si>
    <t>ип рахматуллин</t>
  </si>
  <si>
    <t>ип хисамутдинов</t>
  </si>
  <si>
    <t>ип меньшов</t>
  </si>
  <si>
    <t>уфсин</t>
  </si>
  <si>
    <t>тузов</t>
  </si>
  <si>
    <t>спецтрубмонтаж</t>
  </si>
  <si>
    <t>Сантерра агро</t>
  </si>
  <si>
    <t xml:space="preserve">ип валитов </t>
  </si>
  <si>
    <t xml:space="preserve">ип федосеев </t>
  </si>
  <si>
    <t>ооо взлет-ульяновск</t>
  </si>
  <si>
    <t>ул куррорт</t>
  </si>
  <si>
    <t>ип чапайкин</t>
  </si>
  <si>
    <t>ип кабаева</t>
  </si>
  <si>
    <t>ооо гелла</t>
  </si>
  <si>
    <t>ип трофимов</t>
  </si>
  <si>
    <t>ип анчиков</t>
  </si>
  <si>
    <t>ип сухарев</t>
  </si>
  <si>
    <t>ип елатов</t>
  </si>
  <si>
    <t>Волгатрансгрупп (Юриков)</t>
  </si>
  <si>
    <t>ооо птр</t>
  </si>
  <si>
    <t>ип гафиятуллов</t>
  </si>
  <si>
    <t>ооо авиаль</t>
  </si>
  <si>
    <t>агро дело новоспасск</t>
  </si>
  <si>
    <t>ооо аванта</t>
  </si>
  <si>
    <t>гортеплосеть</t>
  </si>
  <si>
    <t>новмолдом</t>
  </si>
  <si>
    <t>агро-дело новосспассое</t>
  </si>
  <si>
    <t>ип иванов</t>
  </si>
  <si>
    <t>рос бекон</t>
  </si>
  <si>
    <t>ип аппанов</t>
  </si>
  <si>
    <t>ооо Сапфир</t>
  </si>
  <si>
    <t>гафуров руслан</t>
  </si>
  <si>
    <t>волжанка самара</t>
  </si>
  <si>
    <t>тк прагматик</t>
  </si>
  <si>
    <t>ооо евроизол</t>
  </si>
  <si>
    <t>ооо стройторг</t>
  </si>
  <si>
    <t>ооо эковолга</t>
  </si>
  <si>
    <t>ип Иванов</t>
  </si>
  <si>
    <t>регион групп</t>
  </si>
  <si>
    <t>гафиятуллов марат</t>
  </si>
  <si>
    <t>ип алмакаев</t>
  </si>
  <si>
    <t>ооо благо. профэко</t>
  </si>
  <si>
    <t xml:space="preserve">агромирсервис </t>
  </si>
  <si>
    <t>мелизм</t>
  </si>
  <si>
    <t>аэрокопозит</t>
  </si>
  <si>
    <t>агро дело новоспасское</t>
  </si>
  <si>
    <t>ООО ПКО</t>
  </si>
  <si>
    <t>симбирская птицефабрика</t>
  </si>
  <si>
    <t xml:space="preserve">ооо агросоюз </t>
  </si>
  <si>
    <t>птр флот</t>
  </si>
  <si>
    <t>Волков Рифать</t>
  </si>
  <si>
    <t xml:space="preserve">СКИК </t>
  </si>
  <si>
    <t>Едифанов\Тк Арсенал</t>
  </si>
  <si>
    <t>Премьер АвтоТранс</t>
  </si>
  <si>
    <t>ип микеева</t>
  </si>
  <si>
    <t>Карачев</t>
  </si>
  <si>
    <t>агро дело новоспассое</t>
  </si>
  <si>
    <t>73регион</t>
  </si>
  <si>
    <t>Аванта\Трофимов</t>
  </si>
  <si>
    <t>абс групп\брак</t>
  </si>
  <si>
    <t>отложен и отгружен на нс-ойл еще давно (нужно проверить может уже установили из склада новоспасское)</t>
  </si>
  <si>
    <t xml:space="preserve">абс групп </t>
  </si>
  <si>
    <t>Прагматик</t>
  </si>
  <si>
    <t>АвтоТранс</t>
  </si>
  <si>
    <t>ип санатуллин</t>
  </si>
  <si>
    <t>аванта</t>
  </si>
  <si>
    <t>ооо агросоюз</t>
  </si>
  <si>
    <t>ооо вешкаимское</t>
  </si>
  <si>
    <t xml:space="preserve">стс гермес </t>
  </si>
  <si>
    <t>катикян</t>
  </si>
  <si>
    <t>карачев</t>
  </si>
  <si>
    <t>крачев</t>
  </si>
  <si>
    <t>кирпичный двор</t>
  </si>
  <si>
    <t>ип гафуров</t>
  </si>
  <si>
    <t>дим. элеватор</t>
  </si>
  <si>
    <t>ооо мордово</t>
  </si>
  <si>
    <t>ооо агро тех</t>
  </si>
  <si>
    <t>ип таралин</t>
  </si>
  <si>
    <t>ип исайкин</t>
  </si>
  <si>
    <t>регион вкуса</t>
  </si>
  <si>
    <t>ип трефилов</t>
  </si>
  <si>
    <t>стройиндустрия</t>
  </si>
  <si>
    <t>мордово</t>
  </si>
  <si>
    <t>сяпуков</t>
  </si>
  <si>
    <t>авиаль(отправка в брянск)</t>
  </si>
  <si>
    <t>ооо максат</t>
  </si>
  <si>
    <t>ооо вешкаймское</t>
  </si>
  <si>
    <t>ооо новатор плюс</t>
  </si>
  <si>
    <t>ооо стройком (отправка в самару)</t>
  </si>
  <si>
    <t>авиаль</t>
  </si>
  <si>
    <t>ооо магистраль</t>
  </si>
  <si>
    <t>марценкевич</t>
  </si>
  <si>
    <t xml:space="preserve">ооо сантерра агро </t>
  </si>
  <si>
    <t>ооо регион групп</t>
  </si>
  <si>
    <t>русс-нефть</t>
  </si>
  <si>
    <t>ИП Кабаева</t>
  </si>
  <si>
    <t>ооо прагматик</t>
  </si>
  <si>
    <t>ооо металл групп</t>
  </si>
  <si>
    <t>ооо брат групп (КИМ)</t>
  </si>
  <si>
    <t>ип Анчиков</t>
  </si>
  <si>
    <t>вториндустрия</t>
  </si>
  <si>
    <t>ооо пальмира</t>
  </si>
  <si>
    <t>укэс</t>
  </si>
  <si>
    <t>спецснабжение</t>
  </si>
  <si>
    <t>ооо петровское</t>
  </si>
  <si>
    <t>ооо швенда</t>
  </si>
  <si>
    <t>Валитов х.з.</t>
  </si>
  <si>
    <t>ф.м. таралина</t>
  </si>
  <si>
    <t>Инвест строй</t>
  </si>
  <si>
    <t>ооо восток</t>
  </si>
  <si>
    <t>ип катербузов</t>
  </si>
  <si>
    <t>ооо интертехстрой</t>
  </si>
  <si>
    <t xml:space="preserve">ооо данн </t>
  </si>
  <si>
    <t>ооо сск</t>
  </si>
  <si>
    <t>ооо карета</t>
  </si>
  <si>
    <t>едифанов(тк арсенал)</t>
  </si>
  <si>
    <t>ооо Эврика</t>
  </si>
  <si>
    <t>ип савельев</t>
  </si>
  <si>
    <t>ип сяпуков</t>
  </si>
  <si>
    <t>металлоторг</t>
  </si>
  <si>
    <t>метальянс</t>
  </si>
  <si>
    <t>ромадановосахар</t>
  </si>
  <si>
    <t>ооо наш век</t>
  </si>
  <si>
    <t xml:space="preserve">ооо фрегат </t>
  </si>
  <si>
    <t>ип стародубов</t>
  </si>
  <si>
    <t>ооо новая жизнь</t>
  </si>
  <si>
    <t>ооо авиаль отправка в лен область</t>
  </si>
  <si>
    <t>тд симбирка</t>
  </si>
  <si>
    <t>элевит строй</t>
  </si>
  <si>
    <t>ульяновсккуррорт</t>
  </si>
  <si>
    <t>назыров</t>
  </si>
  <si>
    <t>косейнов</t>
  </si>
  <si>
    <t>гафуров</t>
  </si>
  <si>
    <t>тепло энерго сервис</t>
  </si>
  <si>
    <t>ип полежаева</t>
  </si>
  <si>
    <t>ип захаров</t>
  </si>
  <si>
    <t>ип новиков</t>
  </si>
  <si>
    <t>бахтин</t>
  </si>
  <si>
    <t>курносов</t>
  </si>
  <si>
    <t>ИП Аксенов</t>
  </si>
  <si>
    <t>ульяновск курорт</t>
  </si>
  <si>
    <t>инвестстрой</t>
  </si>
  <si>
    <t>Валитов х.з</t>
  </si>
  <si>
    <t>груз кар(стройальянс)</t>
  </si>
  <si>
    <t>вешкаймское</t>
  </si>
  <si>
    <t>Компания Авиаль</t>
  </si>
  <si>
    <t>ООО Инсаровское</t>
  </si>
  <si>
    <t>ООО 8-е марта</t>
  </si>
  <si>
    <t>атеев</t>
  </si>
  <si>
    <t>транс сервис</t>
  </si>
  <si>
    <t>ип галанов</t>
  </si>
  <si>
    <t>викинг агро</t>
  </si>
  <si>
    <t>энергомонтаж</t>
  </si>
  <si>
    <t>ильвитстрой</t>
  </si>
  <si>
    <t>мустакимов</t>
  </si>
  <si>
    <t>ао пнк</t>
  </si>
  <si>
    <t>ооо сэдрусс</t>
  </si>
  <si>
    <t>ооо агат</t>
  </si>
  <si>
    <t>меридиан</t>
  </si>
  <si>
    <t>магистраль</t>
  </si>
  <si>
    <t>салахутдинов</t>
  </si>
  <si>
    <t>цэм 73</t>
  </si>
  <si>
    <t>черкашин</t>
  </si>
  <si>
    <t>санатуллин</t>
  </si>
  <si>
    <t>автогазэксперт</t>
  </si>
  <si>
    <t>ип канаев</t>
  </si>
  <si>
    <t>автогазэкперт</t>
  </si>
  <si>
    <t>втк групп</t>
  </si>
  <si>
    <t>ИП Сардаев</t>
  </si>
  <si>
    <t>волга транс групп</t>
  </si>
  <si>
    <t>лукьяновский гок</t>
  </si>
  <si>
    <t>ип карачев</t>
  </si>
  <si>
    <t>ооо комплект</t>
  </si>
  <si>
    <t>ооо алгран</t>
  </si>
  <si>
    <t>ооо волга</t>
  </si>
  <si>
    <t>ооо дальтранс</t>
  </si>
  <si>
    <t>ооо транс сервис</t>
  </si>
  <si>
    <t>ип гафиатуллов</t>
  </si>
  <si>
    <t>ип кежаев</t>
  </si>
  <si>
    <t>меньшов</t>
  </si>
  <si>
    <t xml:space="preserve">авиаль </t>
  </si>
  <si>
    <t>стаханов</t>
  </si>
  <si>
    <t>челов. фактор</t>
  </si>
  <si>
    <t>эко пром</t>
  </si>
  <si>
    <t>петров н.г.</t>
  </si>
  <si>
    <t>не смонтирован</t>
  </si>
  <si>
    <t>птр</t>
  </si>
  <si>
    <t>такси сервис</t>
  </si>
  <si>
    <t>закрома</t>
  </si>
  <si>
    <t>янтыков рр</t>
  </si>
  <si>
    <t>ИП Семенкин</t>
  </si>
  <si>
    <t>ооо метальянс</t>
  </si>
  <si>
    <t>ООО Агротрейд</t>
  </si>
  <si>
    <t>трэк волжанка казань</t>
  </si>
  <si>
    <t>ИП Едифанов</t>
  </si>
  <si>
    <t>ООО Метальянс</t>
  </si>
  <si>
    <t>ООО Гелла ( Везём)</t>
  </si>
  <si>
    <t>ООО АК-МТ-ЦФО (Евроцемент)</t>
  </si>
  <si>
    <t>ООО Инза Сервис</t>
  </si>
  <si>
    <t>СКИК Новомалыклинский</t>
  </si>
  <si>
    <t>тк агрегат</t>
  </si>
  <si>
    <t>цильна</t>
  </si>
  <si>
    <t>гор тепло</t>
  </si>
  <si>
    <t>груз транс 37</t>
  </si>
  <si>
    <t>хуснутдинов</t>
  </si>
  <si>
    <t>метсправторг</t>
  </si>
  <si>
    <t>микеева</t>
  </si>
  <si>
    <t>схп волжанка</t>
  </si>
  <si>
    <t xml:space="preserve">карета </t>
  </si>
  <si>
    <t>вторметиндустрия</t>
  </si>
  <si>
    <t>шварцмюллер рус</t>
  </si>
  <si>
    <t>гавриленко</t>
  </si>
  <si>
    <t>тк арсенал</t>
  </si>
  <si>
    <t>ооо новый резерв</t>
  </si>
  <si>
    <t>абрамов</t>
  </si>
  <si>
    <t>зарубин</t>
  </si>
  <si>
    <t>гранд альянс</t>
  </si>
  <si>
    <t>меганефтехим</t>
  </si>
  <si>
    <t>тф волжанка</t>
  </si>
  <si>
    <t>газтрейд</t>
  </si>
  <si>
    <t>федоренко</t>
  </si>
  <si>
    <t>реналь</t>
  </si>
  <si>
    <t>костров</t>
  </si>
  <si>
    <t>трофимов</t>
  </si>
  <si>
    <t>кузин</t>
  </si>
  <si>
    <t>санатуллов</t>
  </si>
  <si>
    <t>АГРО-ЛИДЕР ООО</t>
  </si>
  <si>
    <t>ложков</t>
  </si>
  <si>
    <t>автортанспорт</t>
  </si>
  <si>
    <t>назмеев (УНИОН ТРАНС ЛАЙН ООО)</t>
  </si>
  <si>
    <t>центротех азс</t>
  </si>
  <si>
    <t>симбирск стелс</t>
  </si>
  <si>
    <t>интертехстрой</t>
  </si>
  <si>
    <t>атеко</t>
  </si>
  <si>
    <t>спецтехмас</t>
  </si>
  <si>
    <t>ип калитов</t>
  </si>
  <si>
    <t>лыкова</t>
  </si>
  <si>
    <t>инвест строй</t>
  </si>
  <si>
    <t xml:space="preserve">янтыков </t>
  </si>
  <si>
    <t>монолитстрой плюс</t>
  </si>
  <si>
    <t>атэко</t>
  </si>
  <si>
    <t>рубикон</t>
  </si>
  <si>
    <t>автолига 18061828 10.01</t>
  </si>
  <si>
    <t>попыванов 18090643 10.01</t>
  </si>
  <si>
    <t>посеряев даф 24118061552 19.01</t>
  </si>
  <si>
    <t>едифанов скания 385 18061557 14.01</t>
  </si>
  <si>
    <t>автотранс ивеко610 18061558 11.01</t>
  </si>
  <si>
    <t>рахматуллин 18061551 29.01</t>
  </si>
  <si>
    <t>посеряев даф 181 19011490 02.02</t>
  </si>
  <si>
    <t>энергохимсервис 19011499 5.02</t>
  </si>
  <si>
    <t>доминион 19011498 12.02</t>
  </si>
  <si>
    <t>исайкин мерседес 217 18120602 6.03</t>
  </si>
  <si>
    <t>утес маз а621мв73 18125559 28.03</t>
  </si>
  <si>
    <t>агроконцепт волга 19030348 2.04</t>
  </si>
  <si>
    <t>закрома камаз к444нх73 18120810 09.04</t>
  </si>
  <si>
    <t>тк арс вольво в911тх73 19022645 16.04</t>
  </si>
  <si>
    <t>гелла скания к981кх 19022646 24.04</t>
  </si>
  <si>
    <t>мир комфорта + 19031088 24.04</t>
  </si>
  <si>
    <t>гортеплосервис 19050629 17.06</t>
  </si>
  <si>
    <t>меридиан скания а145та73 19050375 22.05</t>
  </si>
  <si>
    <t>ника\агромирсервис 19040340 29.05</t>
  </si>
  <si>
    <t>волжанка мерседес  к444рр 19050630 24.06</t>
  </si>
  <si>
    <t>мир комфорта + 19062203 30.07</t>
  </si>
  <si>
    <t>ооо цильна 18100235 2м 31.07</t>
  </si>
  <si>
    <t>должен быть на складе, либо нет акта, в виалон нет</t>
  </si>
  <si>
    <t>на 30.09. находится на складе</t>
  </si>
  <si>
    <t>Должен быть на складе</t>
  </si>
  <si>
    <t>автотранспорт газ а896ка 73 дут италон 19080572  27.09</t>
  </si>
  <si>
    <t>абс групп газон некст б\н дут италон 19080592     19080591   30.09</t>
  </si>
  <si>
    <t>ип абушаев газон некст б\н дут италон 19091092     1.10</t>
  </si>
  <si>
    <t>ооо прагматик дут италон 19071119   2.10</t>
  </si>
  <si>
    <t>ип казаков дут италон 19071120   4.10</t>
  </si>
  <si>
    <t>евроизол дут италон 19080590    7.10</t>
  </si>
  <si>
    <t>ип анчиков скания 708 дут италон 19080589 10.10</t>
  </si>
  <si>
    <t>заволжский мк газель 561 дут италон 19072922 16.10</t>
  </si>
  <si>
    <t>стс гермес вольво дут италон 19100459 25.10</t>
  </si>
  <si>
    <t>сантерра агро к 700 дут италон 19091294 11.11.</t>
  </si>
  <si>
    <t>саранский филиал дут италон 19100460  15.11.</t>
  </si>
  <si>
    <t>сухарев о. дут италон 19110676 18.11</t>
  </si>
  <si>
    <t>ооо аванта скания е420хт 73 дут италон 19110212     19110213 19.11</t>
  </si>
  <si>
    <t>дрсу инза дут италон 1500 19072630 22.11.</t>
  </si>
  <si>
    <t>абс групп газон некст к843су73 дут италон 19110676   29.11.</t>
  </si>
  <si>
    <t>ооо аванта скания 980 дут италон 19112393 13.12</t>
  </si>
  <si>
    <t>учитывалось при инвентаризации</t>
  </si>
  <si>
    <t>ооо стройторг дут италон 20010654 27.02</t>
  </si>
  <si>
    <t>ооо стройторг дут италон 19121521 02.03</t>
  </si>
  <si>
    <t>ооо стройторг дут италон 18120534  02.03</t>
  </si>
  <si>
    <t>ооо благо мск+ дут италон 20030256 16.03</t>
  </si>
  <si>
    <t>ооо благо мск+ дут италон 20022094 16.03</t>
  </si>
  <si>
    <t>дут италон 20041000 отправлен в саранск 27.06</t>
  </si>
  <si>
    <t>дут италон 20040988 ип Времин 1.06.</t>
  </si>
  <si>
    <t>дут италон 20060646 отправлен в саранск 26.06</t>
  </si>
  <si>
    <t>дут италон 20060647 отправлен в саранск 26.06</t>
  </si>
  <si>
    <t>дут италон 20021979 водоканал зил к852ес73 29.06.</t>
  </si>
  <si>
    <t>дут омникомм lls-4 4016020000537 ип чапайкин даф 30.06.</t>
  </si>
  <si>
    <t>дут италон 20031053 интертехстрой газель м639кк73 07.07.20</t>
  </si>
  <si>
    <t>дут италон 1000 20021977  ооо спецтрубмонтаж 27.07</t>
  </si>
  <si>
    <t>дут италон 1000 20021976  ооо спецтрубмонтаж 27.07</t>
  </si>
  <si>
    <t>дут италон 1000 20061328 ооо пальмира тата 30.07</t>
  </si>
  <si>
    <t>дут италон 1000 20060326 ип рахматуллин даф 181 3.08</t>
  </si>
  <si>
    <t>дут италон 1000 20021978 ооо кристал газон некст р175хс58 4.08</t>
  </si>
  <si>
    <t>дут италон 1000 20.08.20 20070883 клиент марценкевич. хундай б.н.</t>
  </si>
  <si>
    <t>дут италон 1500  20082110 авиаль отправка в санкт петербург 27.08</t>
  </si>
  <si>
    <t>дут италон 1500  20082111 авиаль отправка в санкт петербург 27.08</t>
  </si>
  <si>
    <t>дут италон 1000  7.09 20072218 Соя Поволжья</t>
  </si>
  <si>
    <t>дут италон 1000  7.09 20072219 Соя Поволжья</t>
  </si>
  <si>
    <t>дут италон 1000 20090861 07.10. лукьяновский гок</t>
  </si>
  <si>
    <t>дут италон 1000  20082265 16.10 вандеева мерседес 571</t>
  </si>
  <si>
    <t>дут италон 1000 20100501 отправка в брянск (авиаль) 01.11</t>
  </si>
  <si>
    <t>ДУТ у Ботаенкова, не установлен</t>
  </si>
  <si>
    <t>дут италон 1000мм 20110939 ооо взлет камаз с909во 11.01.21</t>
  </si>
  <si>
    <t>дут италон 1000 21021569 ип тугучева даф а395ру 73 12.03.</t>
  </si>
  <si>
    <t>дут италон 1000 21020180 отправлен в новоспасское 12.03</t>
  </si>
  <si>
    <t>дут италон 1000 2102181 отправлен в новоспасское 12.03</t>
  </si>
  <si>
    <t>дут италон 1000 21020165 отправлен в новоспасское 12.03</t>
  </si>
  <si>
    <t>дут италон 1000 21021696 автотранспорт газ 701 18.03</t>
  </si>
  <si>
    <t>дут италон 1000 21021697 союз лтд  24.03</t>
  </si>
  <si>
    <t>дут омникомм 2031011000323 утес 9.04.21</t>
  </si>
  <si>
    <t>дут италон 1000 21032761 30.04.21 синергия</t>
  </si>
  <si>
    <t>дут италон 1000 21020180 24.05 ооо петровское</t>
  </si>
  <si>
    <t>дут италон 1000 21051791 ооо волга 21.06</t>
  </si>
  <si>
    <t>дут италон 1000 21040969 трофимов 22.06</t>
  </si>
  <si>
    <t>дут италон 1000 21051789 трофимов 22.06</t>
  </si>
  <si>
    <t>Так же был установлен дут 21060595</t>
  </si>
  <si>
    <t>дут италон 1000мм 21051792 сяпуков 12.07</t>
  </si>
  <si>
    <t>дут италон 1000мм 21051790 инерт авто 12.07</t>
  </si>
  <si>
    <t>дут италон 1000 21052884 ооо цильна 17.09.</t>
  </si>
  <si>
    <t>дут италон 1000 21052883 евроцемент 16.09.</t>
  </si>
  <si>
    <t>дут италон 1000 21100259 ооо гелла 11.10</t>
  </si>
  <si>
    <t>дут италон 1000 21092717 автотранспорт камаз м956со 18.10</t>
  </si>
  <si>
    <t>дут италон 1000 21100258 осокин мерседес н362ех 19.10</t>
  </si>
  <si>
    <t>дут италон 1000 21100725 абрамов маз м973хх  19.10</t>
  </si>
  <si>
    <t>дут италон 1000 21051793 волжанка мерседес в551мм73 22.10</t>
  </si>
  <si>
    <t>дут италон 1000 21081383 такси сервис  22.10</t>
  </si>
  <si>
    <t>дут италон 1000мм 21110972 ип карачев 16.11</t>
  </si>
  <si>
    <t>дут италон 1000мм 21110973 инза сервис 24.11</t>
  </si>
  <si>
    <t>дт эскорт с базой 1000 210961104020 сапунов 25.11</t>
  </si>
  <si>
    <t>дут италон 1000 21112078 метальянс  маз453 26.11</t>
  </si>
  <si>
    <t>дут италон 1000 21121126 едифанов 22.12</t>
  </si>
  <si>
    <t>дут италон 1000 21121125 ооо рубикон 22.12.</t>
  </si>
  <si>
    <t>дут италон 1000 21122123 меганефтехим 27.12</t>
  </si>
  <si>
    <t>дут италон 1000 21122124 меганефтехим 27.12</t>
  </si>
  <si>
    <t>дут италон 1000 21122126 меганефтехим 27.12</t>
  </si>
  <si>
    <t>дут италон 1000 21121413 юриков газель 907 27.12</t>
  </si>
  <si>
    <t>дут италон 22021318 1000мм дрсу инза 14.03.22</t>
  </si>
  <si>
    <t>дут италон 22022167 1000мм человеческий фактор газон некст м186мо73 14.03.22</t>
  </si>
  <si>
    <t>дут италон 22022200 1000мм ооо рубикон 16.03.22</t>
  </si>
  <si>
    <t>дут италон 22022201 1000мм ооо рубикон 16.03.22</t>
  </si>
  <si>
    <t>дут италон 22031871 1000мм катербузов 18.03.22</t>
  </si>
  <si>
    <t>дут италон 22031872 1000мм катербузов 18.03.22</t>
  </si>
  <si>
    <t>дут италон 22031869 1000мм катербузов 19.03.22</t>
  </si>
  <si>
    <t>дут италон 22031870 1000мм катербузов 19.03.22</t>
  </si>
  <si>
    <t>дут италон 22022195 1000мм атэко маз а173ху 22.03</t>
  </si>
  <si>
    <t>дут италон 22022199 1000мм человеческий фактор 23.03.22</t>
  </si>
  <si>
    <t>ГЕО Систем</t>
  </si>
  <si>
    <t>НОВЫЕ РЕШЕНИЯ ДРАЙВА ООО</t>
  </si>
  <si>
    <t>Новые решения драйва</t>
  </si>
  <si>
    <t>тахограф Drive 5 СКЗИ</t>
  </si>
  <si>
    <t>тахограф Drive 5 СKЗИ</t>
  </si>
  <si>
    <t xml:space="preserve">тахограф Drive Smart </t>
  </si>
  <si>
    <t>тахограф Drive Smart</t>
  </si>
  <si>
    <t>96C309002041902F3</t>
  </si>
  <si>
    <t>Е5B90B00041902F3</t>
  </si>
  <si>
    <t>Тахограф Меркурий та-001</t>
  </si>
  <si>
    <t>EFAS 4TE</t>
  </si>
  <si>
    <t>тахограф Drive 5</t>
  </si>
  <si>
    <t>тахограф штрих  исп 18</t>
  </si>
  <si>
    <t>тахограф штрих исп 18</t>
  </si>
  <si>
    <t>тахограф микас 20.3840</t>
  </si>
  <si>
    <t xml:space="preserve">тахограф драйв смарт </t>
  </si>
  <si>
    <t>тахограф штрих исп 15</t>
  </si>
  <si>
    <t>тахограф штрих тахо-rus</t>
  </si>
  <si>
    <t>тахограф микас 20.3840.</t>
  </si>
  <si>
    <t>тахограф драйв 5</t>
  </si>
  <si>
    <t>тахограф меркурий</t>
  </si>
  <si>
    <t>цифровой тахограф  1381.4550302002</t>
  </si>
  <si>
    <t>16b14305101802f3</t>
  </si>
  <si>
    <t>a3957002091802f3</t>
  </si>
  <si>
    <t>d636c801061802f3</t>
  </si>
  <si>
    <t>f1e2fb02101802f3</t>
  </si>
  <si>
    <t>17e0e502101802f3</t>
  </si>
  <si>
    <t>8bd32a01101802f3</t>
  </si>
  <si>
    <t>68905903101802f3</t>
  </si>
  <si>
    <t>59580905101802f3</t>
  </si>
  <si>
    <t>6727a003101802f3</t>
  </si>
  <si>
    <t>e21e0105101802f3</t>
  </si>
  <si>
    <t>25bb9304101802f3</t>
  </si>
  <si>
    <t>13ec5204101802f3</t>
  </si>
  <si>
    <t>de19d301101802f3</t>
  </si>
  <si>
    <t>50613e00101802f3</t>
  </si>
  <si>
    <t>4d693400101802f3</t>
  </si>
  <si>
    <t>b0572901101802f3</t>
  </si>
  <si>
    <t>098f6f00101802f3</t>
  </si>
  <si>
    <t>c54ab903101802f3</t>
  </si>
  <si>
    <t>bfc20904101802f3</t>
  </si>
  <si>
    <t>726eba00101802f3</t>
  </si>
  <si>
    <t>9d604c05101802f3</t>
  </si>
  <si>
    <t>0fc7ec00101802f3</t>
  </si>
  <si>
    <t>03778401101802f3</t>
  </si>
  <si>
    <t>0e6c3b02101802f3</t>
  </si>
  <si>
    <t>fdb1b400101802f3</t>
  </si>
  <si>
    <t>9b796d03101802f3</t>
  </si>
  <si>
    <t>75a79305101802f3</t>
  </si>
  <si>
    <t>172c8703101802f3</t>
  </si>
  <si>
    <t>9780c303101802f3</t>
  </si>
  <si>
    <t>d15d7400101802f3</t>
  </si>
  <si>
    <t>e5759400041902f3</t>
  </si>
  <si>
    <t>e29ac600041902f3</t>
  </si>
  <si>
    <t>eeec2600041902f3</t>
  </si>
  <si>
    <t>66deee01041902f3</t>
  </si>
  <si>
    <t>7a601f03041902f3</t>
  </si>
  <si>
    <t>8f0b2c03041902f3</t>
  </si>
  <si>
    <t>6bb85c02041902f3</t>
  </si>
  <si>
    <t>93d15605041902f3</t>
  </si>
  <si>
    <t>edae4804041902f3</t>
  </si>
  <si>
    <t>307abc04041902f3</t>
  </si>
  <si>
    <t>46a21003041902f3</t>
  </si>
  <si>
    <t>0c365b03041902f3</t>
  </si>
  <si>
    <t>4710a800041902f3</t>
  </si>
  <si>
    <t>5dcd1100041902f3</t>
  </si>
  <si>
    <t>4c21c003041902f3</t>
  </si>
  <si>
    <t>161fde04041902f3</t>
  </si>
  <si>
    <t>47aac004041902f3</t>
  </si>
  <si>
    <t>3ab42505041902f3</t>
  </si>
  <si>
    <t>a9949d02041902f3</t>
  </si>
  <si>
    <t>a084da01041902f3</t>
  </si>
  <si>
    <t>96c30902041902f3</t>
  </si>
  <si>
    <t>745cb305041902f3</t>
  </si>
  <si>
    <t>781c5e02041902f3</t>
  </si>
  <si>
    <t>86ec0500041902f3</t>
  </si>
  <si>
    <t>a438ac04041902f3</t>
  </si>
  <si>
    <t>98953b05041902f3</t>
  </si>
  <si>
    <t>71214401041902f3</t>
  </si>
  <si>
    <t>ed26ab04041902f3</t>
  </si>
  <si>
    <t>e8f20904041902f3</t>
  </si>
  <si>
    <t>ea31b203041902f3</t>
  </si>
  <si>
    <t>f37fc801041902f3</t>
  </si>
  <si>
    <t>f6c28a01041902f3</t>
  </si>
  <si>
    <t>dd44f003041902f3</t>
  </si>
  <si>
    <t>dfca0005041902f3</t>
  </si>
  <si>
    <t>e5b90b00041902f3</t>
  </si>
  <si>
    <t>da358103041902f3</t>
  </si>
  <si>
    <t>de0c8a04051902f3</t>
  </si>
  <si>
    <t>df5d2604051902f3</t>
  </si>
  <si>
    <t>cbe2a104051902f3</t>
  </si>
  <si>
    <t>ef876202051902f3</t>
  </si>
  <si>
    <t>d062ce03051902f3</t>
  </si>
  <si>
    <t>ddd90802051902f3</t>
  </si>
  <si>
    <t>d254ac03051902f3</t>
  </si>
  <si>
    <t>d1b42800051902f3</t>
  </si>
  <si>
    <t>c1038b05051902f3</t>
  </si>
  <si>
    <t>b5bcac00061902f3</t>
  </si>
  <si>
    <t>927d2202061902f3</t>
  </si>
  <si>
    <t>761fc203061902f3</t>
  </si>
  <si>
    <t>514ed203061902f3</t>
  </si>
  <si>
    <t>bdf3ad02061902f3</t>
  </si>
  <si>
    <t>c3be8604061902f3</t>
  </si>
  <si>
    <t>adf26c03061902f3</t>
  </si>
  <si>
    <t>69717a05061902f3</t>
  </si>
  <si>
    <t>b91c6b01061902f3</t>
  </si>
  <si>
    <t>ed377000081902f3</t>
  </si>
  <si>
    <t>ef8e5f00081902f3</t>
  </si>
  <si>
    <t>07c10d03081902f3</t>
  </si>
  <si>
    <t>090a8e04081902f3</t>
  </si>
  <si>
    <t>03ba9503081902f3</t>
  </si>
  <si>
    <t>feee6702081902f3</t>
  </si>
  <si>
    <t>1b6c7203081902f3</t>
  </si>
  <si>
    <t>0773da00081902f3</t>
  </si>
  <si>
    <t>fb5aa501081902f3</t>
  </si>
  <si>
    <t>bdcb7600081902f3</t>
  </si>
  <si>
    <t>c40a9a05081902f3</t>
  </si>
  <si>
    <t>b6131a04081902f3</t>
  </si>
  <si>
    <t>baa0af04081902f3</t>
  </si>
  <si>
    <t>b4c06203081902f3</t>
  </si>
  <si>
    <t>75ed8003081902f3</t>
  </si>
  <si>
    <t>b57a6104081902f3</t>
  </si>
  <si>
    <t>c2514300081902f3</t>
  </si>
  <si>
    <t>c92cc904081902f3</t>
  </si>
  <si>
    <t>59391304101902f3</t>
  </si>
  <si>
    <t>58334403101902f3</t>
  </si>
  <si>
    <t>5b40c000101902f3</t>
  </si>
  <si>
    <t>58277803101902f3</t>
  </si>
  <si>
    <t>591ab203101902f3</t>
  </si>
  <si>
    <t>586bf602101902f3</t>
  </si>
  <si>
    <t>be777900101902f3</t>
  </si>
  <si>
    <t>f878de00101902f3</t>
  </si>
  <si>
    <t>58b86601101902f3</t>
  </si>
  <si>
    <t>d5b63103101902f3</t>
  </si>
  <si>
    <t>e322b004101902f3</t>
  </si>
  <si>
    <t>de3b9302101902f3</t>
  </si>
  <si>
    <t>da55ac02101902f3</t>
  </si>
  <si>
    <t>fa0aad01101902f3</t>
  </si>
  <si>
    <t>ce0ca603101902f3</t>
  </si>
  <si>
    <t>d0519300101902f3</t>
  </si>
  <si>
    <t>d43c6901101902f3</t>
  </si>
  <si>
    <t>cf82ca03101902f3</t>
  </si>
  <si>
    <t>cf682d03101902f3</t>
  </si>
  <si>
    <t>b768e502101902f3</t>
  </si>
  <si>
    <t>b713fa02101902f3</t>
  </si>
  <si>
    <t>b8cf2f04101902f3</t>
  </si>
  <si>
    <t>b472ad04101902f3</t>
  </si>
  <si>
    <t>b689c200101902f3</t>
  </si>
  <si>
    <t>b8dde405101902f3</t>
  </si>
  <si>
    <t>b5448004101902f3</t>
  </si>
  <si>
    <t>b713be01101902f3</t>
  </si>
  <si>
    <t>5431ea03091902f3</t>
  </si>
  <si>
    <t>d4202305091902f3</t>
  </si>
  <si>
    <t>254c2103081902f3</t>
  </si>
  <si>
    <t>af6ed901101902f3</t>
  </si>
  <si>
    <t>addef301101902f3</t>
  </si>
  <si>
    <t>b0d57903101902f3</t>
  </si>
  <si>
    <t>af466203101902f3</t>
  </si>
  <si>
    <t>ae4e3a01101902f3</t>
  </si>
  <si>
    <t>adead205101902f3</t>
  </si>
  <si>
    <t>4f0e3f01111902f3</t>
  </si>
  <si>
    <t>41159204111902f3</t>
  </si>
  <si>
    <t>43031c02111902f3</t>
  </si>
  <si>
    <t>658cee05111902f3</t>
  </si>
  <si>
    <t>5e1b0305111902f3</t>
  </si>
  <si>
    <t>3e719804111902f3</t>
  </si>
  <si>
    <t>4e890c05111902f3</t>
  </si>
  <si>
    <t>3fb04903111902f3</t>
  </si>
  <si>
    <t>4bb59f03111902f3</t>
  </si>
  <si>
    <t>05533600111902f3</t>
  </si>
  <si>
    <t>cf433a01111902f3</t>
  </si>
  <si>
    <t>e4a1f903111902f3</t>
  </si>
  <si>
    <t>cb230901111902f3</t>
  </si>
  <si>
    <t>ceaeb902111902f3</t>
  </si>
  <si>
    <t>d3a4bb00111902f3</t>
  </si>
  <si>
    <t>d2f64f03111902f3</t>
  </si>
  <si>
    <t>cea4c600111902f3</t>
  </si>
  <si>
    <t>d2e69303111902f3</t>
  </si>
  <si>
    <t>6b85204121902f3</t>
  </si>
  <si>
    <t>6b7a0105121902f3</t>
  </si>
  <si>
    <t>620c6805121902f3</t>
  </si>
  <si>
    <t>6207c701121902f3</t>
  </si>
  <si>
    <t>61d66302121902f3</t>
  </si>
  <si>
    <t>603eea03121902f3</t>
  </si>
  <si>
    <t>60cdc901121902f3</t>
  </si>
  <si>
    <t>62f36502121902f3</t>
  </si>
  <si>
    <t>6b084805121902f3</t>
  </si>
  <si>
    <t>696b7d03121902f3</t>
  </si>
  <si>
    <t>69fbcc00121902f3</t>
  </si>
  <si>
    <t>6872b805121902f3</t>
  </si>
  <si>
    <t>6fd86600121902f3</t>
  </si>
  <si>
    <t>690e7200121902f3</t>
  </si>
  <si>
    <t>687cda03121902f3</t>
  </si>
  <si>
    <t>5f3c4003121902f3</t>
  </si>
  <si>
    <t>61adb302121902f3</t>
  </si>
  <si>
    <t>61025f03121902f3</t>
  </si>
  <si>
    <t>760f4c04012002f3</t>
  </si>
  <si>
    <t>78ea3301012002f3</t>
  </si>
  <si>
    <t>99bd5203012002f3</t>
  </si>
  <si>
    <t>c5931f04012002f3</t>
  </si>
  <si>
    <t>7e9aef03012002f3</t>
  </si>
  <si>
    <t>732ff601012002f3</t>
  </si>
  <si>
    <t>7535ef02012002f3</t>
  </si>
  <si>
    <t>76d84703012002f3</t>
  </si>
  <si>
    <t>77422a05012002f3</t>
  </si>
  <si>
    <t>с8344905121902f3</t>
  </si>
  <si>
    <t>f486b305121902f3</t>
  </si>
  <si>
    <t>c69fb202121902f3</t>
  </si>
  <si>
    <t>e7132001121902f3</t>
  </si>
  <si>
    <t>f374b800121902f3</t>
  </si>
  <si>
    <t>c8a1c303121902f3</t>
  </si>
  <si>
    <t>f48f3e05121902f3</t>
  </si>
  <si>
    <t>c621b902121902f3</t>
  </si>
  <si>
    <t>c6f87505121902f3</t>
  </si>
  <si>
    <t>012.0000107858</t>
  </si>
  <si>
    <t>0576d004121902f3</t>
  </si>
  <si>
    <t>08278404121902f3</t>
  </si>
  <si>
    <t>9256a900121902f3</t>
  </si>
  <si>
    <t>0c8c5904121902f3</t>
  </si>
  <si>
    <t>1bbd8501121902f3</t>
  </si>
  <si>
    <t>3e801c00121902f3</t>
  </si>
  <si>
    <t>08445003121902f3</t>
  </si>
  <si>
    <t>30a94803121902f3</t>
  </si>
  <si>
    <t>fa46f604121902f3</t>
  </si>
  <si>
    <t>80b3ac04012002f3</t>
  </si>
  <si>
    <t>84662d00012002f3</t>
  </si>
  <si>
    <t>806d5d05012002f3</t>
  </si>
  <si>
    <t>8fec5801012002f3</t>
  </si>
  <si>
    <t>838e2a02012002f3</t>
  </si>
  <si>
    <t>868f3502012002f3</t>
  </si>
  <si>
    <t>85e26f01012002f3</t>
  </si>
  <si>
    <t>a48bc805012002f3</t>
  </si>
  <si>
    <t>95ecdd00012002f3</t>
  </si>
  <si>
    <t>ea470000ad0220b2</t>
  </si>
  <si>
    <t>eb470000ac0220b2</t>
  </si>
  <si>
    <t>3466703022002f3</t>
  </si>
  <si>
    <t>26fb9702022002f3</t>
  </si>
  <si>
    <t>235d1a05022002f3</t>
  </si>
  <si>
    <t>23ac4a00022002f3</t>
  </si>
  <si>
    <t>e4436e05032002f3</t>
  </si>
  <si>
    <t>e3ccec03032002f3</t>
  </si>
  <si>
    <t>ed6cfe04032002f3</t>
  </si>
  <si>
    <t>e3e19e00032002f3</t>
  </si>
  <si>
    <t>e3561d03032002f3</t>
  </si>
  <si>
    <t>e26a8504032002f3</t>
  </si>
  <si>
    <t>e3d60c02032002f3</t>
  </si>
  <si>
    <t>eeb3d004032002f3</t>
  </si>
  <si>
    <t>e0470000b7022b2</t>
  </si>
  <si>
    <t>31a5da03032002f3</t>
  </si>
  <si>
    <t>1d4fc200032002f3</t>
  </si>
  <si>
    <t>158bbb04032002f3</t>
  </si>
  <si>
    <t>11c26a05032002f3</t>
  </si>
  <si>
    <t>1d568902032002f3</t>
  </si>
  <si>
    <t>155d0505032002f3</t>
  </si>
  <si>
    <t>13281c04032002f3</t>
  </si>
  <si>
    <t>38f8b300032002f3</t>
  </si>
  <si>
    <t>11372903032002f3</t>
  </si>
  <si>
    <t>1с496d03032002f3</t>
  </si>
  <si>
    <t>06955100032002f3</t>
  </si>
  <si>
    <t>13fbc705032002f3</t>
  </si>
  <si>
    <t>05c0bb03032002f3</t>
  </si>
  <si>
    <t>0f718803032002f3</t>
  </si>
  <si>
    <t>13103303032002f3</t>
  </si>
  <si>
    <t>1524fa03032002f3</t>
  </si>
  <si>
    <t>161e0700032002f3</t>
  </si>
  <si>
    <t>d3989301032002f3</t>
  </si>
  <si>
    <t>d57e0101032002f3</t>
  </si>
  <si>
    <t>d362c903032002f3</t>
  </si>
  <si>
    <t>d2f9d103032002f3</t>
  </si>
  <si>
    <t>d38dd104032002f3</t>
  </si>
  <si>
    <t>d6288e04032002f3</t>
  </si>
  <si>
    <t>e37e9b03032002f3</t>
  </si>
  <si>
    <t>d3aaab05032002f3</t>
  </si>
  <si>
    <t>d5a84302032002f3</t>
  </si>
  <si>
    <t>4483cf01032002f3</t>
  </si>
  <si>
    <t>46b50105032002f3</t>
  </si>
  <si>
    <t>45b30b05032002f3</t>
  </si>
  <si>
    <t>46759400032002f3</t>
  </si>
  <si>
    <t>47a7c305032002f3</t>
  </si>
  <si>
    <t>43caa804032002f3</t>
  </si>
  <si>
    <t>46d57702032002f3</t>
  </si>
  <si>
    <t>483fef01032002f3</t>
  </si>
  <si>
    <t>44d04d05032002f3</t>
  </si>
  <si>
    <t>4031a404032002f3</t>
  </si>
  <si>
    <t>4170c101032002f3</t>
  </si>
  <si>
    <t>456d8704032002f3</t>
  </si>
  <si>
    <t>3a786c03032002f3</t>
  </si>
  <si>
    <t>3a8cc001032002f3</t>
  </si>
  <si>
    <t>40528705032002f3</t>
  </si>
  <si>
    <t>391df005032002f3</t>
  </si>
  <si>
    <t>416a1602032002f3</t>
  </si>
  <si>
    <t>38cb7302032002f3</t>
  </si>
  <si>
    <t>f487e103032002f3</t>
  </si>
  <si>
    <t>e5a35c05032002f3</t>
  </si>
  <si>
    <t>e600e401032002f3</t>
  </si>
  <si>
    <t>e8a43d05032002f3</t>
  </si>
  <si>
    <t>e63ddf02032002f3</t>
  </si>
  <si>
    <t>f1593c04032002f3</t>
  </si>
  <si>
    <t>e569b7a03032002f3</t>
  </si>
  <si>
    <t>e593c202032002f3</t>
  </si>
  <si>
    <t>e5678904032002f3</t>
  </si>
  <si>
    <t>1bce0f00032002f3</t>
  </si>
  <si>
    <t>19b61904032002f3</t>
  </si>
  <si>
    <t>18d56800032002f3</t>
  </si>
  <si>
    <t>16783605032002f3</t>
  </si>
  <si>
    <t>1190ff03032002f3</t>
  </si>
  <si>
    <t>1558bd02032002f3</t>
  </si>
  <si>
    <t>1a60ec04032002f3</t>
  </si>
  <si>
    <t>161ac201032002f3</t>
  </si>
  <si>
    <t>194e3d05032002f3</t>
  </si>
  <si>
    <t>b95ff700102002f3</t>
  </si>
  <si>
    <t>bb9f3b01102002f3</t>
  </si>
  <si>
    <t>b4ba0c04032002f3</t>
  </si>
  <si>
    <t>813c6402102002f3</t>
  </si>
  <si>
    <t>f6ad5e01102002f3</t>
  </si>
  <si>
    <t>b234c602032002f3</t>
  </si>
  <si>
    <t>b1882601032002f3</t>
  </si>
  <si>
    <t>ae9ca901032002f3</t>
  </si>
  <si>
    <t>ae72a704032002f3</t>
  </si>
  <si>
    <t>a637d101112002f3</t>
  </si>
  <si>
    <t>23619c01112002f3</t>
  </si>
  <si>
    <t>002fcb04112002f3</t>
  </si>
  <si>
    <t>04ea1102112002f3</t>
  </si>
  <si>
    <t>53afd604112002f3</t>
  </si>
  <si>
    <t>06419f05112002f3</t>
  </si>
  <si>
    <t>5052d604112002f3</t>
  </si>
  <si>
    <t>ce8ad905112002f3</t>
  </si>
  <si>
    <t>a80dac04112002f3</t>
  </si>
  <si>
    <t>1a850f01102002f3</t>
  </si>
  <si>
    <t>1302ac02102002f3</t>
  </si>
  <si>
    <t>143edf04102002f3</t>
  </si>
  <si>
    <t>1c1e8f03102002f3</t>
  </si>
  <si>
    <t>a1dc9205102002f3</t>
  </si>
  <si>
    <t>0b0cc305102002f3</t>
  </si>
  <si>
    <t>0d0c0400102002f3</t>
  </si>
  <si>
    <t>1372DB00102002F3</t>
  </si>
  <si>
    <t>137d2e00102002f3</t>
  </si>
  <si>
    <t>271cd200102002f3</t>
  </si>
  <si>
    <t>85634503102002f3</t>
  </si>
  <si>
    <t>10068e03102002f3</t>
  </si>
  <si>
    <t>84cb0000102002f3</t>
  </si>
  <si>
    <t>15bd3b00102002f3</t>
  </si>
  <si>
    <t>b500cf05102002f3</t>
  </si>
  <si>
    <t>dd73e703012102f3</t>
  </si>
  <si>
    <t>35b1d600122002f3</t>
  </si>
  <si>
    <t>d8947f05012102f3</t>
  </si>
  <si>
    <t>2e24e004122002f3</t>
  </si>
  <si>
    <t>1cc66b02012102f3</t>
  </si>
  <si>
    <t>6995BE02122002F3</t>
  </si>
  <si>
    <t>520d3602122002f3</t>
  </si>
  <si>
    <t>4f7de702122002f3</t>
  </si>
  <si>
    <t>27b48904042102f3</t>
  </si>
  <si>
    <t>ac0cd900042102f3</t>
  </si>
  <si>
    <t>23585a00042102f3</t>
  </si>
  <si>
    <t>2b995005042102f3</t>
  </si>
  <si>
    <t>28e4cc05042102f3</t>
  </si>
  <si>
    <t>271a5c05042102f3</t>
  </si>
  <si>
    <t>255ee305042102f3</t>
  </si>
  <si>
    <t>2c0cb202042102f3</t>
  </si>
  <si>
    <t>0a7f6702042102f3</t>
  </si>
  <si>
    <t>2ebf4603042102f3</t>
  </si>
  <si>
    <t>53998704042102f3</t>
  </si>
  <si>
    <t>5e4a8604042102f3</t>
  </si>
  <si>
    <t>62730f00042102f3</t>
  </si>
  <si>
    <t>36db0603042102f3</t>
  </si>
  <si>
    <t>2614ba01042102f3</t>
  </si>
  <si>
    <t>32bc7005042102f3</t>
  </si>
  <si>
    <t>6cafb803042102f3</t>
  </si>
  <si>
    <t>ca0f4b01042102f3</t>
  </si>
  <si>
    <t>65bf2703042102f3</t>
  </si>
  <si>
    <t>d1966605042102f3</t>
  </si>
  <si>
    <t>60bcfa02052102f3</t>
  </si>
  <si>
    <t>5f9c4b04052102f3</t>
  </si>
  <si>
    <t>630cbb03052102f3</t>
  </si>
  <si>
    <t>97e8a401052102f3</t>
  </si>
  <si>
    <t>6918d300052102f3</t>
  </si>
  <si>
    <t>686f2b05052102f3</t>
  </si>
  <si>
    <t>787d0701062102f3</t>
  </si>
  <si>
    <t>79967d01062102f3</t>
  </si>
  <si>
    <t>76a1e905062102f3</t>
  </si>
  <si>
    <t>7597b802062102f3</t>
  </si>
  <si>
    <t>776d4d04062102f3</t>
  </si>
  <si>
    <t>787ec500062102f3</t>
  </si>
  <si>
    <t>7780b702062102f3</t>
  </si>
  <si>
    <t>82584300062102f3</t>
  </si>
  <si>
    <t>79410803062102f3</t>
  </si>
  <si>
    <t>41b22603062102f3</t>
  </si>
  <si>
    <t>36bdce04062102f3</t>
  </si>
  <si>
    <t>370b0b02062102f3</t>
  </si>
  <si>
    <t>3b363c00062102f3</t>
  </si>
  <si>
    <t>3d982800062102f3</t>
  </si>
  <si>
    <t>3d534504062102f3</t>
  </si>
  <si>
    <t>36e43602062102f3</t>
  </si>
  <si>
    <t>39663c05062102f3</t>
  </si>
  <si>
    <t>44a06f02062102f3</t>
  </si>
  <si>
    <t>38ecb305062102f3</t>
  </si>
  <si>
    <t>424de401062102f3</t>
  </si>
  <si>
    <t>3b705905062102f3</t>
  </si>
  <si>
    <t>39700205062102f3</t>
  </si>
  <si>
    <t>37b7b705062102f3</t>
  </si>
  <si>
    <t>3b240b02062102f3</t>
  </si>
  <si>
    <t>3ca96b02062102f3</t>
  </si>
  <si>
    <t>3bb85800062102f3</t>
  </si>
  <si>
    <t>3b483902062102f3</t>
  </si>
  <si>
    <t>3d4a4004062102f3</t>
  </si>
  <si>
    <t>3ef8e400062102f3</t>
  </si>
  <si>
    <t xml:space="preserve">ff89ff03072102f3 </t>
  </si>
  <si>
    <t>a1929c04072102f3</t>
  </si>
  <si>
    <t>a0d54101072102f3</t>
  </si>
  <si>
    <t>97caf800072102f3</t>
  </si>
  <si>
    <t>9a83b401072102f3</t>
  </si>
  <si>
    <t>ff733001072102f3</t>
  </si>
  <si>
    <t>c13c4503072102f3</t>
  </si>
  <si>
    <t>97304b01072102f3</t>
  </si>
  <si>
    <t>95f97205072102f3</t>
  </si>
  <si>
    <t>21e799b006411505</t>
  </si>
  <si>
    <t>49ac6900072102f3</t>
  </si>
  <si>
    <t>84a7be03072102f3</t>
  </si>
  <si>
    <t>418c6900072102f3</t>
  </si>
  <si>
    <t>4976be03072102f3</t>
  </si>
  <si>
    <t>51816900072102f3</t>
  </si>
  <si>
    <t>69abbe03072102f3</t>
  </si>
  <si>
    <t>69c4be03072102f3</t>
  </si>
  <si>
    <t>4566be03072102f3</t>
  </si>
  <si>
    <t>e5be6a00072102f3</t>
  </si>
  <si>
    <t>51306a00072102f3</t>
  </si>
  <si>
    <t>0de86900072102f3</t>
  </si>
  <si>
    <t>4da36900072102f3</t>
  </si>
  <si>
    <t>0dc96a00072102f3</t>
  </si>
  <si>
    <t>4d206a00072102f3</t>
  </si>
  <si>
    <t>0ef15b00072102f3</t>
  </si>
  <si>
    <t>6d0a6a00072102f3</t>
  </si>
  <si>
    <t>0ed85b00072102f3</t>
  </si>
  <si>
    <t>71966600102102f3</t>
  </si>
  <si>
    <t>71bc7803102102f3</t>
  </si>
  <si>
    <t>20987602102102f3</t>
  </si>
  <si>
    <t>235f2b02102102f3</t>
  </si>
  <si>
    <t>8f7c4904102102f3</t>
  </si>
  <si>
    <t>7263bb05102102f3</t>
  </si>
  <si>
    <t>67318f00102102f3</t>
  </si>
  <si>
    <t>500a8d03102102f3</t>
  </si>
  <si>
    <t>2f7e2602102102f3</t>
  </si>
  <si>
    <t>bcf76703102102f3</t>
  </si>
  <si>
    <t>278e4f04102102f3</t>
  </si>
  <si>
    <t>9291c800102102f3</t>
  </si>
  <si>
    <t>5a7a1903102102f3</t>
  </si>
  <si>
    <t>7bf0f700112102f3</t>
  </si>
  <si>
    <t>733de002112102f3</t>
  </si>
  <si>
    <t>349dd805112102f3</t>
  </si>
  <si>
    <t>2ec0c304112102f3</t>
  </si>
  <si>
    <t>2cbae300112102f3</t>
  </si>
  <si>
    <t>46130b03112102f3</t>
  </si>
  <si>
    <t>0cb2fd03112102f3</t>
  </si>
  <si>
    <t>a24ec705112102f3</t>
  </si>
  <si>
    <t>2affb104112102f3</t>
  </si>
  <si>
    <t>20О799в00394281120J3S00003942814</t>
  </si>
  <si>
    <t>20J799B00392935420J3S00003929357</t>
  </si>
  <si>
    <t>МБУ "Центр обеспечения муниципальной системы образования"</t>
  </si>
  <si>
    <t>Гпотов Игорь.Васильевич. ИП</t>
  </si>
  <si>
    <t>Денисов ИП (ПАТП)</t>
  </si>
  <si>
    <t>Налобин Алексей Николаевич ИП</t>
  </si>
  <si>
    <t>Минкин Рафик Зайдуллович (Хаяров Радик Шамильевич)</t>
  </si>
  <si>
    <t>Новочеремшанская СШ</t>
  </si>
  <si>
    <t>ЭнергоСервис ООО</t>
  </si>
  <si>
    <t>РосАгроТорг ООО</t>
  </si>
  <si>
    <t>Ахметова Гельсия Гельмановна ИП (ООО РИА)</t>
  </si>
  <si>
    <t>Гафуров Ринат Абдулхакович ИП</t>
  </si>
  <si>
    <t>Сафин Марат Раисович (ИП Загидуллин)</t>
  </si>
  <si>
    <t>СимбирскМолПром ООО</t>
  </si>
  <si>
    <t>Силантьев С.С. (ИП ЛАРИН Ринат Викторович)</t>
  </si>
  <si>
    <t>Силантьев С.С. (ООО Сантехремонт)</t>
  </si>
  <si>
    <t>Силантьев С.С. (ООО Прогресс)</t>
  </si>
  <si>
    <t>ИП Минкин М.Н. (Никитин Максим)</t>
  </si>
  <si>
    <t>ИП Анисимов Василий Михайлович (Соболев А.Н.)</t>
  </si>
  <si>
    <t>ООО САТО</t>
  </si>
  <si>
    <t>Фрегат ООО</t>
  </si>
  <si>
    <t>ТК Автолайн ООО</t>
  </si>
  <si>
    <t>Силантьев Сергей Сергеевич (ООО Инжинеринг-Строй)</t>
  </si>
  <si>
    <t>Силантьев Сергей Сергеевич (СпецТехСервис)</t>
  </si>
  <si>
    <t>Аксенов Р.Р.   (Эталон +/Олимп ООО)</t>
  </si>
  <si>
    <t>Шигильчин (ИП Адамов Геннадий Афанасьевич)</t>
  </si>
  <si>
    <t>ООО ДМФ "Аврора"</t>
  </si>
  <si>
    <t>ИП Хасанова Элбмира Абдулвалиевна</t>
  </si>
  <si>
    <t>ООО Взлёт Ульяновск</t>
  </si>
  <si>
    <t>ООО Лазурное плюс (ООО Соя Поволжья)</t>
  </si>
  <si>
    <t>ООО Автобусы Ульяновска</t>
  </si>
  <si>
    <t>ИП Масленников К.С.</t>
  </si>
  <si>
    <t>ООО Интервал</t>
  </si>
  <si>
    <t>АО Ульяновсккурорт</t>
  </si>
  <si>
    <t>ООО Металл-Групп</t>
  </si>
  <si>
    <t>ООО ТК  АРС</t>
  </si>
  <si>
    <t>СимбирскМетКом</t>
  </si>
  <si>
    <t>ООО Симбтранссервис</t>
  </si>
  <si>
    <t>ООО Человеческий фактор (Лесков)</t>
  </si>
  <si>
    <t>ООО Автотранспорт</t>
  </si>
  <si>
    <t>НПО МАРС</t>
  </si>
  <si>
    <t>ООО БарышПасСервис</t>
  </si>
  <si>
    <t>ИП Букаров Константин Евгеньевич (Удалов Виктор вод. )</t>
  </si>
  <si>
    <t>ИП Налобин А.П.</t>
  </si>
  <si>
    <t>АО Симбирские курорты</t>
  </si>
  <si>
    <t>АО Авиастар-СП</t>
  </si>
  <si>
    <t>ООО Тройка фарм</t>
  </si>
  <si>
    <t>УлГТУ</t>
  </si>
  <si>
    <t>УМУП Ульяновскводоканал</t>
  </si>
  <si>
    <t>ИП Пузян А.А.</t>
  </si>
  <si>
    <t>Джабарров Р.Х. ИП Гусев С.Ю.</t>
  </si>
  <si>
    <t>ИП Кузнецов Евгений Владимирович</t>
  </si>
  <si>
    <t>Конихин Алексей (ИП Варушин Сергей Владимирович)</t>
  </si>
  <si>
    <t>ООО Атотранспорт</t>
  </si>
  <si>
    <t>ООО СояПоволжья (Лазурное)</t>
  </si>
  <si>
    <t>МУП Ульяновскэлектротранс</t>
  </si>
  <si>
    <t>МОУ Байдулинская СОШ</t>
  </si>
  <si>
    <t>ООО Гиппократ (Остров Джус)</t>
  </si>
  <si>
    <t>ИП Шакиров Илхам Решитович (Сафин Ф. С.)</t>
  </si>
  <si>
    <t>ООО Автобусы Ульяновска (ООО Карета)</t>
  </si>
  <si>
    <t>МКУ Управление делами администрации города Ульяновска</t>
  </si>
  <si>
    <t>ООО Багира</t>
  </si>
  <si>
    <t>ООО Химтекс-РТИ</t>
  </si>
  <si>
    <t>ОГАУСО СРЦ Чучкалова</t>
  </si>
  <si>
    <t xml:space="preserve">Ульяновсккурорт </t>
  </si>
  <si>
    <t>ИП Кондрашкин Д.А</t>
  </si>
  <si>
    <t>ИП Бахитова Гюзелия рафиковна</t>
  </si>
  <si>
    <t>РЕНТА МСРТ (ООО Нефтеканал ИСРТ)</t>
  </si>
  <si>
    <t>ООО НС-Ойл</t>
  </si>
  <si>
    <t>МРСК Волги (Новоспасское)</t>
  </si>
  <si>
    <t>ООО Автоэксперт</t>
  </si>
  <si>
    <t>ИП Денисов О.Г.</t>
  </si>
  <si>
    <t>МКУ ЦКС</t>
  </si>
  <si>
    <t>ООО МарсТрейд</t>
  </si>
  <si>
    <t>Билалов Илнур Мансурович</t>
  </si>
  <si>
    <t>Тереньгульский лицей при УлГТУ</t>
  </si>
  <si>
    <t>Тареев ИП</t>
  </si>
  <si>
    <t>ООО СВР (Алгран)</t>
  </si>
  <si>
    <t>ООО СимбирскВторРесурс (АЛГРАН)</t>
  </si>
  <si>
    <t>АО ЧМПЗ</t>
  </si>
  <si>
    <t>Бизнесстаб</t>
  </si>
  <si>
    <t>ИП  Акимов А.В</t>
  </si>
  <si>
    <t>ИП Копьев А.А.</t>
  </si>
  <si>
    <t>ООО ПромТехСервис</t>
  </si>
  <si>
    <t>ООО Марс Трейд</t>
  </si>
  <si>
    <t>Костина Нурия Зарифовна (Костин Сергей Николаевич)</t>
  </si>
  <si>
    <t>ИП Кузнецова О.А.</t>
  </si>
  <si>
    <t>ИП Камалетдинов М.Ф.</t>
  </si>
  <si>
    <t>Кузоватовский лесхоз</t>
  </si>
  <si>
    <t>ООО Торговый Дом Рекорд-М</t>
  </si>
  <si>
    <t>ООО АлГран</t>
  </si>
  <si>
    <t>ООО Человеческий фактор</t>
  </si>
  <si>
    <t>ООО Машинный двор</t>
  </si>
  <si>
    <t>Гадиев Фиргат Фаязович</t>
  </si>
  <si>
    <t>ИП ЛИ</t>
  </si>
  <si>
    <t>Пронин А.В.</t>
  </si>
  <si>
    <t>РосАгроТорг</t>
  </si>
  <si>
    <t>Потапов А.В.</t>
  </si>
  <si>
    <t>ИП Федосеев</t>
  </si>
  <si>
    <t>ТрансАвто</t>
  </si>
  <si>
    <t>Сухов И.В.</t>
  </si>
  <si>
    <t>Ульяновский областной водоканал</t>
  </si>
  <si>
    <t>Гнусарьков В.Н.</t>
  </si>
  <si>
    <t>Машинный двор</t>
  </si>
  <si>
    <t>ИП Лебедев А.В.</t>
  </si>
  <si>
    <t>ИП Бельских Е.Н,</t>
  </si>
  <si>
    <t>ИП Кашапов И.М.</t>
  </si>
  <si>
    <t>ООО СЛК</t>
  </si>
  <si>
    <t>Турабова</t>
  </si>
  <si>
    <t>ИП Хисамутдинов Р.Р.</t>
  </si>
  <si>
    <t>ООО Фирма 112</t>
  </si>
  <si>
    <t>Транс Авто</t>
  </si>
  <si>
    <t>Алгран</t>
  </si>
  <si>
    <t>ООО АгроЦентр</t>
  </si>
  <si>
    <t>Замша Ю.А.</t>
  </si>
  <si>
    <t>Клепенин В.В,</t>
  </si>
  <si>
    <t>Кольцов А.Н.</t>
  </si>
  <si>
    <t>Павлюков Д.А. (Кольцов А.Н.)</t>
  </si>
  <si>
    <t>ООО Форест</t>
  </si>
  <si>
    <t>Егунов А.С.</t>
  </si>
  <si>
    <t>Перяев И.И,</t>
  </si>
  <si>
    <t>ИП Потёмкина В.Е.</t>
  </si>
  <si>
    <t>АБС Групп</t>
  </si>
  <si>
    <t>Митрофанов А.Г.</t>
  </si>
  <si>
    <t>Новатор Плюс</t>
  </si>
  <si>
    <t>Аметист</t>
  </si>
  <si>
    <t>КМКОО Старомостякская СШ</t>
  </si>
  <si>
    <t>БарышПасСервис (Барышское АТП)</t>
  </si>
  <si>
    <t>Гасанов Евгений Захидович</t>
  </si>
  <si>
    <t>ООО Карета</t>
  </si>
  <si>
    <t>Абдульмянов М.М.</t>
  </si>
  <si>
    <t>Никушин Евгений Владимирович</t>
  </si>
  <si>
    <t>ИП Федосеев К.А.</t>
  </si>
  <si>
    <t>ТК Нова (СВ Лига)</t>
  </si>
  <si>
    <t>ООО Промикс</t>
  </si>
  <si>
    <t>ООО Алгран</t>
  </si>
  <si>
    <t>Хорькова Ю.Е,</t>
  </si>
  <si>
    <t>Канев Алексей Геннадьевич</t>
  </si>
  <si>
    <t>ООО Агромирсервис (Газовая компания)</t>
  </si>
  <si>
    <t>ИП Новичков А.В.</t>
  </si>
  <si>
    <t>ООО Эковолга (Ликанин В.Н.)</t>
  </si>
  <si>
    <t>Низамеев Марс Мазидуллович Новатор-плюс</t>
  </si>
  <si>
    <t>ООО Сантерра Агро</t>
  </si>
  <si>
    <t>ООО ПТР (Стройтехника)</t>
  </si>
  <si>
    <t>Микка Е.В.</t>
  </si>
  <si>
    <t>Лаишевская Л.Н.</t>
  </si>
  <si>
    <t>Павлов В.Г. (УЛЬЯНОВСКТИСИЗ АО)</t>
  </si>
  <si>
    <t>Кузин А.М.</t>
  </si>
  <si>
    <t>ООО Агро-Инвест Плюс</t>
  </si>
  <si>
    <t>МБУ Дорремстрой (ТЕНДЕР)</t>
  </si>
  <si>
    <t>Драматический театр</t>
  </si>
  <si>
    <t>ООО Инертавто</t>
  </si>
  <si>
    <t>Маврин Д.В,</t>
  </si>
  <si>
    <t>ООО Эковолга    ИП Леканин В.Н.</t>
  </si>
  <si>
    <t>ГУЗ Ульяновсакая одластная детская клиническая больница имени Горячева (Плательщик: БЛАГОТВОРИТЕЛЬНЫЙ РОТАРИ КЛУБ УЛЬЯНОВСК УМОО)</t>
  </si>
  <si>
    <t>Агро Дело (Умяров Марс Махмутович)</t>
  </si>
  <si>
    <t>Дмитриево Помряскинская СШ</t>
  </si>
  <si>
    <t>Димитровградский элеватор</t>
  </si>
  <si>
    <t>ООО СервисГаз</t>
  </si>
  <si>
    <t>Михайлов Р.А.</t>
  </si>
  <si>
    <t>Гильманов А.Ю. Желдаков А.Ю.</t>
  </si>
  <si>
    <t>Автобусы Ульяновска</t>
  </si>
  <si>
    <t>Авиакомпания Волга-Днепр</t>
  </si>
  <si>
    <t>МБУ Правый берег</t>
  </si>
  <si>
    <t>Хафизов Рустем Вячеславович (ВИП Проект)</t>
  </si>
  <si>
    <t>ООО АБС Групп</t>
  </si>
  <si>
    <t>Зарубина Е.С. (ИП Зарубин)</t>
  </si>
  <si>
    <t>Тахограф ООО Плазма ставили ООО Симбирское Автомобильное агенство</t>
  </si>
  <si>
    <t>СояПоволжья             Лазурное</t>
  </si>
  <si>
    <t>Кузьмин Сергей Валерьевич</t>
  </si>
  <si>
    <t>Зарубин Михаил Сергеевич</t>
  </si>
  <si>
    <t>ООО "Агро-Н"</t>
  </si>
  <si>
    <t>Оздоровский Алескей Владимирович (Ларго Энтерпрайз/ Савалев Дмитрий Евгеньевич ИП)</t>
  </si>
  <si>
    <t>Рыжов</t>
  </si>
  <si>
    <t>КАРЕТА</t>
  </si>
  <si>
    <t>Химтекс-РТИ</t>
  </si>
  <si>
    <t>Утин</t>
  </si>
  <si>
    <t>Абросимов Павел Анатольевич (ООО Новотех)</t>
  </si>
  <si>
    <t>МОУ ОШ с. Смышляевка</t>
  </si>
  <si>
    <t>ИП Гарина Елена Александровна</t>
  </si>
  <si>
    <t>ООО Техрешение (Новотех)</t>
  </si>
  <si>
    <t>Канев Алексей Геннадьевич (Паттранс)</t>
  </si>
  <si>
    <t>ООО Кирпичный двор</t>
  </si>
  <si>
    <t>ООО "Компания Удача"</t>
  </si>
  <si>
    <t>ООО ДРСУ ИНЗА</t>
  </si>
  <si>
    <t>ИП Новиков Максим Евгеньевич</t>
  </si>
  <si>
    <t>Рыжов Владимир Алексеевич</t>
  </si>
  <si>
    <t>Ашанин Ю. Н.</t>
  </si>
  <si>
    <t>Тугучева Нина Михайловна (Бондарев Анатолий Иванович)</t>
  </si>
  <si>
    <t>ООО Благойустройство и сервис</t>
  </si>
  <si>
    <t>ГКУЗ "УОКПБ им. В.А. Копосова"</t>
  </si>
  <si>
    <t>Андрианов Александр Александрович</t>
  </si>
  <si>
    <t>ООО ТЕХРЕШЕНИЕ</t>
  </si>
  <si>
    <t>ООО "Автостар"</t>
  </si>
  <si>
    <t>ООО ВИКИНГ- АГРО</t>
  </si>
  <si>
    <t>МБУ ЦОМСО</t>
  </si>
  <si>
    <t>Новоженин Александр Григорьевич</t>
  </si>
  <si>
    <t>Алексеев Илья Сергеевич</t>
  </si>
  <si>
    <t>Кос Олег Иванович</t>
  </si>
  <si>
    <t>УЛЬЯНОВСКВОДОКАНАЛ УМУП (АКТ)</t>
  </si>
  <si>
    <t>Подъем Транс (Тареев)</t>
  </si>
  <si>
    <t>ООО Автостар</t>
  </si>
  <si>
    <t>Удалов Виктор Валерьевич</t>
  </si>
  <si>
    <t>ИП Библаев С.А.</t>
  </si>
  <si>
    <t>ИП Каюмов Наиль Кадирович</t>
  </si>
  <si>
    <t xml:space="preserve">МУП "Ишеевское городское поселение" </t>
  </si>
  <si>
    <t>Хайдуков Алексей Анатольевич</t>
  </si>
  <si>
    <t>ИП Марцинкевич Я.В.</t>
  </si>
  <si>
    <t>Китахин Валерий Александрович</t>
  </si>
  <si>
    <t>ООО Проектстройреставрация</t>
  </si>
  <si>
    <t>ООО Автобусы Ульяновска (Карета)</t>
  </si>
  <si>
    <t>ООО ПРОМТЕХСЕРВИС</t>
  </si>
  <si>
    <t>Жаркова Елена Геннадьевна (Жарков Илья Александрович)</t>
  </si>
  <si>
    <t>ООО КОЛОС</t>
  </si>
  <si>
    <t>ООО Магистраль</t>
  </si>
  <si>
    <t>ООО Адилет</t>
  </si>
  <si>
    <t>ИП Латыпов Раимль Абдуллазянович</t>
  </si>
  <si>
    <t xml:space="preserve">ИП Котельникова </t>
  </si>
  <si>
    <t>ИП Бельских Е.Н.</t>
  </si>
  <si>
    <t>Макаров А. В.</t>
  </si>
  <si>
    <t>ФГБУ ФНКЦРИО ФМБА России</t>
  </si>
  <si>
    <t xml:space="preserve">Салюков С. А. </t>
  </si>
  <si>
    <t>ООО ФОБОС</t>
  </si>
  <si>
    <t>Дидбаридзе Вано Зауревич</t>
  </si>
  <si>
    <t>Ип Никушин Евгений Владимирович</t>
  </si>
  <si>
    <t>ООО Экопром (Ефремов Денис Владимирович)</t>
  </si>
  <si>
    <t>ОГБУК Ундоровский палеонтологический музей</t>
  </si>
  <si>
    <t>ООО НПФ СОСНЫ</t>
  </si>
  <si>
    <t>ООО РОС- Бекон</t>
  </si>
  <si>
    <t>Абрамов Петр Вадимович (Викинг Агро)</t>
  </si>
  <si>
    <t>Санатуллова Назия Хузиановна (ИНЕРТАВТО ООО/Санатуллов Рамиль Талигатович)</t>
  </si>
  <si>
    <t>Старостин Владимир Владимирович</t>
  </si>
  <si>
    <t>Логинова Мария Константиновна</t>
  </si>
  <si>
    <t>МБУ ГЦ по БиО г. Ульяновска</t>
  </si>
  <si>
    <t>МБУ Дорремстрой</t>
  </si>
  <si>
    <t>ООО СимТэП</t>
  </si>
  <si>
    <t>Автостар</t>
  </si>
  <si>
    <t>Мельников Сергей Владимирович (ООО Автостар)</t>
  </si>
  <si>
    <t>ИП Зотов Павел Владимирович</t>
  </si>
  <si>
    <t>Гудков Александр Николаевич</t>
  </si>
  <si>
    <t>Багаутдинов Минхайдяр Кияметдинович (ООО АГАТ)</t>
  </si>
  <si>
    <t>Гудкова Светлана Александровна (Гудков Александр Николаевич)</t>
  </si>
  <si>
    <t>ООО Тотем Авто</t>
  </si>
  <si>
    <t>АО МСУ-14 Ульяновск</t>
  </si>
  <si>
    <t xml:space="preserve">Идиятуллов Надир Мнирович </t>
  </si>
  <si>
    <t>Везем ООО</t>
  </si>
  <si>
    <t>ООО Техно-Сервис</t>
  </si>
  <si>
    <t>МБОУ Старокулаткинская СШ№1</t>
  </si>
  <si>
    <t>ООО СТС (Симбтрансервис)</t>
  </si>
  <si>
    <t>ИП Микеева Н.В.</t>
  </si>
  <si>
    <t>ООО Симбирск-Авто</t>
  </si>
  <si>
    <t>ООО Компания "Новый резерв"</t>
  </si>
  <si>
    <t>СпецАвто Ульяновск</t>
  </si>
  <si>
    <t>Абрамов Александр Николаевич</t>
  </si>
  <si>
    <t>ООО Техрешение</t>
  </si>
  <si>
    <t>Сухов Иван Владимирович</t>
  </si>
  <si>
    <t>ООО Техрешение (ЗАО Волжская инвестиционная компания)</t>
  </si>
  <si>
    <t xml:space="preserve">Королева? 456CBD03072102F3 </t>
  </si>
  <si>
    <t>Фиат Дукато Т321ВС73</t>
  </si>
  <si>
    <t>МАН А270НА73</t>
  </si>
  <si>
    <t>ГАЗель К777НВ73</t>
  </si>
  <si>
    <t>ГАЗ Х295ЕЕ73</t>
  </si>
  <si>
    <t>ГАЗ К661НТ73</t>
  </si>
  <si>
    <t>ПАЗ А332СМ73</t>
  </si>
  <si>
    <t>ГАЗон К859НТ73</t>
  </si>
  <si>
    <t>ГАЗ Х660ТЕ163</t>
  </si>
  <si>
    <t>ГАЗ А913ВЕ763</t>
  </si>
  <si>
    <t>ГАЗ Е5353ЕТ73</t>
  </si>
  <si>
    <t>Вольво К504НН73</t>
  </si>
  <si>
    <t>Фиат К765НТ73</t>
  </si>
  <si>
    <t>Хендэ К521ВО70</t>
  </si>
  <si>
    <t>МАЗ Е265КК73</t>
  </si>
  <si>
    <t>ГАЗ А058ЕТ73</t>
  </si>
  <si>
    <t>Газон К424РА73</t>
  </si>
  <si>
    <t>Мерседес Е736ЕХ73</t>
  </si>
  <si>
    <t>Фиат К924ВХ73</t>
  </si>
  <si>
    <t>ПАЗ А626ТМ73</t>
  </si>
  <si>
    <t>ГАЗон К469РА73</t>
  </si>
  <si>
    <t>МАЗ К997НУ73</t>
  </si>
  <si>
    <t>Мерседес К238РА73</t>
  </si>
  <si>
    <t>Скания А580ОМ716</t>
  </si>
  <si>
    <t>Скания А966РУ716</t>
  </si>
  <si>
    <t>Форд К765КС73</t>
  </si>
  <si>
    <t>Камаз К293НС73</t>
  </si>
  <si>
    <t>ГАЗ В314НЕ716</t>
  </si>
  <si>
    <t>Камаз Е384КС73</t>
  </si>
  <si>
    <t>Камаз Е126НВ73</t>
  </si>
  <si>
    <t>Камаз Е886МС73</t>
  </si>
  <si>
    <t>МАЗ К644РК73</t>
  </si>
  <si>
    <t>Фиат ВС89616</t>
  </si>
  <si>
    <t>Фиат ВС14716</t>
  </si>
  <si>
    <t>ГАЗ ВС12916</t>
  </si>
  <si>
    <t>ГАЗ К405РЕ73</t>
  </si>
  <si>
    <t>Фиат ВС89816</t>
  </si>
  <si>
    <t>Фиат ВС89416</t>
  </si>
  <si>
    <t>ПАЗ Н880ХР116</t>
  </si>
  <si>
    <t>Фиат Н879ХР116</t>
  </si>
  <si>
    <t>Фиат ВС89916</t>
  </si>
  <si>
    <t>УРАЛ А583ЕУ73</t>
  </si>
  <si>
    <t>Камаз А171ТМ73</t>
  </si>
  <si>
    <t>ЛиАЗ Е677КМ163</t>
  </si>
  <si>
    <t>УАЗ Р227НУ16</t>
  </si>
  <si>
    <t>ГАЗ В806НР73</t>
  </si>
  <si>
    <t>ГАЗ А343МУ73</t>
  </si>
  <si>
    <t>Вольво М331ВО152</t>
  </si>
  <si>
    <t>Рено А908ТР73</t>
  </si>
  <si>
    <t>МАЗ В989ЕХ73</t>
  </si>
  <si>
    <t>Исузу А756ТТ86</t>
  </si>
  <si>
    <t>ГАЗ К035РН73</t>
  </si>
  <si>
    <t>МАН А035СХ73</t>
  </si>
  <si>
    <t>ГАЗ к284ре73</t>
  </si>
  <si>
    <t>ПАЗ Н093УХ152</t>
  </si>
  <si>
    <t>Ситроен М575ВТ40</t>
  </si>
  <si>
    <t>МАН К083РЕ73</t>
  </si>
  <si>
    <t>ВОЛЬВО В911ТХ73</t>
  </si>
  <si>
    <t>ПАЗ АР38873</t>
  </si>
  <si>
    <t>ПАЗ АР18473</t>
  </si>
  <si>
    <t>Исузу К492ТР13</t>
  </si>
  <si>
    <t>Пежо Е682СУ73</t>
  </si>
  <si>
    <t>ГАЗ М778МА73</t>
  </si>
  <si>
    <t>лИаз е355ем73</t>
  </si>
  <si>
    <t>МАЗ А077ТЕ73</t>
  </si>
  <si>
    <t>Тойота Хиасе Е083РМ73</t>
  </si>
  <si>
    <t>ГАЗ Е829ХС73</t>
  </si>
  <si>
    <t>Валдай А466ОТ37</t>
  </si>
  <si>
    <t>Ивеко Х675КУ777</t>
  </si>
  <si>
    <t>Ивеко Е170НУ73</t>
  </si>
  <si>
    <t>МАЗ В611НУ73</t>
  </si>
  <si>
    <t>УАЗ Е033КС73</t>
  </si>
  <si>
    <t>ПАЗ С563ЕО73</t>
  </si>
  <si>
    <t>ГАЗ М273ВХ73</t>
  </si>
  <si>
    <t>Вольво В398МК73</t>
  </si>
  <si>
    <t>ГАЗ Е173ХЕ73</t>
  </si>
  <si>
    <t>Форд Транзит В212РУ73</t>
  </si>
  <si>
    <t>JAC к155са73</t>
  </si>
  <si>
    <t>ПАЗ Е776СН73</t>
  </si>
  <si>
    <t>ПАЗ В471УУ73</t>
  </si>
  <si>
    <t>ГАЗ А849НР73</t>
  </si>
  <si>
    <t>ГАЗ К131РО73</t>
  </si>
  <si>
    <t>ИМЯ-М А 793 СС73</t>
  </si>
  <si>
    <t>ГАЗ Е142ТХ13</t>
  </si>
  <si>
    <t>АФ-4750Е8-4 В 970 ЕХ73</t>
  </si>
  <si>
    <t>Мерседес бенс Р 566 РТ73</t>
  </si>
  <si>
    <t>Кран манипулятор Е950РА</t>
  </si>
  <si>
    <t>Камаз Х330АТ73</t>
  </si>
  <si>
    <t>МАН К 760 РХ73</t>
  </si>
  <si>
    <t>Камаз к010кв</t>
  </si>
  <si>
    <t>ПАЗ к002са73</t>
  </si>
  <si>
    <t>ПАЗ Н 264 УС152</t>
  </si>
  <si>
    <t>КАМАЗ У 251 УС73</t>
  </si>
  <si>
    <t>JAC к595са73</t>
  </si>
  <si>
    <t>ПАЗ к714ру73</t>
  </si>
  <si>
    <t>ПАЗ к698ру73</t>
  </si>
  <si>
    <t>ПАЗ к676ру73</t>
  </si>
  <si>
    <t>ПАЗ к695ру73</t>
  </si>
  <si>
    <t>ГАЗон к511са73</t>
  </si>
  <si>
    <t>Форд е625ра73</t>
  </si>
  <si>
    <t>Камаз к728еа73</t>
  </si>
  <si>
    <t>ГАЗ к631св73</t>
  </si>
  <si>
    <t>Ютонг к896св73</t>
  </si>
  <si>
    <t>ПАЗ а163тм73</t>
  </si>
  <si>
    <t>передан</t>
  </si>
  <si>
    <t>ДАФ в991ха73</t>
  </si>
  <si>
    <t>ДАФ в986ха73</t>
  </si>
  <si>
    <t>ГАЗон е368тс73</t>
  </si>
  <si>
    <t>передан в Москву подрядчику</t>
  </si>
  <si>
    <t>МАН а251се73</t>
  </si>
  <si>
    <t>МАЗ к668нм73</t>
  </si>
  <si>
    <t>ГАЗ в949ср73</t>
  </si>
  <si>
    <t>ГАЗ к347ск73</t>
  </si>
  <si>
    <t>Рено е272хт73</t>
  </si>
  <si>
    <t xml:space="preserve">передан </t>
  </si>
  <si>
    <t>Камаз е783та73</t>
  </si>
  <si>
    <t>Скания к210ск73</t>
  </si>
  <si>
    <t>УРАЛ к039рм73</t>
  </si>
  <si>
    <t>Шакман к608рк73</t>
  </si>
  <si>
    <t>ДАФ в028мр73</t>
  </si>
  <si>
    <t>ГАЗ к191ро82</t>
  </si>
  <si>
    <t>Мерс е918со</t>
  </si>
  <si>
    <t>ГАЗон к882сн73</t>
  </si>
  <si>
    <t>WV к764сн73</t>
  </si>
  <si>
    <t>Нефаз к415сн73</t>
  </si>
  <si>
    <t>Камаз в465не716</t>
  </si>
  <si>
    <t>Скания е435мо73</t>
  </si>
  <si>
    <t>Форд к833рн73</t>
  </si>
  <si>
    <t>ГАЗон а942уе763</t>
  </si>
  <si>
    <t>Камаз н893ке199</t>
  </si>
  <si>
    <t>Скания е261нт73</t>
  </si>
  <si>
    <t>ГАЗон к358кх73</t>
  </si>
  <si>
    <t>КАВЗ е331ох73</t>
  </si>
  <si>
    <t>Камаз у868сн116</t>
  </si>
  <si>
    <t>ДАФ р875ор152</t>
  </si>
  <si>
    <t>МАЗ е507кв73</t>
  </si>
  <si>
    <t>Кинг Лонг к909со73</t>
  </si>
  <si>
    <t>МАН а868ка73</t>
  </si>
  <si>
    <t>Камаз у828во73</t>
  </si>
  <si>
    <t>Камаз к633ск73</t>
  </si>
  <si>
    <t>ЛИАЗ а796ук763</t>
  </si>
  <si>
    <t>Камаз н8081вс18</t>
  </si>
  <si>
    <t>Фотон в371мм73</t>
  </si>
  <si>
    <t>Мерс е171уу73</t>
  </si>
  <si>
    <t>Камаз в959хк73</t>
  </si>
  <si>
    <t>Камаз в545хр73</t>
  </si>
  <si>
    <t>ГАЗель ав869 73</t>
  </si>
  <si>
    <t>ГАЗель а499нк73</t>
  </si>
  <si>
    <t>Камаз а033ху73</t>
  </si>
  <si>
    <t>Камаз е892хс73</t>
  </si>
  <si>
    <t>Камаз т726ох</t>
  </si>
  <si>
    <t>Валдай в114нв73</t>
  </si>
  <si>
    <t>ГАЗон в810нх73</t>
  </si>
  <si>
    <t>МАЗ х718ес163</t>
  </si>
  <si>
    <t>ГАЗон к907нк73</t>
  </si>
  <si>
    <t>ГАЗон к843су73</t>
  </si>
  <si>
    <t>Хендай к291кх199</t>
  </si>
  <si>
    <t>Камаз р898рс102</t>
  </si>
  <si>
    <t>Атол Драйв Смарт</t>
  </si>
  <si>
    <t>Хайгир к088нх73</t>
  </si>
  <si>
    <t>Мерс е008хк73</t>
  </si>
  <si>
    <t>ПАЗ к420нк73</t>
  </si>
  <si>
    <t>ГАЗель к623ур73</t>
  </si>
  <si>
    <t>Пежо а085ср73</t>
  </si>
  <si>
    <t>Пежо к480ур73</t>
  </si>
  <si>
    <t>ГАЗель ар49873</t>
  </si>
  <si>
    <t>Камаз р823мн163</t>
  </si>
  <si>
    <t>ГАЗель к608ур73</t>
  </si>
  <si>
    <t>Митсубиси х540еа73</t>
  </si>
  <si>
    <t>Мерс в865тх73</t>
  </si>
  <si>
    <t>Хендай а875мк73</t>
  </si>
  <si>
    <t>Камаз в757хк73</t>
  </si>
  <si>
    <t>ГАЗон к025со</t>
  </si>
  <si>
    <t>Форд а150св73</t>
  </si>
  <si>
    <t>ГАЗон к282хе73</t>
  </si>
  <si>
    <t>Хендай к838хо73</t>
  </si>
  <si>
    <t>Урал м938ао73</t>
  </si>
  <si>
    <t>МАЗ в030кн197</t>
  </si>
  <si>
    <t>Камаз в765еу163</t>
  </si>
  <si>
    <t>Камаз в544хр</t>
  </si>
  <si>
    <t>Камаз к459ке73</t>
  </si>
  <si>
    <t>Джак к608хв73</t>
  </si>
  <si>
    <t>Форд к598хе73</t>
  </si>
  <si>
    <t>МАЗ с715вх152</t>
  </si>
  <si>
    <t>Камаз а297рр73</t>
  </si>
  <si>
    <t>ПАЗ е409оа73</t>
  </si>
  <si>
    <t>Урал к479кр73</t>
  </si>
  <si>
    <t>ГАЗ к630ур73</t>
  </si>
  <si>
    <t>Камаз к192сх73</t>
  </si>
  <si>
    <t>Камаз к941ер73</t>
  </si>
  <si>
    <t>ПАЗ к230кх73</t>
  </si>
  <si>
    <t>Скания е120та73</t>
  </si>
  <si>
    <t>ГАЗель к289хр</t>
  </si>
  <si>
    <t>Шакман в630хн73</t>
  </si>
  <si>
    <t>Шакман е718ме73</t>
  </si>
  <si>
    <t>Форд к989су73</t>
  </si>
  <si>
    <t>Вольво в336кх161</t>
  </si>
  <si>
    <t>ГАЗель к268хв73</t>
  </si>
  <si>
    <t>ПАЗ е647ру73</t>
  </si>
  <si>
    <t>Камаз а818еу73</t>
  </si>
  <si>
    <t>Камаз к696хк73</t>
  </si>
  <si>
    <t>Камаз к498хк73</t>
  </si>
  <si>
    <t>Камаз к450хк73</t>
  </si>
  <si>
    <t>ГАЗ у050во73</t>
  </si>
  <si>
    <t>МАЗ е717ур</t>
  </si>
  <si>
    <t>Камаз а946хо73</t>
  </si>
  <si>
    <t>ГАЗ к888хт73</t>
  </si>
  <si>
    <t>Волво в838ер73</t>
  </si>
  <si>
    <t>ГАЗ у726ау73</t>
  </si>
  <si>
    <t>Шакман е353мх73</t>
  </si>
  <si>
    <t>-ГАЗон к076сх73</t>
  </si>
  <si>
    <t>Рено е717тв73</t>
  </si>
  <si>
    <t>МАЗ к273хх73</t>
  </si>
  <si>
    <t>ГАЗон к068сх73</t>
  </si>
  <si>
    <t>Форд Транзит Ван А646ЕК763</t>
  </si>
  <si>
    <t>РЕНО М543НК73</t>
  </si>
  <si>
    <t>ГАЗ NEXT М055НР73</t>
  </si>
  <si>
    <t>ГАЗ 378601 А144СС73</t>
  </si>
  <si>
    <t>ВОЛЬВО М127ВН73</t>
  </si>
  <si>
    <t>ПЕЖО 222GS-B Е460СМ73</t>
  </si>
  <si>
    <t>Камаз А224РА73</t>
  </si>
  <si>
    <t>ПАЗ 32053-70 К638НС73</t>
  </si>
  <si>
    <t>ГАЗОН NEXT Е545НТ73</t>
  </si>
  <si>
    <t>Камаз В951ЕС73</t>
  </si>
  <si>
    <t>Газон NEXT М068НС73</t>
  </si>
  <si>
    <t>SCANIA М374НС73</t>
  </si>
  <si>
    <t>Volvo Р044ЕЕ73</t>
  </si>
  <si>
    <t>КАМАЗ А495МН73</t>
  </si>
  <si>
    <t>МАЗ М975ХЕ73</t>
  </si>
  <si>
    <t>Фредлайнер Р461ВУ73</t>
  </si>
  <si>
    <t>DAF А395РУ73</t>
  </si>
  <si>
    <t>ГАЗ 35071 Е814НН73</t>
  </si>
  <si>
    <t>УАЗ М614ВН73</t>
  </si>
  <si>
    <t>Камаз Е933ЕР73</t>
  </si>
  <si>
    <t>Камаз Т950ОМ73</t>
  </si>
  <si>
    <t>ПАЗ 320540-12 М374РТ73</t>
  </si>
  <si>
    <t>ПАЗ 320540-12 М357РТ73</t>
  </si>
  <si>
    <t>4389JY М285НЕ73</t>
  </si>
  <si>
    <t>ПАЗ В160СХ73</t>
  </si>
  <si>
    <t>ГАЗ 331061 А457НА73</t>
  </si>
  <si>
    <t>ГАЗ М651ХС73</t>
  </si>
  <si>
    <t>Камаз Х241ХХ87</t>
  </si>
  <si>
    <t>ПАЗ М537РУ73</t>
  </si>
  <si>
    <t>Пежо Боксер 221GS-B  Н276ХТ73</t>
  </si>
  <si>
    <t>ПАЗ М574РУ73</t>
  </si>
  <si>
    <t>ГАЗ-САЗ М242ВТ73</t>
  </si>
  <si>
    <t>ПАЗ М855СА73</t>
  </si>
  <si>
    <t>КАМАЗ В807КО73</t>
  </si>
  <si>
    <t>Камаз М228КТ73</t>
  </si>
  <si>
    <t>ПАЗ М174СВ73</t>
  </si>
  <si>
    <t>ПАЗ М183СВ73</t>
  </si>
  <si>
    <t>МАЗ В045НЕ73</t>
  </si>
  <si>
    <t>Исузу М947СА73</t>
  </si>
  <si>
    <t>МАЗ Е489ТА73</t>
  </si>
  <si>
    <t>Камаз В121КА73</t>
  </si>
  <si>
    <t>ГАЗ М846СВ73</t>
  </si>
  <si>
    <t>ГАЗ В543РУ73</t>
  </si>
  <si>
    <t>МАЗ У007ЕЕ73</t>
  </si>
  <si>
    <t>Камаз С562ОВ73</t>
  </si>
  <si>
    <t>Камаз В191ТР73</t>
  </si>
  <si>
    <t>Камаз Е971ХО73</t>
  </si>
  <si>
    <t>Камаз Н474ХВ73</t>
  </si>
  <si>
    <t>МАН К193ХС73</t>
  </si>
  <si>
    <t>Ютонг Н794ХТ73</t>
  </si>
  <si>
    <t>ZHONG TONG Н603ХВ</t>
  </si>
  <si>
    <t>Хино КК559ЕЕ73</t>
  </si>
  <si>
    <t>ИВЕКО СТРАЛИС В398ВМ73</t>
  </si>
  <si>
    <t>Камаз н597хк73</t>
  </si>
  <si>
    <t>МАЗ А996КО73</t>
  </si>
  <si>
    <t>Камаз А070ЕК37</t>
  </si>
  <si>
    <t>Камаз А731АМ73</t>
  </si>
  <si>
    <t>МАЗ М725СС73</t>
  </si>
  <si>
    <t>ИАЦ-1767М8 М466СН73</t>
  </si>
  <si>
    <t>Mitsubishi Fuso Е557СХ73</t>
  </si>
  <si>
    <t>КАМАЗ Е783КС73</t>
  </si>
  <si>
    <t>Камаз К929ВХ73</t>
  </si>
  <si>
    <t>Камаз А873РН73</t>
  </si>
  <si>
    <t>Шакман М902РУ73</t>
  </si>
  <si>
    <t>Камаз М768СВ73</t>
  </si>
  <si>
    <t>Исузу А754ТТ86</t>
  </si>
  <si>
    <t>ЗИЛ К527ХК73</t>
  </si>
  <si>
    <t>мод 636414 на шаси Камаз 651155-050 К929КР73</t>
  </si>
  <si>
    <t>МАЗ Купава К622РТ73</t>
  </si>
  <si>
    <t>3346-0000010-101 А893ТС73</t>
  </si>
  <si>
    <t>ПАЗ А182ХО 73</t>
  </si>
  <si>
    <t>ПАЗ АР38973</t>
  </si>
  <si>
    <t>ИМЯ-М 3006</t>
  </si>
  <si>
    <t>Камаз В191НУ73</t>
  </si>
  <si>
    <t>Скания М936СЕ73</t>
  </si>
  <si>
    <t>Камаз Р415ОВ73</t>
  </si>
  <si>
    <t>JAC М473ТК</t>
  </si>
  <si>
    <t>МАЗ Н265ВК73</t>
  </si>
  <si>
    <t>КАМАЗ С662УА 73</t>
  </si>
  <si>
    <t>Скания М535ТА</t>
  </si>
  <si>
    <t>Камаз Е498ХК73</t>
  </si>
  <si>
    <t>ПАЗ В194СС73</t>
  </si>
  <si>
    <t>Фольсваген М673СУ73</t>
  </si>
  <si>
    <t>Камаз Т034РВ163</t>
  </si>
  <si>
    <t>УРАЛ М463ХО</t>
  </si>
  <si>
    <t>УРАЛ М456ХН</t>
  </si>
  <si>
    <t>УРАЛ М505ХХ</t>
  </si>
  <si>
    <t>ПАЗ Е929КО73</t>
  </si>
  <si>
    <t>МАЗ Р453ХТ</t>
  </si>
  <si>
    <t>МАЗ М331ТМ73</t>
  </si>
  <si>
    <t>ГАЗель NEXT VIN X3C362232M0000004</t>
  </si>
  <si>
    <t>МАЗ М973ХХ73</t>
  </si>
  <si>
    <t>Камаз Е035АВ73</t>
  </si>
  <si>
    <t>3010GD К358КХ73</t>
  </si>
  <si>
    <t>Камаз М 176 ВЕ73</t>
  </si>
  <si>
    <t>Камаз Е361АЕ73</t>
  </si>
  <si>
    <t>ГАЗ Р783ХМ73</t>
  </si>
  <si>
    <t>ГАЗ Е 560 ЕУ 73</t>
  </si>
  <si>
    <t>АТОЛ ДРАЙВ ООО</t>
  </si>
  <si>
    <t xml:space="preserve">ФДО-МЕТТЭМ ООО </t>
  </si>
  <si>
    <t>ФДО-МЕТТЭМ ООО</t>
  </si>
  <si>
    <t xml:space="preserve">АТОЛ ДРАЙВ ООО </t>
  </si>
  <si>
    <t>АТОЛ ДРАЙВ ООО (От Силантьева, в долг брали)</t>
  </si>
  <si>
    <t xml:space="preserve">ТАХОГРАФ МАСТЕР ООО </t>
  </si>
  <si>
    <t>ТАХОГРАФ МАСТЕР ООО</t>
  </si>
  <si>
    <t>Тахограф мастер ооо</t>
  </si>
  <si>
    <t>фдо-меттэм ооо</t>
  </si>
  <si>
    <t>тахограф мастер ооо</t>
  </si>
  <si>
    <t>АО АВТО Евро</t>
  </si>
  <si>
    <t>ООО Тахограф Мастер</t>
  </si>
  <si>
    <t>ооо Тахограф Мастер</t>
  </si>
  <si>
    <t>Ао Авто Евро</t>
  </si>
  <si>
    <t>ооо тахограф казань</t>
  </si>
  <si>
    <t>АО авто евро</t>
  </si>
  <si>
    <t xml:space="preserve"> сч/ф №4106  15.05.19</t>
  </si>
  <si>
    <t>Блок СКЗИ тахографа "НКМ-2" поверенный</t>
  </si>
  <si>
    <t>Блок СКЗИ тахографа НКМ-К. Поверенный</t>
  </si>
  <si>
    <t>Блок СКЗИ тахографа НКМ-2.10 Поверенный</t>
  </si>
  <si>
    <t>Блок СКЗИ тахографа НКМ-2.11 Поверенный</t>
  </si>
  <si>
    <t>Блок СКЗИ тахографа НКМ -2.11 Поверенный</t>
  </si>
  <si>
    <t>программно-аппаратное шифровальное(криптографическое) средство блок скзи тахографа нкм2.11 исполнение ИН</t>
  </si>
  <si>
    <t>програмно-аппаратное(криптографическое) средство блок скзи тахографа нкм2.11 исполнение ИН</t>
  </si>
  <si>
    <t>програмно-аппаратное(криптаграфическое) средство блок скзи тахографа нкм2.11 исполнение ИН</t>
  </si>
  <si>
    <t>Блок Нкм тахографа 2.11</t>
  </si>
  <si>
    <t>Блок НКМ тахографа  2.11.</t>
  </si>
  <si>
    <t>Блок НКМ тахографа 2.11</t>
  </si>
  <si>
    <t>Блок нкм тахографа нкм 2.11</t>
  </si>
  <si>
    <t>НКМ-2.11 Блок СКЗИ тахографа</t>
  </si>
  <si>
    <t>НКМ-2.11 Блок Скзи Тахографа</t>
  </si>
  <si>
    <t>Блок НКМ тахографа НКМ-2.11</t>
  </si>
  <si>
    <t>Блок НКМ -2.11 Блок СКЗИ тахографа</t>
  </si>
  <si>
    <t>нкм-2.11 Блок СКЗИ тахографа</t>
  </si>
  <si>
    <t>нкм-2.11 Блок Скзи тахографа</t>
  </si>
  <si>
    <t>нкм-2.11 блок Скзи тахографа</t>
  </si>
  <si>
    <t>нкм 2.11 Блок Скзи тахографа</t>
  </si>
  <si>
    <t>Нкм 2.11 Блок Скзи тахографа</t>
  </si>
  <si>
    <t>блок скзи(нкм)</t>
  </si>
  <si>
    <t>блок скзи (нкм)</t>
  </si>
  <si>
    <t>нкм 2.11 Блок скзи тахографа</t>
  </si>
  <si>
    <t>нкм 2.11 Блок СКЗИ тахографа</t>
  </si>
  <si>
    <t>нкм 2.11 блок СКЗИ тахографа</t>
  </si>
  <si>
    <t>нкм 2.11 блок Скзи тахографа</t>
  </si>
  <si>
    <t>нкм 2.11 блок скзи тахографа</t>
  </si>
  <si>
    <t>нкм-2.11/блок скзи тахографа</t>
  </si>
  <si>
    <t>18L-799-05453561-18L3A00005453553</t>
  </si>
  <si>
    <t>18L-799-05457349-18L3A00005457331</t>
  </si>
  <si>
    <t>18L-799-05451813-18L3A00005451805</t>
  </si>
  <si>
    <t>18L-799-05452373-18L3A00005452365</t>
  </si>
  <si>
    <t>18L-799-05452837-18L3A00005452829</t>
  </si>
  <si>
    <t>18L-740K-1599544-18L3A00001599540</t>
  </si>
  <si>
    <t>18L-740K-1599650-18L3A00001599656</t>
  </si>
  <si>
    <t>18L-740K-1599759-18L3A00001599755</t>
  </si>
  <si>
    <t>18L-740K-1600524-18L3A00001600520</t>
  </si>
  <si>
    <t>18L-740K-1599197-18L3A00001599193</t>
  </si>
  <si>
    <t>18L-740K-1599171-18L3A00001599177</t>
  </si>
  <si>
    <t>18L-740K-1600045-18L3A00001600041</t>
  </si>
  <si>
    <t>18L-740K-1600094-18L3A00001600090</t>
  </si>
  <si>
    <t>18L-740K-1639043-18L3A00001639049</t>
  </si>
  <si>
    <t>18L-740K-1638409-18L3A00001638405</t>
  </si>
  <si>
    <t>18L-740K-1638987-18L3A00001638983</t>
  </si>
  <si>
    <t>18L-740K-1640157-18L3A00001640153</t>
  </si>
  <si>
    <t>18L-740K-1639001-18L3A00001639007</t>
  </si>
  <si>
    <t>18L-740K-1637732-18L3A00001637738</t>
  </si>
  <si>
    <t>18L-740K-1648218-18L3A00001648214</t>
  </si>
  <si>
    <t>18L-740K-1640660-18L3A00001640666</t>
  </si>
  <si>
    <t>18L-740K-1649216-18L3A00001649212</t>
  </si>
  <si>
    <t>18L-740K-1637757-18L3A00001637753</t>
  </si>
  <si>
    <t>19B799A000018907-19B3A00000018907</t>
  </si>
  <si>
    <t>19B799A000020374-19B3A00000020374</t>
  </si>
  <si>
    <t>19B799A000018493-19B3A00000018493</t>
  </si>
  <si>
    <t>19B799A000020861-19B3A00000020861</t>
  </si>
  <si>
    <t>19B799A000020853-19B3A00000020853</t>
  </si>
  <si>
    <t>19B799A000018501-19B3A00000018501</t>
  </si>
  <si>
    <t>19B799A000018519-19B3A00000018519</t>
  </si>
  <si>
    <t>19B799A000019293-19B3A00000019293</t>
  </si>
  <si>
    <t>19B799A000028112-19B3A00000028112</t>
  </si>
  <si>
    <t>19B799A000018576-19B3A00000018576</t>
  </si>
  <si>
    <t>19B799A000151716-19B3A00000151716</t>
  </si>
  <si>
    <t>19B799A000143028-19B3A00000143028</t>
  </si>
  <si>
    <t>19B799A000142335-19B3A00000142335</t>
  </si>
  <si>
    <t>19B799A000137251-19B3A00000137251</t>
  </si>
  <si>
    <t>19B799A000137509-19B3A00000137509</t>
  </si>
  <si>
    <t>19C799A000272867-19C3A00000272867</t>
  </si>
  <si>
    <t>19C799A000272420-19C3A00000272420</t>
  </si>
  <si>
    <t>19C799A000264518-19C3A00000264518</t>
  </si>
  <si>
    <t>19C799A000266984-19C3A00000266984</t>
  </si>
  <si>
    <t>19C799A000272487-19C3A00000272487</t>
  </si>
  <si>
    <t>19C799A000273436-19C3A00000273436</t>
  </si>
  <si>
    <t>19C799A000267487-19C3A00000267487</t>
  </si>
  <si>
    <t>19C799A000273204-19C3A00000273204</t>
  </si>
  <si>
    <t>19C799A000272818-19C3A00000272818</t>
  </si>
  <si>
    <t>19C799A000273220-19C3A00000273220</t>
  </si>
  <si>
    <t>19C799A000495351-19C3A00000495351</t>
  </si>
  <si>
    <t>19C799A000282882-19C3A00000282882</t>
  </si>
  <si>
    <t>19C799A000282064-19C3A00000282064</t>
  </si>
  <si>
    <t>19C799A000281413-19C3A00000281413</t>
  </si>
  <si>
    <t>19C799A000281603-19C3A00000281603</t>
  </si>
  <si>
    <t>19C799A000280894-19C3A00000280894</t>
  </si>
  <si>
    <t>19C799A000274954-19C3A00000274954</t>
  </si>
  <si>
    <t>19C799A000267768-19C3A00000267768</t>
  </si>
  <si>
    <t>19C799A000280555-19C3A00000280555</t>
  </si>
  <si>
    <t>19C799A000279227-19C3A00000279227</t>
  </si>
  <si>
    <t>19C799A000282874-19C3A00000282874</t>
  </si>
  <si>
    <t>19C799A000309081-19C3A00000309081</t>
  </si>
  <si>
    <t>19C799A000309909-19C3A00000309909</t>
  </si>
  <si>
    <t>19C799A000309354-19C3A00000309354</t>
  </si>
  <si>
    <t>19C799A000309396-19C3A00000309396</t>
  </si>
  <si>
    <t>19C799A000311566-19C3A00000311566</t>
  </si>
  <si>
    <t>19C799A000311681-19C3A00000311681</t>
  </si>
  <si>
    <t>19C799A000309263-19C3A00000309263</t>
  </si>
  <si>
    <t>19C799A000309842-19C3A00000309842</t>
  </si>
  <si>
    <t>19C799A000310014-19C3A00000310014</t>
  </si>
  <si>
    <t>19C799A000310287-19C3A00000310287</t>
  </si>
  <si>
    <t>19C799A000447980-19C3A00000447980</t>
  </si>
  <si>
    <t>19C799A000445505-19C3A00000445505</t>
  </si>
  <si>
    <t>19C799A000453822-19C3A00000453822</t>
  </si>
  <si>
    <t>19C799A000445117-19C3A00000445117</t>
  </si>
  <si>
    <t>19C799A000445893-19C3A00000445893</t>
  </si>
  <si>
    <t>19C799A000448145-19С3A00000448145</t>
  </si>
  <si>
    <t>19C799A000443351-19C3A00000443351</t>
  </si>
  <si>
    <t>19C799A000447485-19C3A00000447485</t>
  </si>
  <si>
    <t>19C799A000444268-19C3A00000444268</t>
  </si>
  <si>
    <t>19C799A000444276-19C3A00000444276</t>
  </si>
  <si>
    <t>19D799A000575359-19D3A00000575359</t>
  </si>
  <si>
    <t>19D799A000581209-19D3A00000581209</t>
  </si>
  <si>
    <t>19D799A000579856-19D3A00000579856</t>
  </si>
  <si>
    <t>19D799A000580078-19D3A00000580078</t>
  </si>
  <si>
    <t>19D799A000579849-19D3A00000579849</t>
  </si>
  <si>
    <t>19D799A000582926-19D3A00000582926</t>
  </si>
  <si>
    <t>19D799A000577306-19D3A00000577306</t>
  </si>
  <si>
    <t>19D799A000582165-19D3A00000582165</t>
  </si>
  <si>
    <t>19D799A000582470-19D3A00000582470</t>
  </si>
  <si>
    <t>19D799A000582371-19D3A00000582371</t>
  </si>
  <si>
    <t>19D799A000694176-19D3A00000694176</t>
  </si>
  <si>
    <t>19D799A000695280-19D3A00000695280</t>
  </si>
  <si>
    <t>19D799A000697039-19D3A00000697039</t>
  </si>
  <si>
    <t>19D799A000696247-19D3A00000696247</t>
  </si>
  <si>
    <t>19D799A000696767-19D3A00000696767</t>
  </si>
  <si>
    <t>19C799A000384118-19C3A00000384118</t>
  </si>
  <si>
    <t>19C799A000386584-19C3A00000386584</t>
  </si>
  <si>
    <t>19C799A000385537-19C3A00000385537</t>
  </si>
  <si>
    <t>19C799A000386360-19C3A00000386360</t>
  </si>
  <si>
    <t>19C799A000386543-19C3A00000386543</t>
  </si>
  <si>
    <t>19C799A000385479-19C3A00000385479</t>
  </si>
  <si>
    <t>19C799A000387228-19C3A00000387228</t>
  </si>
  <si>
    <t>19C799A000387939-19C3A00000387939</t>
  </si>
  <si>
    <t>19C799A000384019-19C3A00000384019</t>
  </si>
  <si>
    <t>19C799A000385743-19C3A00000385743</t>
  </si>
  <si>
    <t>19C799A000384886-19C3A00000384886</t>
  </si>
  <si>
    <t>19C799A000389885-19C3A00000389885</t>
  </si>
  <si>
    <t>19C799A000382682-19C3A00000382682</t>
  </si>
  <si>
    <t>19C799A000383128-19C3A00000383128</t>
  </si>
  <si>
    <t>19C799A000382831-19C3A00000382831</t>
  </si>
  <si>
    <t>19C799A000384894-19C3A00000384894</t>
  </si>
  <si>
    <t>19C799A000389836-19C3A00000389836</t>
  </si>
  <si>
    <t>19C799A000384563-19C3A00000384563</t>
  </si>
  <si>
    <t>19C799A000383540-19C3A00000383540</t>
  </si>
  <si>
    <t>19C799A000379324-19C3A00000379324</t>
  </si>
  <si>
    <t>19F799B000097873-19F3S00000097876</t>
  </si>
  <si>
    <t>19F799B000093518-19F3S00000093511</t>
  </si>
  <si>
    <t>19F799B000094060-19F3S00000094063</t>
  </si>
  <si>
    <t>19F799B000097543-19F3S00000097546</t>
  </si>
  <si>
    <t>19F799B000096818-19F3S00000096811</t>
  </si>
  <si>
    <t>19F799B000093187-19F3S00000093180</t>
  </si>
  <si>
    <t>19F799B000099259-19F3S00000099252</t>
  </si>
  <si>
    <t>19F799B000097824-19F3S00000097827</t>
  </si>
  <si>
    <t>19F799B000099341-19F3S00000099344</t>
  </si>
  <si>
    <t>19F799B000098855-19F3S00000098858</t>
  </si>
  <si>
    <t>19F799B000187310-19F3S00000187313</t>
  </si>
  <si>
    <t>19F799B000187302-19F3S00000187305</t>
  </si>
  <si>
    <t>19F799B000188573-19F3S00000188576</t>
  </si>
  <si>
    <t>19F799B000187393-19F3S00000187396</t>
  </si>
  <si>
    <t>19F799B000188383-19F3S00000188386</t>
  </si>
  <si>
    <t>19E799B000055674-19E3S00000055677</t>
  </si>
  <si>
    <t>19F799B000191080-19F3S00000191083</t>
  </si>
  <si>
    <t>19F799B000190694-19F3S00000190697</t>
  </si>
  <si>
    <t>19F799B000190801-19F3S00000190804</t>
  </si>
  <si>
    <t>19F799B000186148-19F3S00000186141</t>
  </si>
  <si>
    <t>19G799B000379684-19G3S00000379687</t>
  </si>
  <si>
    <t>19G799B000379288-19G3S00000379281</t>
  </si>
  <si>
    <t>19G799B000382159-19G3S00000382152</t>
  </si>
  <si>
    <t>19G799B000384965-19G3S00000384968</t>
  </si>
  <si>
    <t>19G799B000384841-19G3S00000384844</t>
  </si>
  <si>
    <t>19G799B000384403-19G3S00000384406</t>
  </si>
  <si>
    <t>19G799B000383587-19G3S00000383580</t>
  </si>
  <si>
    <t>19G799B000375534-19G3S00000375537</t>
  </si>
  <si>
    <t>19G799B000382449-19G3S00000382442</t>
  </si>
  <si>
    <t>19G799B000382704-19G3S00000382707</t>
  </si>
  <si>
    <t>19G799B000378470-19G3S00000378473</t>
  </si>
  <si>
    <t>19G799B000376110-19G3S00000376113</t>
  </si>
  <si>
    <t>19G799B000377142-19G3S00000377145</t>
  </si>
  <si>
    <t>19G799B000378090-19G3S00000378093</t>
  </si>
  <si>
    <t>19G799B000378108-19G3S00000378101</t>
  </si>
  <si>
    <t>19F799B000370544-19F3S00000370547</t>
  </si>
  <si>
    <t>19F799B000370536-19F3S00000370539</t>
  </si>
  <si>
    <t>19F799B000370528-19F3S00000370521</t>
  </si>
  <si>
    <t>19G799B000376607-19G3S00000376600</t>
  </si>
  <si>
    <t>19G799B000377670-19G3S00000377673</t>
  </si>
  <si>
    <t>19G799B000536317-19G3S00000536310</t>
  </si>
  <si>
    <t>19G799B000539105-19G3S00000539108</t>
  </si>
  <si>
    <t>19G799B000535715-19G3S00000535718</t>
  </si>
  <si>
    <t>19G799B000535723-19G3S00000535726</t>
  </si>
  <si>
    <t>19G799B000536200-19G3S00000536203</t>
  </si>
  <si>
    <t>19G799B000531268-19G3S00000531261</t>
  </si>
  <si>
    <t>19G799B000538545-19G3S00000538548</t>
  </si>
  <si>
    <t>19G799B000538115-19G3S00000538118</t>
  </si>
  <si>
    <t>19G799B000539071-19G3S00000539074</t>
  </si>
  <si>
    <t>19G799B000539089-19G3S00000539082</t>
  </si>
  <si>
    <t>19G799B000547439-19G3S00000547432</t>
  </si>
  <si>
    <t>19G799B000546357-19G3S00000546350</t>
  </si>
  <si>
    <t>19G799B000541143-19G3S00000541146</t>
  </si>
  <si>
    <t>19G799B000541150-19G3S00000541153</t>
  </si>
  <si>
    <t>19G799B000540988-19G3S00000540981</t>
  </si>
  <si>
    <t>19G799B000528645-19G3S00000528648</t>
  </si>
  <si>
    <t>19G799B000529254-19G3S00000529257</t>
  </si>
  <si>
    <t>19G799B000529247-19G3S00000529240</t>
  </si>
  <si>
    <t>19G799B000530955-19G3S00000530958</t>
  </si>
  <si>
    <t>19G799B000530922-19G3S00000530925</t>
  </si>
  <si>
    <t>19G799B000528595-19G3S00000528598</t>
  </si>
  <si>
    <t>19G799B000527696-19G3S00000527699</t>
  </si>
  <si>
    <t>19G799B000528579-19G3S00000528572</t>
  </si>
  <si>
    <t>19G799B000527621-19G3S00000527624</t>
  </si>
  <si>
    <t>19G799B000528546-19G3S00000528549</t>
  </si>
  <si>
    <t>19j799c000014286-19j3e00000014288</t>
  </si>
  <si>
    <t>19j799c000015648-19j3e00000015640</t>
  </si>
  <si>
    <t>19j799c000015671-19j3e00000015673</t>
  </si>
  <si>
    <t>19j799c000016893-19j3e00000016895</t>
  </si>
  <si>
    <t>19j799c000022107-19j3e00000022109</t>
  </si>
  <si>
    <t>19j799c000061741-19j3e00000061743</t>
  </si>
  <si>
    <t>19j799c000061063-19j3e00000061065</t>
  </si>
  <si>
    <t>19j799c000061832-19j3e00000061834</t>
  </si>
  <si>
    <t>19j799c000065353-19j3e00000065355</t>
  </si>
  <si>
    <t>19j799c000061550-19j3e00000061552</t>
  </si>
  <si>
    <t>19j799c000053524-19j3e00000053526</t>
  </si>
  <si>
    <t>19j799c000054191-19j3e00000054193</t>
  </si>
  <si>
    <t>19j799c000067359-19j3e00000067351</t>
  </si>
  <si>
    <t>19j799c000054514-19j3e00000054516</t>
  </si>
  <si>
    <t>19j799c000053920-19j3e00000053922</t>
  </si>
  <si>
    <t>19j799c000013882-19j3e00000013884</t>
  </si>
  <si>
    <t>19j799c000014203-19j3e00000014205</t>
  </si>
  <si>
    <t>19j799c000036073-19j3e00000036075</t>
  </si>
  <si>
    <t>19j799c000037204-19j3e00000037206</t>
  </si>
  <si>
    <t>19j799b001364185-19j3s00001364188</t>
  </si>
  <si>
    <t>19j799b001363781-19j3s00001363784</t>
  </si>
  <si>
    <t>19j799b001363807-19j3s00001363800</t>
  </si>
  <si>
    <t>19j799b001363831-19j3s00001363834</t>
  </si>
  <si>
    <t>19j799b001364144-19j3s00001364147</t>
  </si>
  <si>
    <t>19j799b001376296-19j3s00001376299</t>
  </si>
  <si>
    <t>19j799b001376361-19j3s00001376364</t>
  </si>
  <si>
    <t>19j799b001376312-19j3s00001376315</t>
  </si>
  <si>
    <t>19j799b001376379-19j3s00001376372</t>
  </si>
  <si>
    <t>19j799b001363849-19j3s00001363842</t>
  </si>
  <si>
    <t>19j799b001369895-19j3s00001369898</t>
  </si>
  <si>
    <t>19j799b001356280-19j3s00001356283</t>
  </si>
  <si>
    <t>19j799b001355134-19j3s00001355137</t>
  </si>
  <si>
    <t>19j799b001365109-19j3s00001365102</t>
  </si>
  <si>
    <t>19j799b001355530-19j3s00001355533</t>
  </si>
  <si>
    <t>19j799b001374838-19j3s00001374831</t>
  </si>
  <si>
    <t>19j799b001368111-19j3s00001368114</t>
  </si>
  <si>
    <t>19j799b001367469-19j3s00001367462</t>
  </si>
  <si>
    <t>19j799b001355126-19j3s00001355129</t>
  </si>
  <si>
    <t>19j799b001355175-19j3s00001355178</t>
  </si>
  <si>
    <t>19j799b001371065-19j3s00001371068</t>
  </si>
  <si>
    <t>19j799b001376502-19j3s00001376505</t>
  </si>
  <si>
    <t>19j799b001364094-19j3s00001364097</t>
  </si>
  <si>
    <t>19j799b001364177-19j3s00001364170</t>
  </si>
  <si>
    <t>19j799b001376510-19j3s00001376513</t>
  </si>
  <si>
    <t>19j799b001376304-19j3s00001376307</t>
  </si>
  <si>
    <t>19j799b001376338-19j3s00001376331</t>
  </si>
  <si>
    <t>19j799b001376288-19j3s00001376281</t>
  </si>
  <si>
    <t>19j799b001376452-19j3s00001376455</t>
  </si>
  <si>
    <t>19j799b001376460-19j3s00001376463</t>
  </si>
  <si>
    <t>19к799b001711111-19к3s00001711114</t>
  </si>
  <si>
    <t>19k799b001855959-19k3s00001855952</t>
  </si>
  <si>
    <t>19k799b001855934-19k3s00001855937</t>
  </si>
  <si>
    <t>19k799b001855801-19k3s00001855804</t>
  </si>
  <si>
    <t>19k799b001855942-19k3s00001855945</t>
  </si>
  <si>
    <t>19k799b001855827-19k3s00001855820</t>
  </si>
  <si>
    <t>19k799b001846644-19k3s00001846647</t>
  </si>
  <si>
    <t>19k799b001853467-19k3s00001853460</t>
  </si>
  <si>
    <t>19k799b001853376-19k3s00001853379</t>
  </si>
  <si>
    <t>19k799b001846636-19k3s00001846639</t>
  </si>
  <si>
    <t>19k799b001846602-19k3s00001846605</t>
  </si>
  <si>
    <t>19l799b002028621-19l3s00002028624</t>
  </si>
  <si>
    <t>19l799b002026336-19l3s00002026339</t>
  </si>
  <si>
    <t>19l799b002026898-19l3s00002026891</t>
  </si>
  <si>
    <t>19l799b002028639-19l3s00002028632</t>
  </si>
  <si>
    <t>19l799b002028613-19l3s00002028616</t>
  </si>
  <si>
    <t>19l799b002027052-19l3s00002027055</t>
  </si>
  <si>
    <t>19l799b002027805-19l3s00002027808</t>
  </si>
  <si>
    <t>19l799b002028597-19l3s00002028590</t>
  </si>
  <si>
    <t>19l799b002025916-19l3s00002025919</t>
  </si>
  <si>
    <t>19l799b002027813-19l3s00002027816</t>
  </si>
  <si>
    <t>19l799b002028563-19l3s00002028566</t>
  </si>
  <si>
    <t>19l799b002026252-19l3s00002026255</t>
  </si>
  <si>
    <t>19l799b002026369-19l3s00002026362</t>
  </si>
  <si>
    <t>19l799b002026344-19l3s00002026347</t>
  </si>
  <si>
    <t>19l799b002026989-19l3s00002026982</t>
  </si>
  <si>
    <t>19l799b002027789-19l3s00002027782</t>
  </si>
  <si>
    <t>19l799b002026310-19l3s00002026313</t>
  </si>
  <si>
    <t>19l799b002037903-19l3s00002037906</t>
  </si>
  <si>
    <t>19l799b002027250-19l3s00002027253</t>
  </si>
  <si>
    <t>19l799b002406959-19l3s00002406952</t>
  </si>
  <si>
    <t>19l799b002408302-19l3s00002408305</t>
  </si>
  <si>
    <t>19l799b002407924-19l3s00002407927</t>
  </si>
  <si>
    <t>19l799b002407155-19l3s00002407158</t>
  </si>
  <si>
    <t>19l799b002405613-19l3s00002405616</t>
  </si>
  <si>
    <t>19l799b002410027-19l3s00002410020</t>
  </si>
  <si>
    <t>19l799b002409698-19l3s00002409691</t>
  </si>
  <si>
    <t>19l799b002410191-19l3s00002410194</t>
  </si>
  <si>
    <t>19l799b002405670-19l3s00002405673</t>
  </si>
  <si>
    <t>19l799b002408781-19l3s00002408784</t>
  </si>
  <si>
    <t>19l799b002412148-19l3s00002412141</t>
  </si>
  <si>
    <t>19l799b002413575-19l3s00002413578</t>
  </si>
  <si>
    <t>19l799b002412247-19l3s00002412240</t>
  </si>
  <si>
    <t>19l799b002410761-19l3s00002410764</t>
  </si>
  <si>
    <t>19l799b002420661-19l3s00002420664</t>
  </si>
  <si>
    <t>19l799b002411488-19l3s00002411481</t>
  </si>
  <si>
    <t>19l799b002411447-19l3s00002411440</t>
  </si>
  <si>
    <t>19l799b002412155-19l3s00002412158</t>
  </si>
  <si>
    <t>19l799b002412197-19l3s00002412190</t>
  </si>
  <si>
    <t>19l799b002411710-19l3s00002411713</t>
  </si>
  <si>
    <t>19l799b002289199-19l3s00002289192</t>
  </si>
  <si>
    <t>19l799b002419432-19l3s00002419435</t>
  </si>
  <si>
    <t>19l799b002419390-19l3s00002419393</t>
  </si>
  <si>
    <t>19l799b002413245-19l3s00002413248</t>
  </si>
  <si>
    <t>19l799b002421156-19l3s00002421159</t>
  </si>
  <si>
    <t>19l799b002413591-19l3s00002413594</t>
  </si>
  <si>
    <t>19l799b002422220-19l3s00002422223</t>
  </si>
  <si>
    <t>19l799b002420653-19l3s00002420656</t>
  </si>
  <si>
    <t>19l799b002419465-19l3s00002419468</t>
  </si>
  <si>
    <t>19l799b002419473-19l3s00002419476</t>
  </si>
  <si>
    <t>19l799b002418830-19l3s00002418833</t>
  </si>
  <si>
    <t>19l799b002401588-19l3s00002401581</t>
  </si>
  <si>
    <t>19l799b002401729-19l3s00002401722</t>
  </si>
  <si>
    <t>19l799b002400671-19l3s00002400674</t>
  </si>
  <si>
    <t>19l799b002400648-19l3s00002400641</t>
  </si>
  <si>
    <t>19l799b002402701-19l3s00002402704</t>
  </si>
  <si>
    <t>19l799b002414706-19l3s00002414709</t>
  </si>
  <si>
    <t>19l799b002393967-19l3s00002393960</t>
  </si>
  <si>
    <t>19l799b002393959-19l3s00002393952</t>
  </si>
  <si>
    <t>19l799b002401604-19l3s00002401607</t>
  </si>
  <si>
    <t>19l799b002395061-19l3s00002395064</t>
  </si>
  <si>
    <t>19l799b002417741-19l3s00002417744</t>
  </si>
  <si>
    <t>19l799b002414417-19l3s00002414410</t>
  </si>
  <si>
    <t>19l799b002414094-19l3s00002414097</t>
  </si>
  <si>
    <t>19l799b002412866-19l3s00002412869</t>
  </si>
  <si>
    <t>19l799b002418129-19l3s00002418122</t>
  </si>
  <si>
    <t>19l799b002414060-19l3s00002414063</t>
  </si>
  <si>
    <t>19l799b002393819-19l3s00002393812</t>
  </si>
  <si>
    <t>19l799b002393892-19l3s00002393895</t>
  </si>
  <si>
    <t>19l799b002415927-19l3s00002415920</t>
  </si>
  <si>
    <t>19l799b002415976-19l3s00002415979</t>
  </si>
  <si>
    <t>19l799b002414565-19l3s00002414568</t>
  </si>
  <si>
    <t>19l799b002405910-19l3s00002405913</t>
  </si>
  <si>
    <t>19l799b002416123-19l3s00002416126</t>
  </si>
  <si>
    <t>19l799b002416453-19l3s00002416456</t>
  </si>
  <si>
    <t>19l799b002416966-19l3s00002416969</t>
  </si>
  <si>
    <t>20с799b002613156-20c3s00002613159</t>
  </si>
  <si>
    <t>20c799b002603173-20c3s00002603176</t>
  </si>
  <si>
    <t>20c799b002611150-20c3s00002611153</t>
  </si>
  <si>
    <t>20c799b002611556-20c3s00002611559</t>
  </si>
  <si>
    <t>20c799b002611531-20c3s00002611534</t>
  </si>
  <si>
    <t>20c799b002612968-20c3s00002612961</t>
  </si>
  <si>
    <t>20c799b002611879-20c3s00002611872</t>
  </si>
  <si>
    <t>20c799b002611937-20c3s00002611930</t>
  </si>
  <si>
    <t>20c799b002613768-20c3s00002613761</t>
  </si>
  <si>
    <t>20c799b002603157-20c3s00002603150</t>
  </si>
  <si>
    <t>20d799b002853504-20d3s00002853507</t>
  </si>
  <si>
    <t>20d799b002833852-20d3s00002833855</t>
  </si>
  <si>
    <t>20d799b002848611-20d3s00002848614</t>
  </si>
  <si>
    <t>20d799b002849312-20d3s00002849315</t>
  </si>
  <si>
    <t>20d799b002848843-20d3s00002848846</t>
  </si>
  <si>
    <t>20d799b002834728-20d3s00002834721</t>
  </si>
  <si>
    <t>20d799b002634496-20d3s00002834499</t>
  </si>
  <si>
    <t>20d799b002837432-20d3s00002837435</t>
  </si>
  <si>
    <t>20d799b002854742-20d3s00002854745</t>
  </si>
  <si>
    <t>20d799b002857489-20d3s00002857482</t>
  </si>
  <si>
    <t>20с799b002757698-20c3s00002757691</t>
  </si>
  <si>
    <t>20c799b002757771-20c3s00002757774</t>
  </si>
  <si>
    <t>20с799b002759447-20c3s00002759440</t>
  </si>
  <si>
    <t>20c799b002759264-20c3s00002759267</t>
  </si>
  <si>
    <t>20c799b002759330-20c3s00002759333</t>
  </si>
  <si>
    <t>20c799b002760502-20c3s00002760505</t>
  </si>
  <si>
    <t>20c799b002757805-20c3s00002757808</t>
  </si>
  <si>
    <t>20c799b002754836-20c3s00002754839</t>
  </si>
  <si>
    <t>20c799b002754869-20c3s00002754862</t>
  </si>
  <si>
    <t>20c799b002748564-20c3s00002748567</t>
  </si>
  <si>
    <t>20d799b002897535-20d3s00002897538</t>
  </si>
  <si>
    <t>20d799b002903168-20d3s00002903161</t>
  </si>
  <si>
    <t>20d799b002901832-20d3s00002901835</t>
  </si>
  <si>
    <t>20d799b002901121-20d3s00002901124</t>
  </si>
  <si>
    <t>20d799b002899127-20d3s00002899120</t>
  </si>
  <si>
    <t>20d799b002901428-20d3s00002901421</t>
  </si>
  <si>
    <t>20d799b002908134-20d3s00002908137</t>
  </si>
  <si>
    <t>20d799b002896933-20d3s00002896936</t>
  </si>
  <si>
    <t>20d799b002886652-20d3s00002886655</t>
  </si>
  <si>
    <t>20d799b002888005-20d3s00002888008</t>
  </si>
  <si>
    <t>20d799b002974318-20d3s00002974311</t>
  </si>
  <si>
    <t>20d799b002974086-20d3s00002974089</t>
  </si>
  <si>
    <t>20d799b002974094-20d3s00002974097</t>
  </si>
  <si>
    <t>20d799b002984127-20d3s00002984120</t>
  </si>
  <si>
    <t>20d799b002973385-20d3s00002973388</t>
  </si>
  <si>
    <t>20d799b002990199-20d3s00002990192</t>
  </si>
  <si>
    <t>20d799b002992377-20d3s00002992370</t>
  </si>
  <si>
    <t>20d799b002992641-20d3s00002992644</t>
  </si>
  <si>
    <t>20d799b002993102-20d3s00002993105</t>
  </si>
  <si>
    <t>20d799b002974508-20d3s00002974501</t>
  </si>
  <si>
    <t>20d799b002900917-20d3s00002900910</t>
  </si>
  <si>
    <t>20d799b002914348-20d3s00002914341</t>
  </si>
  <si>
    <t>20d799b002911658-20d3s00002911651</t>
  </si>
  <si>
    <t>20d799b002915063-20d3s00002915066</t>
  </si>
  <si>
    <t>20d799b002912268-20d3s00002912261</t>
  </si>
  <si>
    <t>20d799b003124061-20d3s00003124064</t>
  </si>
  <si>
    <t>20d799b003121133-20d3s00003121136</t>
  </si>
  <si>
    <t>20d799b03121158-20d3s00003121151</t>
  </si>
  <si>
    <t>20d799b003121166-20d3s00003121169</t>
  </si>
  <si>
    <t>20d799b003128930-20d3s00003128933</t>
  </si>
  <si>
    <t>20d799b003118907-20d3s00003118900</t>
  </si>
  <si>
    <t>20d799b003124194-20d3s00003124197</t>
  </si>
  <si>
    <t>20d799b003111670-20d3s00003111673</t>
  </si>
  <si>
    <t>20d799b003124079-20d3s00003124072</t>
  </si>
  <si>
    <t>20d799b003111209-20d3s00003111202</t>
  </si>
  <si>
    <t>20d799b003106571-20d3s00003106574</t>
  </si>
  <si>
    <t>20b799b003118618-20d3s00003118611</t>
  </si>
  <si>
    <t>20d799b003119632-20d3s00003119635</t>
  </si>
  <si>
    <t>20d799b003131900-20d3s00003131903</t>
  </si>
  <si>
    <t>20d799b003113965-20d3s00003113968</t>
  </si>
  <si>
    <t>20f799b003259949-20f3s00003259942</t>
  </si>
  <si>
    <t>20f799b003260244-20f3s00003260247</t>
  </si>
  <si>
    <t>20f799b003259857-20f3s00003259850</t>
  </si>
  <si>
    <t>20f799b003263560-20f3s00003263563</t>
  </si>
  <si>
    <t>20f799b003259931-20f3s00003259934</t>
  </si>
  <si>
    <t>20f799b003270318-20f3s00003270311</t>
  </si>
  <si>
    <t>20f799b003262885-20f3s00003262888</t>
  </si>
  <si>
    <t>20f799b003257604-20f3s00003257607</t>
  </si>
  <si>
    <t>20f799b003260699-20f3s00003260692</t>
  </si>
  <si>
    <t>20f799b003260855-20f3s00003260858</t>
  </si>
  <si>
    <t>20f799b003266886-20f3s00003266889</t>
  </si>
  <si>
    <t>20f799b003263115-20f3s00003263118</t>
  </si>
  <si>
    <t>20f799b003259899-20f3s00003259892</t>
  </si>
  <si>
    <t>20f799b003261770-20f3s00003261773</t>
  </si>
  <si>
    <t>20f799b003261119-20f3s00003261112</t>
  </si>
  <si>
    <t>20f799b003260533-20f3s00003260536</t>
  </si>
  <si>
    <t>20f799b003267512-20f3s00003267515</t>
  </si>
  <si>
    <t>20f799b003259360-20f3s00003259363</t>
  </si>
  <si>
    <t>20f799b003262240-20f3s00003262243</t>
  </si>
  <si>
    <t>20f799b003258313-20f3s00003258316</t>
  </si>
  <si>
    <t>20f799b003271423-20f3s00003271426</t>
  </si>
  <si>
    <t>20f788b003263289-20f3s00003263282</t>
  </si>
  <si>
    <t>20f799b003263198-20f3s00003263191</t>
  </si>
  <si>
    <t>20f799b003270748-20f3s00003270741</t>
  </si>
  <si>
    <t>20f799b003271258-20f3s00003271251</t>
  </si>
  <si>
    <t>20f799b003264188-20f3s00003264181</t>
  </si>
  <si>
    <t>20f799b003270359-20f3s00003270352</t>
  </si>
  <si>
    <t>20f799b003271449-20f3s00003271442</t>
  </si>
  <si>
    <t>20f799b003263750-20f3s00003263753</t>
  </si>
  <si>
    <t>20f799b003259659-20f3s00003259652</t>
  </si>
  <si>
    <t>20d799b003109179-20d3s00003109172</t>
  </si>
  <si>
    <t>20d799b003129987-20d3s00003129980</t>
  </si>
  <si>
    <t>20d799b003104303-20d3s00003104306</t>
  </si>
  <si>
    <t>20d799b003116752-20d3s00003116755</t>
  </si>
  <si>
    <t>20d799b003126538-20d3s00003126531</t>
  </si>
  <si>
    <t>20d799b003112785-20d3s00003112788</t>
  </si>
  <si>
    <t>20d799b003114245-20d3s00003114248</t>
  </si>
  <si>
    <t>20d799b003113932-20d3s00003113935</t>
  </si>
  <si>
    <t>20d799b003106837-20d3s00003106830</t>
  </si>
  <si>
    <t>20d799b003113031-20d3s00003113034</t>
  </si>
  <si>
    <t>20f799b003269591-20f3s00003269594</t>
  </si>
  <si>
    <t>20f799b003262927-20f3s00003262920</t>
  </si>
  <si>
    <t>20f799b003259410-20f3s00003259413</t>
  </si>
  <si>
    <t>20f799b003259477-20f3s00003259470</t>
  </si>
  <si>
    <t>20f799b003263743-20f3s00003263746</t>
  </si>
  <si>
    <t>20g799b003385909-20g3s00003385902</t>
  </si>
  <si>
    <t>20g799b003385875-20g3s00003385878</t>
  </si>
  <si>
    <t>20g799b003383060-20g3s00003383063</t>
  </si>
  <si>
    <t>20g799b003400385-20g3s00003400388</t>
  </si>
  <si>
    <t>20g799b003383334-20g3s00003383337</t>
  </si>
  <si>
    <t>20g799b003392053-20g3s00003392056</t>
  </si>
  <si>
    <t>20g799b003369408-20g3s00003369401</t>
  </si>
  <si>
    <t>20g799b003371123-20g3s00003371126</t>
  </si>
  <si>
    <t>20g799b003384068-20g3s00003384061</t>
  </si>
  <si>
    <t>20g799b003370026-20g3s00003370029</t>
  </si>
  <si>
    <t>20g799b003373269-20g3s00003373262</t>
  </si>
  <si>
    <t>20g799b003370513-20g3s00003370516</t>
  </si>
  <si>
    <t>20g799b003370000-20g3s00003370003</t>
  </si>
  <si>
    <t>20g799b003369325-20g3s00003369328</t>
  </si>
  <si>
    <t>20g799b003370059-20g3s00003370052</t>
  </si>
  <si>
    <t>20g799b003369515-20g3s00003369518</t>
  </si>
  <si>
    <t>20g799b003376700-20g3s00003376703</t>
  </si>
  <si>
    <t>20g799b003389539-20g3s00003389532</t>
  </si>
  <si>
    <t>20g799b003381288-20g3s00003381281</t>
  </si>
  <si>
    <t>20g799b003374275-20g3s00003374278</t>
  </si>
  <si>
    <t>20g799b003530546-20g3s00003530549</t>
  </si>
  <si>
    <t>20g799b003530587-20g3s00003530580</t>
  </si>
  <si>
    <t>20g799b003530314-20g3s00003530317</t>
  </si>
  <si>
    <t>20g799b003519176-20g3s00003519179</t>
  </si>
  <si>
    <t>20g799b003519036-20g3s00003519039</t>
  </si>
  <si>
    <t>20g799b003520711-20g3s00003520714</t>
  </si>
  <si>
    <t>20g799b003519317-20g3s00003519310</t>
  </si>
  <si>
    <t>20g799b003530967-20g3s00003530960</t>
  </si>
  <si>
    <t>20g799b003510480-20g3s00003510483</t>
  </si>
  <si>
    <t>20g799b003518780-20g3s00003518783</t>
  </si>
  <si>
    <t>20g799b003518830-20g3s00003518833</t>
  </si>
  <si>
    <t>20g799b003520646-20g3s00003520649</t>
  </si>
  <si>
    <t>20g799b003518285-20g3s00003518288</t>
  </si>
  <si>
    <t>20g799b003519663-20g3s00003519666</t>
  </si>
  <si>
    <t>20g799b003519978-20g3s00003519971</t>
  </si>
  <si>
    <t>20i799b003732611-20i3s00003732614</t>
  </si>
  <si>
    <t>20i799b003739475-20i3s00003739478</t>
  </si>
  <si>
    <t>20i799b003736984-20i3s00003736987</t>
  </si>
  <si>
    <t>20i799b003741323-20i3s00003741326</t>
  </si>
  <si>
    <t>20i799b003740317-20i3s00003740310</t>
  </si>
  <si>
    <t>20i799b003750076-20i3s00003750079</t>
  </si>
  <si>
    <t>20i799b003750043-20i3s00003750046</t>
  </si>
  <si>
    <t>20i799b003751314-20i3s00003751317</t>
  </si>
  <si>
    <t>20i799b003720756-20i3s00003720759</t>
  </si>
  <si>
    <t>20i799b003723032-20i3s00003723035</t>
  </si>
  <si>
    <t>20i799b003725763-20i3s00003725766</t>
  </si>
  <si>
    <t>20i799b003726738-20i3s00003726731</t>
  </si>
  <si>
    <t>20j799b003918464-20j3s00003918467</t>
  </si>
  <si>
    <t>20i799b003737255-20i3s00003737258</t>
  </si>
  <si>
    <t>20i799b003737776-20i3s00003737779</t>
  </si>
  <si>
    <t>20k799b004167854-20k3s00004167857</t>
  </si>
  <si>
    <t>20k799b004159521-20k3s00004159524</t>
  </si>
  <si>
    <t>20k799b004167573-20k3s00004167576</t>
  </si>
  <si>
    <t>20k799b004168092-20k3s00004168095</t>
  </si>
  <si>
    <t>20k799b004165775-20k3s00004165778</t>
  </si>
  <si>
    <t>20k799b004174645-20k3s00004174648</t>
  </si>
  <si>
    <t>20k799b004160115-20k3s00004160118</t>
  </si>
  <si>
    <t>20k799b004165650-20k3s00004165653</t>
  </si>
  <si>
    <t>20k799b004170817-20k3s00004170810</t>
  </si>
  <si>
    <t>20k799b004174199-20k3s00004174192</t>
  </si>
  <si>
    <t>20k799b004166765-20k3s00004166768</t>
  </si>
  <si>
    <t>20k799b004165122-20k3s00004165125</t>
  </si>
  <si>
    <t>20k799b004178208-20k3s00004178201</t>
  </si>
  <si>
    <t>20k799b004168720-20k3s00004168723</t>
  </si>
  <si>
    <t>20l799b004494299-20l3s00004494292</t>
  </si>
  <si>
    <t>20l799b004491139-20l3s00004491132</t>
  </si>
  <si>
    <t>20l799b004480108-20l3s00004480101</t>
  </si>
  <si>
    <t>20l799b004476957-20l3s00004476950</t>
  </si>
  <si>
    <t>20l799b004492566-20l3s00004492569</t>
  </si>
  <si>
    <t>20l799b004492558-20l3s00004492551</t>
  </si>
  <si>
    <t>20l799b004489018-20l3s00004489011</t>
  </si>
  <si>
    <t>20l799b004480116-20l3s00004480119</t>
  </si>
  <si>
    <t>20l799b004481031-20l3s00004481034</t>
  </si>
  <si>
    <t>20l799b004488044-20l3s00004488047</t>
  </si>
  <si>
    <t>20l799b004479258-20l3s00004479251</t>
  </si>
  <si>
    <t>20l799b004484894-20l3s00004484897</t>
  </si>
  <si>
    <t>20l799b004480975-20l3s00004480978</t>
  </si>
  <si>
    <t>20l799b004484902-20l3s00004484905</t>
  </si>
  <si>
    <t>20l799b004494927-20l3s00004494920</t>
  </si>
  <si>
    <t>20k799b004405544-20k3s00004405547</t>
  </si>
  <si>
    <t>20k799b004406278-20k3s00004406271</t>
  </si>
  <si>
    <t>20k799b004410353-20k3s00004410356</t>
  </si>
  <si>
    <t>20k799b004392221-20k3s00004392224</t>
  </si>
  <si>
    <t>20k799b004407623-20k3s00004407626</t>
  </si>
  <si>
    <t>20k799b004409637-20k3s00004409630</t>
  </si>
  <si>
    <t>20k799b004390928-20k3s00004390921</t>
  </si>
  <si>
    <t>20k799b004410262-20k3s00004410265</t>
  </si>
  <si>
    <t>20k799b004410692-20k3s00004410695</t>
  </si>
  <si>
    <t>20k799b004398236-20k3s00004398239</t>
  </si>
  <si>
    <t>20k799b004398517-20k3s00004398510</t>
  </si>
  <si>
    <t>20k799b004396974-20k3s00004396977</t>
  </si>
  <si>
    <t>20k799b004406484-20k3s00004406487</t>
  </si>
  <si>
    <t>20k799b004389391-20k3s00004389394</t>
  </si>
  <si>
    <t>20l799b004799697-20l3s00004799690</t>
  </si>
  <si>
    <t>20l799b004759741-20l3s00004759744</t>
  </si>
  <si>
    <t>20l799b004773312-20l3s00004773315</t>
  </si>
  <si>
    <t>20l799b004772728-20l3s00004772721</t>
  </si>
  <si>
    <t>20l799b004773825-20l3s00004773828</t>
  </si>
  <si>
    <t>20l799b004766589-20l3s00004766582</t>
  </si>
  <si>
    <t>20l799b004773908-20l3s00004773901</t>
  </si>
  <si>
    <t>20l799b004766092-20l3s00004766095</t>
  </si>
  <si>
    <t>20l799b004759923-20l3s00004759926</t>
  </si>
  <si>
    <t>20l799b004770219-20l3s00004770212</t>
  </si>
  <si>
    <t>20l799b004773189-20l3s00004773182</t>
  </si>
  <si>
    <t>20l799b004764667-20l3s00004764660</t>
  </si>
  <si>
    <t>20l799b004765201-20l3s00004765204</t>
  </si>
  <si>
    <t>20l799b004766134-20l3s00004766137</t>
  </si>
  <si>
    <t>20l799b004765219-20l3s00004765212</t>
  </si>
  <si>
    <t>21a799b004954955-21a3s00004954958</t>
  </si>
  <si>
    <t>21a799b004953783-21a3s00004953786</t>
  </si>
  <si>
    <t>21a799b004949609-21a3s00004949602</t>
  </si>
  <si>
    <t>21a799b004951746-21a3s00004951749</t>
  </si>
  <si>
    <t>21a799b004941218-21a3s00004941211</t>
  </si>
  <si>
    <t>21a799b004953833-21a3s00004953836</t>
  </si>
  <si>
    <t>21a799b004936176-21a3s00004936179</t>
  </si>
  <si>
    <t>21a799b004948924-21a3s00004948927</t>
  </si>
  <si>
    <t>21a799b004954864-21a3s00004954867</t>
  </si>
  <si>
    <t>21a799b004954559-21a3s00004954552</t>
  </si>
  <si>
    <t>21a799b004940889-21a3s00004940882</t>
  </si>
  <si>
    <t>21a799b004946308-21a3s00004946301</t>
  </si>
  <si>
    <t>21a799b004948528-21a3s00004948521</t>
  </si>
  <si>
    <t>21a799b004953825-21a3s00004953828</t>
  </si>
  <si>
    <t>21a799b004949070-21a3s00004949073</t>
  </si>
  <si>
    <t>21b799b005062112-21b3s00005062115</t>
  </si>
  <si>
    <t>21b799b005062203-21b3s00005062206</t>
  </si>
  <si>
    <t>21b799b005036637-21b3s00005036630</t>
  </si>
  <si>
    <t>21b799b005059746-21b3s00005059749</t>
  </si>
  <si>
    <t>21b799b005072517-21b3s00005072510</t>
  </si>
  <si>
    <t>21b799b005062955-21b3s00005062958</t>
  </si>
  <si>
    <t>21b799b005077409-21b3s00005077402</t>
  </si>
  <si>
    <t>21b799b005073507-21b3s00005073500</t>
  </si>
  <si>
    <t>21b799b005074661-21b3s00005074664</t>
  </si>
  <si>
    <t>21b799b005074695-21b3s00005074698</t>
  </si>
  <si>
    <t>21b799b005074679-21b3s00005074672</t>
  </si>
  <si>
    <t>21b799b005049150-21b3s00005049153</t>
  </si>
  <si>
    <t>21b799b005053459-21b3s00005053452</t>
  </si>
  <si>
    <t>21b799b005073499-21b3s00005073492</t>
  </si>
  <si>
    <t>21b799b005060181-21b3s00005060184</t>
  </si>
  <si>
    <t>21b799b005038518-21b3s00005038511</t>
  </si>
  <si>
    <t>21b799b005024591-21b3s00005024594</t>
  </si>
  <si>
    <t>21b799b005025887-21b3s00005025880</t>
  </si>
  <si>
    <t>21b799b005022975-21b3s00005022978</t>
  </si>
  <si>
    <t>21b799b005020995-21b3s00005020998</t>
  </si>
  <si>
    <t>21b799b005313416-21b3s00005313419</t>
  </si>
  <si>
    <t>21b799b005318340-21b3s00005318343</t>
  </si>
  <si>
    <t>21b799b005314059-21b3s00005314052</t>
  </si>
  <si>
    <t>21b799b005314067-21b3s00005314060</t>
  </si>
  <si>
    <t>21b799b005321583-21b3s00005321586</t>
  </si>
  <si>
    <t>21b799b005321351-21b3s00005321354</t>
  </si>
  <si>
    <t>21b799b005328182-21b3s00005328185</t>
  </si>
  <si>
    <t>21b799b005329750-21b3s00005329753</t>
  </si>
  <si>
    <t>21b799b005329743-21b3s00005329746</t>
  </si>
  <si>
    <t>21b799b005324785-21b3s00005327788</t>
  </si>
  <si>
    <t>21b799b005328018-21b3s00005328011</t>
  </si>
  <si>
    <t>21b799b005324488-21b3s00005324481</t>
  </si>
  <si>
    <t>21b799b005311741-21b3s00005311744</t>
  </si>
  <si>
    <t>21b799b005328877-21b3s00005328870</t>
  </si>
  <si>
    <t>21b799b005329917-21b3s00005329910</t>
  </si>
  <si>
    <t>21b799b005324249-21b3s00005324242</t>
  </si>
  <si>
    <t>21b799b005322680-21b3s00005322683</t>
  </si>
  <si>
    <t>21b799b005324470-21b3s00005324473</t>
  </si>
  <si>
    <t>21b799b005325113-21b3s00005325116</t>
  </si>
  <si>
    <t>21d799b005321161-21b3s00005321164</t>
  </si>
  <si>
    <t>12с799b005628168-21c3s00005628161</t>
  </si>
  <si>
    <t>21c799b005620694-21c3s00005620697</t>
  </si>
  <si>
    <t>21c799b005626378-21c3s00005626371</t>
  </si>
  <si>
    <t>21c799b005627509-21c3s00005627502</t>
  </si>
  <si>
    <t>21c799b005615108-21c3s00005615101</t>
  </si>
  <si>
    <t>21c799b005614697-21c3s00005614690</t>
  </si>
  <si>
    <t>21c799b005628192-21c3s00005628195</t>
  </si>
  <si>
    <t>21c799b005619407-21c3s00005619400</t>
  </si>
  <si>
    <t>21c799b005618599-21c3s00005618592</t>
  </si>
  <si>
    <t>21c799b005626543-21c3s00005626546</t>
  </si>
  <si>
    <t>21c799b005627392-21c3s00005627395</t>
  </si>
  <si>
    <t>21c799b005627368-21c3s00005627361</t>
  </si>
  <si>
    <t>21c799b005627525-21c3s00005627528</t>
  </si>
  <si>
    <t>21c799b005626659-21c3s00005626652</t>
  </si>
  <si>
    <t>21c799b005626923-21c3s00005626926</t>
  </si>
  <si>
    <t>21d799b005739535-21d3s00005739538</t>
  </si>
  <si>
    <t>21d799b005755929-21d3s00005755922</t>
  </si>
  <si>
    <t>21d799b005755028-21d3s00005755021</t>
  </si>
  <si>
    <t>21d799b005742539-21d3s00005742532</t>
  </si>
  <si>
    <t>21d799b005757040-21d3s00005757043</t>
  </si>
  <si>
    <t>21d799b005747991-21d3s00005747994</t>
  </si>
  <si>
    <t>21d799b005755382-21d3s00005755385</t>
  </si>
  <si>
    <t>21d799b005756836-21d3s00005756839</t>
  </si>
  <si>
    <t>21d799b005737851-21d3s00005737854</t>
  </si>
  <si>
    <t>21d799b005739972-21d3s00005739975</t>
  </si>
  <si>
    <t>21d799b005756356-21d3s00005756359</t>
  </si>
  <si>
    <t>21d799b005756026-21d3s00005756029</t>
  </si>
  <si>
    <t>21d799b005739543-21d3s00005739546</t>
  </si>
  <si>
    <t>21d799b005737786-21d3s00005737789</t>
  </si>
  <si>
    <t>21d799b005758519-21d3s00005758512</t>
  </si>
  <si>
    <t>21e799b005994592-21e3s00005994595</t>
  </si>
  <si>
    <t>21e799b005993164-21e3s00005993167</t>
  </si>
  <si>
    <t>21e799b005979361-21e3s00005979364</t>
  </si>
  <si>
    <t>21e799b005986705-21e3s00005986708</t>
  </si>
  <si>
    <t>21e799b005972986-21e3s00005972989</t>
  </si>
  <si>
    <t>21e799b005980435-21e3s00005980438</t>
  </si>
  <si>
    <t>21e799b005998023-21e3s00005998026</t>
  </si>
  <si>
    <t>21e799b006001546-21e3s00006001549</t>
  </si>
  <si>
    <t>21e799b005985210-21e3s00005985213</t>
  </si>
  <si>
    <t>21e799b005984676-21e3s00005984679</t>
  </si>
  <si>
    <t>21e799b006002635-21e3s00006002638</t>
  </si>
  <si>
    <t>21e799b005987646-21e3s00005987649</t>
  </si>
  <si>
    <t>21e799b005980443-21e3s00005980446</t>
  </si>
  <si>
    <t>21e799b005983561-21e3s00005983564</t>
  </si>
  <si>
    <t>21e799b005999070-21e3s00005999073</t>
  </si>
  <si>
    <t>21e799b005981425-21e3s00005981428</t>
  </si>
  <si>
    <t>21e799b005988412-21e3s00005988415</t>
  </si>
  <si>
    <t>21e799b005978793-21e3s00005978796</t>
  </si>
  <si>
    <t>21e799b005987901-21e3s00005987904</t>
  </si>
  <si>
    <t>21e799b005986978-21e3s00005986971</t>
  </si>
  <si>
    <t>21e799b006159336-21e3s00006159339</t>
  </si>
  <si>
    <t>21e799b006148669-21e3s00006148662</t>
  </si>
  <si>
    <t>21e799b006158031-21e3s00006158034</t>
  </si>
  <si>
    <t>21e799b006152711-21e3s00006152714</t>
  </si>
  <si>
    <t>21e799b006179169-21e3s00006179162</t>
  </si>
  <si>
    <t>21e799b006148636-21e3s00006148639</t>
  </si>
  <si>
    <t>21e799b006175480-21e3s00006175483</t>
  </si>
  <si>
    <t>21e799b006163577-21e3s00006163570</t>
  </si>
  <si>
    <t>21e799b006163387-21e3s00006163380</t>
  </si>
  <si>
    <t>21e799b006158502-21e3s00006158505</t>
  </si>
  <si>
    <t>21e799b006182973-21e3s00006182976</t>
  </si>
  <si>
    <t>21e799b006180670-21e3s00006180673</t>
  </si>
  <si>
    <t>21e799b006149634-21e3s00006149637</t>
  </si>
  <si>
    <t>21e799b006158148-21e3s00006158141</t>
  </si>
  <si>
    <t>21e799b006179813-21e3s00006179816</t>
  </si>
  <si>
    <t>21e799b006182783-21e3s00006182786</t>
  </si>
  <si>
    <t>21e799b006148263-21e3s00006148266</t>
  </si>
  <si>
    <t>21e799b006148412-21e3s00006148415</t>
  </si>
  <si>
    <t>21e799b006154832-21e3s00006154835</t>
  </si>
  <si>
    <t>21e799b006177072-21e3s00006177075</t>
  </si>
  <si>
    <t>21f799b006607549-21f3s00006607542</t>
  </si>
  <si>
    <t>21f799b006614974-21f3s00006614977</t>
  </si>
  <si>
    <t>21f799b006628701-21f3s00006628704</t>
  </si>
  <si>
    <t>21f799b006625004-21f3s00006625007</t>
  </si>
  <si>
    <t>21f799b006605022-21f3s00006605025</t>
  </si>
  <si>
    <t>21f799b006623629-21f3s00006623622</t>
  </si>
  <si>
    <t>21f799b006610840-21f3s00006610843</t>
  </si>
  <si>
    <t>21f799b006626630-21f3s00006626633</t>
  </si>
  <si>
    <t>21f799b006620328-21f3s00006620321</t>
  </si>
  <si>
    <t>21f799b006621060-21f3s00006621063</t>
  </si>
  <si>
    <t>21f799b006612085-21f3s00006612088</t>
  </si>
  <si>
    <t>21f799b006624585-21f3s00006624588</t>
  </si>
  <si>
    <t>21f799b006622225-21f3s00006622228</t>
  </si>
  <si>
    <t>21f799b006471227-21f3s00006471220</t>
  </si>
  <si>
    <t>21f799b006475327-21f3s00006475320</t>
  </si>
  <si>
    <t>21f799b006471805-21f3s00006471808</t>
  </si>
  <si>
    <t>21f799b006618538-21f3s00006618531</t>
  </si>
  <si>
    <t>21f799b006606335-21f3s00006606338</t>
  </si>
  <si>
    <t>21f799b006604082-21f3s00006604085</t>
  </si>
  <si>
    <t>21f799b006624833-21f3s00006624836</t>
  </si>
  <si>
    <t>21f799b006447797-21f3s00006447790</t>
  </si>
  <si>
    <t>21g799b006791946-21g3s00006791949</t>
  </si>
  <si>
    <t>21f799b006469346-21f3s00006469349</t>
  </si>
  <si>
    <t>21f799b006463737-21f3s00006463730</t>
  </si>
  <si>
    <t>21g799b006812056-21g3s00006812059</t>
  </si>
  <si>
    <t>21f799b006622779-21f3s00006622772</t>
  </si>
  <si>
    <t>21g799b006793470-21g3s00006793473</t>
  </si>
  <si>
    <t>21f799b006462580-21f3s00006462583</t>
  </si>
  <si>
    <t>21g799b006793686-21g3s00006793689</t>
  </si>
  <si>
    <t>21g799b006796589-21g3s00006796591</t>
  </si>
  <si>
    <t>21g799b006806033-21g3s00006806036</t>
  </si>
  <si>
    <t>21f799b006622902-21f3s00006622905</t>
  </si>
  <si>
    <t>21g799b006812882-21g3s00006812885</t>
  </si>
  <si>
    <t>21g799b006796473-21g3s00006796476</t>
  </si>
  <si>
    <t>21g799b006795160-21g3s00006795163</t>
  </si>
  <si>
    <t>21g799b006805241-21g3s00006805244</t>
  </si>
  <si>
    <t>21g799b006790583-21g3s00006790586</t>
  </si>
  <si>
    <t>21g799b006787845-21g3s00006787848</t>
  </si>
  <si>
    <t>21g799b006793702-21g3s00006793705</t>
  </si>
  <si>
    <t>21g799b006790534-21g3s00006790537</t>
  </si>
  <si>
    <t>21g799b006930296-21g3s00006930299</t>
  </si>
  <si>
    <t>21g799b006917848-21g3s00006917841</t>
  </si>
  <si>
    <t>21g799b006929595-21g3s00006929598</t>
  </si>
  <si>
    <t>21g799b006925494-21g3s00006925497</t>
  </si>
  <si>
    <t>21g799b006925817-21g3s00006925810</t>
  </si>
  <si>
    <t>21g799b006926336-21g3s00006926339</t>
  </si>
  <si>
    <t>21g799b006929777-21g3s00006929770</t>
  </si>
  <si>
    <t>21g799b006918614-21g3s00006918617</t>
  </si>
  <si>
    <t>21g799b006919836-21g3s00006919839</t>
  </si>
  <si>
    <t>21g799b006931567-21g3s00006931560</t>
  </si>
  <si>
    <t>21g799b006921071-21g3s00006921074</t>
  </si>
  <si>
    <t>21g799b006918531-21g3s00006918534</t>
  </si>
  <si>
    <t>21g799b006926674-21g3s00006926677</t>
  </si>
  <si>
    <t>21g799b006922400-21g3s00006922403</t>
  </si>
  <si>
    <t>21g799b006923432-21g3s00006923435</t>
  </si>
  <si>
    <t>21g799b006927789-21g3s00006927782</t>
  </si>
  <si>
    <t>21g799b006927136-21g3s00006927139</t>
  </si>
  <si>
    <t>21g799b006931500-21g3s00006931503</t>
  </si>
  <si>
    <t>21f799b006455139-21f3s00006455132</t>
  </si>
  <si>
    <t>21f799b006472696-21f3s00006472699</t>
  </si>
  <si>
    <t>21g799b007103877-21g3s00007103870</t>
  </si>
  <si>
    <t>21g799b007102911-21g3s00007102914</t>
  </si>
  <si>
    <t>21g799b007102366-21g3s00007102369</t>
  </si>
  <si>
    <t>21g799b007102952-21g3s00007102955</t>
  </si>
  <si>
    <t>21g799b007103398-21g3s00007103391</t>
  </si>
  <si>
    <t>21g799b007103919-21g3s00007103912</t>
  </si>
  <si>
    <t>21g799b007082279-21g3s00007082272</t>
  </si>
  <si>
    <t>21g799b007093151-21g3s00007093154</t>
  </si>
  <si>
    <t>21g799b007083319-21g3s00007083312</t>
  </si>
  <si>
    <t>21g799b007088813-21g3s00007088816</t>
  </si>
  <si>
    <t>21g799b007089993-21g3s00007089996</t>
  </si>
  <si>
    <t>21g799b007095214-21g3s00007095217</t>
  </si>
  <si>
    <t>21g799b007082394-21g3s00007082397</t>
  </si>
  <si>
    <t>21g799b007094506-21g3s00007094509</t>
  </si>
  <si>
    <t>21g799b007093565-21g3s00007093568</t>
  </si>
  <si>
    <t>21g799b007083863-21g3s00007083866</t>
  </si>
  <si>
    <t>21g799b007078301-21g3s00007078304</t>
  </si>
  <si>
    <t>21g799b007094514-21g3s00007094517</t>
  </si>
  <si>
    <t>21g799b007095529-21g3s00007095522</t>
  </si>
  <si>
    <t>21g799b007080521-21g3s00007080524</t>
  </si>
  <si>
    <t>21g799b007180503-21g3s00007180506</t>
  </si>
  <si>
    <t>21g799b007173508-21g3s00007173501</t>
  </si>
  <si>
    <t>21g799b007187284-21g3s00007187287</t>
  </si>
  <si>
    <t>21g799b007181519-21g3s00007181512</t>
  </si>
  <si>
    <t>21g799b007186757-21g3s00007186750</t>
  </si>
  <si>
    <t>21g799b007181782-21g3s00007181785</t>
  </si>
  <si>
    <t>21g799b007185023-21g3s00007185026</t>
  </si>
  <si>
    <t>21g799b007180750-21g3s00007180753</t>
  </si>
  <si>
    <t>21g799b007181659-21g3s00007181652</t>
  </si>
  <si>
    <t>21g799b007180545-21g3s00007180548</t>
  </si>
  <si>
    <t>21g799b007182459-21g3s00007182452</t>
  </si>
  <si>
    <t>21g799b007183614-21g3s00007183617</t>
  </si>
  <si>
    <t>21g799b007182749-21g3s00007182742</t>
  </si>
  <si>
    <t>21g799b007186922-21g3s00007186925</t>
  </si>
  <si>
    <t>21g799b007173763-21g3s00007173766</t>
  </si>
  <si>
    <t>21g799b007178549-21g3s00007178542</t>
  </si>
  <si>
    <t>21g799b007172310-21g3s00007172313</t>
  </si>
  <si>
    <t>21g799b007175537-21g3s00007175530</t>
  </si>
  <si>
    <t>21g799b007193738-21g3s00007193731</t>
  </si>
  <si>
    <t>21g799b007192300-21g3s00007192303</t>
  </si>
  <si>
    <t>21g799b007185148-21g3s00007185141</t>
  </si>
  <si>
    <t>21g799b007184646-21g3s00007184649</t>
  </si>
  <si>
    <t>21g799b007180446-21g3s00007180449</t>
  </si>
  <si>
    <t>21g799b007184273-21g3s00007184276</t>
  </si>
  <si>
    <t>21g799b007174886-21g3s00007174889</t>
  </si>
  <si>
    <t>21g799b007176642-21g3s00007176645</t>
  </si>
  <si>
    <t>21g799b007185676-21g3s00007185679</t>
  </si>
  <si>
    <t>21g799b007174209-21g3s00007174202</t>
  </si>
  <si>
    <t>21g799b007172443-21g3s00007172446</t>
  </si>
  <si>
    <t>21g799b007173250-21g3s00007173253</t>
  </si>
  <si>
    <t>21j799b007614894-21j3s00007614897</t>
  </si>
  <si>
    <t>21j799b007612443-21j3s00007612446</t>
  </si>
  <si>
    <t>21j799b007623135-21j3s00007623138</t>
  </si>
  <si>
    <t>21j799b007622970-21j3s00007622973</t>
  </si>
  <si>
    <t>21j799b007622178-21j3s00007622171</t>
  </si>
  <si>
    <t>21j799b007626435-21j3s00007626438</t>
  </si>
  <si>
    <t>21j799b007621832-21j3s00007621835</t>
  </si>
  <si>
    <t>21j799b007623473-21j3s00007623476</t>
  </si>
  <si>
    <t>21j799b007605983-21j3s00007605986</t>
  </si>
  <si>
    <t>21j799b007606031-21j3s00007606034</t>
  </si>
  <si>
    <t>21j799b007606684-21j3s00007606687</t>
  </si>
  <si>
    <t>21j799b007606148-21j3s00007606141</t>
  </si>
  <si>
    <t>21j799b007606429-21j3s00007606422</t>
  </si>
  <si>
    <t>21j799b007611866-21j3s00007611869</t>
  </si>
  <si>
    <t>21j799b007612815-21j3s00007612818</t>
  </si>
  <si>
    <t>21j799b007609787-21j3s00007609780</t>
  </si>
  <si>
    <t>21j799b007612021-21j3s00007612024</t>
  </si>
  <si>
    <t>21j799b007613201-21j3s00007613204</t>
  </si>
  <si>
    <t>21j799b007619810-21j3s00007619813</t>
  </si>
  <si>
    <t>21j799b007618762-21j3s00007618765</t>
  </si>
  <si>
    <t>21k799b007798688-21k3s00007798681</t>
  </si>
  <si>
    <t>21k799b007798597-21k3s00007798590</t>
  </si>
  <si>
    <t>21k799b007810665-21k3s00007810668</t>
  </si>
  <si>
    <t>21k799b007806234-21k3s00007806237</t>
  </si>
  <si>
    <t>21k799b007789976-21k3s00007789979</t>
  </si>
  <si>
    <t>21k799b007807661-21k3s00007807664</t>
  </si>
  <si>
    <t>21k799b007796328-21k3s00007796321</t>
  </si>
  <si>
    <t>21k799b007789299-21k3s00007789292</t>
  </si>
  <si>
    <t>21k799b007796922-21k3s00007796925</t>
  </si>
  <si>
    <t>21k799b007807133-21k3s00007807136</t>
  </si>
  <si>
    <t>21k799b007809386-21k3s00007809389</t>
  </si>
  <si>
    <t>21k799b007788994-21k3s00007788997</t>
  </si>
  <si>
    <t>21k799b007801938-21k3s00007801931</t>
  </si>
  <si>
    <t>21k799b007790990-21k3s00007790993</t>
  </si>
  <si>
    <t>21k799b007807851-21k3s00007807854</t>
  </si>
  <si>
    <t>21k799b007799462-21k3s00007799465</t>
  </si>
  <si>
    <t>21k799b007803314-21k3s00007803317</t>
  </si>
  <si>
    <t>21k799b007798639-21k3s00007798632</t>
  </si>
  <si>
    <t>21k799b007800120-21k3s00007800123</t>
  </si>
  <si>
    <t>21k799b007804940-21k3s00007804943</t>
  </si>
  <si>
    <t>21l799b008173286-21l3s00008173289</t>
  </si>
  <si>
    <t>21l799b008173146-21l3s00008173149</t>
  </si>
  <si>
    <t>21l799b008189910-21l3s00008189913</t>
  </si>
  <si>
    <t>21l799b008185330-21l3s00008185333</t>
  </si>
  <si>
    <t>21l799b008186189-21l3s00008186182</t>
  </si>
  <si>
    <t>21l799b008172775-21l3s00008172778</t>
  </si>
  <si>
    <t>21l799b008192971-21l3s00008192974</t>
  </si>
  <si>
    <t>21l799b008186809-21l3s00008186802</t>
  </si>
  <si>
    <t>21l799b008189431-21l3s00008189434</t>
  </si>
  <si>
    <t>21l799b008174417-21l3s00008174410</t>
  </si>
  <si>
    <t>21l799b008272989-21l3s00008272982</t>
  </si>
  <si>
    <t>22a799b008455784-22a3s00008455787</t>
  </si>
  <si>
    <t>22a799b008449688-22a3s00008449681</t>
  </si>
  <si>
    <t>22a799b008444960-22a3s00008444963</t>
  </si>
  <si>
    <t>22a799b008433229-22a3s00008433222</t>
  </si>
  <si>
    <t>22a799b008445231-22a3s00008445234</t>
  </si>
  <si>
    <t>22a799b008441586-22a3s00008441589</t>
  </si>
  <si>
    <t>22a799b008455818-22a3s00008455811</t>
  </si>
  <si>
    <t>22a799b008442584-22a3s00008442587</t>
  </si>
  <si>
    <t>22a799b008449290-22a3s00008449293</t>
  </si>
  <si>
    <t>ЭКО-Нефть ООО</t>
  </si>
  <si>
    <t>Лукяновский ГОК ООО</t>
  </si>
  <si>
    <t>Рос Агро торг</t>
  </si>
  <si>
    <t>Карсунское АТП АО</t>
  </si>
  <si>
    <t>ОГБПОУ Старомайнский технологический техникум</t>
  </si>
  <si>
    <t>Старомайнский центр творчества и спорта МБОДО
(МБО ДО ЦТИС)</t>
  </si>
  <si>
    <t>Силантьев С.С. (ООО Компания Авиаль)</t>
  </si>
  <si>
    <t>Вторчермет УНП ООО</t>
  </si>
  <si>
    <t>Автотранспорт ООО</t>
  </si>
  <si>
    <t>Силантьев С.С. (ИП  Козлов Василий Дмитриевич)</t>
  </si>
  <si>
    <t>ООО НовМолДом</t>
  </si>
  <si>
    <t>МОУ Матвеевская СШ Старая майна</t>
  </si>
  <si>
    <t>Транс Авто (ТрансМол ООО)</t>
  </si>
  <si>
    <t>ТТК завод ООО</t>
  </si>
  <si>
    <t>СИ-Маркет ООО</t>
  </si>
  <si>
    <t>Бондарев Анвтолий Иванович</t>
  </si>
  <si>
    <t>Компания Авиаль ООО</t>
  </si>
  <si>
    <t>Сантехкомплект ООО</t>
  </si>
  <si>
    <t>Силантьев С.С. (ООО АгроТрансКапитал)</t>
  </si>
  <si>
    <t>ОГАУК "Ульяновский драматический театр имени И.А. Гончарова"</t>
  </si>
  <si>
    <t>ИП Абдульмянов М.М.</t>
  </si>
  <si>
    <t>ООО ЛОКАР (НС-ОИЛ)</t>
  </si>
  <si>
    <t>Кадетская школа-интернат</t>
  </si>
  <si>
    <t>Силантьев С.С. (МБОУ Карсунская СШ имени Гусева)</t>
  </si>
  <si>
    <t>Силантьев С.С. (МКОУ Уренокарлинская СШ имени Пименова)</t>
  </si>
  <si>
    <t>Силантьев С.С. (ООО Колос)</t>
  </si>
  <si>
    <t>Силантьев С.С. (ИП Комков М.А.)</t>
  </si>
  <si>
    <t>Силантьев Сергей Сергеевич (ОГБУ Пожарная безопасность)</t>
  </si>
  <si>
    <t>ООО УНП Вторчермет</t>
  </si>
  <si>
    <t>Автотранспорт</t>
  </si>
  <si>
    <t>Карета ООО</t>
  </si>
  <si>
    <t>Ульяновский филиал ЧМПЗ</t>
  </si>
  <si>
    <t>ООО СТМ-Сервис</t>
  </si>
  <si>
    <t>ИП Воронин Сергей Иванович</t>
  </si>
  <si>
    <t>ООО Торговая фирма Грань</t>
  </si>
  <si>
    <t>АО Альянстрансатом</t>
  </si>
  <si>
    <t>Ярухин Андрей Николаевич</t>
  </si>
  <si>
    <t>ПАО Ульяновскэнерго</t>
  </si>
  <si>
    <t>Альянстрансатом</t>
  </si>
  <si>
    <t>ООО "Остров Джус"</t>
  </si>
  <si>
    <t>ОАО Ульяновскнефть</t>
  </si>
  <si>
    <t>ОГБПОУ "КТМ"</t>
  </si>
  <si>
    <t>ООО "СимУпак"</t>
  </si>
  <si>
    <t>ИП Солуянов Владимир Александрович</t>
  </si>
  <si>
    <t>ООО Ульяновская Нива</t>
  </si>
  <si>
    <t>ИП Имуллина З.Ф.</t>
  </si>
  <si>
    <t>ГАУСО Буинский дом-интернат для пристарелых...</t>
  </si>
  <si>
    <t>ООО Агрофирма Поволжья</t>
  </si>
  <si>
    <t>ОГУК Ивановский детский дом им. А.Матросова</t>
  </si>
  <si>
    <t>ИП Полежаева Е.Ю.</t>
  </si>
  <si>
    <t>АО Тепличное</t>
  </si>
  <si>
    <t>ООО Альфа Люкс</t>
  </si>
  <si>
    <t>ОГКУСЗН Ульяновской области (Соцзащита)</t>
  </si>
  <si>
    <t>Городская клиническая больница №1 перинатальный центр</t>
  </si>
  <si>
    <t>ПФР</t>
  </si>
  <si>
    <t>ИП Денисов</t>
  </si>
  <si>
    <t>ОГКОУ Кадетская школа-интернат имнеи Чечеватова</t>
  </si>
  <si>
    <t>УМУП Городской теплосервис</t>
  </si>
  <si>
    <t>ООО ДФМ Аврора</t>
  </si>
  <si>
    <t>ФГБОУ ВО Ульяновский Государственный университет</t>
  </si>
  <si>
    <t>ИП Терентьева Светлана Владимировна</t>
  </si>
  <si>
    <t>МКОУ Шаховская ОШ</t>
  </si>
  <si>
    <t>ИП Тугучева Нина Михайловна</t>
  </si>
  <si>
    <t>МОУ Красноборская СОШ</t>
  </si>
  <si>
    <t>Валтиов Хамбель Зиатдинович</t>
  </si>
  <si>
    <t>ООО Агромирсервис (ООО Компания Ника)</t>
  </si>
  <si>
    <t xml:space="preserve">ООО УАЗ </t>
  </si>
  <si>
    <t>ИП Аненкова Юлия Геннадьевна</t>
  </si>
  <si>
    <t>МОУ Скугареевская СОШ</t>
  </si>
  <si>
    <t>ООО Транс-Сервис</t>
  </si>
  <si>
    <t>УлГПУ</t>
  </si>
  <si>
    <t>ИП Романов О В.</t>
  </si>
  <si>
    <t>Агрофирма Поволжья</t>
  </si>
  <si>
    <t>МОУ Солдатскоташлинская СОШ</t>
  </si>
  <si>
    <t>АО Ульяновская сетевая компания</t>
  </si>
  <si>
    <t>МБУ Гц по БиО г. Ульяновск</t>
  </si>
  <si>
    <t>ФГКУ Комбинат Северный Росрезерва</t>
  </si>
  <si>
    <t>ООО ПАРКК (САТО)</t>
  </si>
  <si>
    <t>ООО Шмиц Рус</t>
  </si>
  <si>
    <t>ООО Метинвест</t>
  </si>
  <si>
    <t>ООО Лукьяновский горно-обоготительный комбинат</t>
  </si>
  <si>
    <t>ООО ДМФ Аврора</t>
  </si>
  <si>
    <t>ИП Вашурин (Ржата)</t>
  </si>
  <si>
    <t>Камалетдинов Марат Фиркатевич</t>
  </si>
  <si>
    <t>ООО ЖелДорЭкспидиция</t>
  </si>
  <si>
    <t>ООО ПАРКК</t>
  </si>
  <si>
    <t>ООО Агромирсервис</t>
  </si>
  <si>
    <t>ООО Агротех</t>
  </si>
  <si>
    <t>МБУ Гц по БиО Ульяновска</t>
  </si>
  <si>
    <t>ООО Инфо-Карт</t>
  </si>
  <si>
    <t>Ульяновский филиал АО ЧМПЗ</t>
  </si>
  <si>
    <t>ИП Бондарев Анатолий Иванович</t>
  </si>
  <si>
    <t>ООО Буинскагропромснаб</t>
  </si>
  <si>
    <t>ФГБУЗ ЦГиЭ №172 ФМБА России</t>
  </si>
  <si>
    <t xml:space="preserve">ИП Солуянов В.А. </t>
  </si>
  <si>
    <t>ООО Альянс-Трейд</t>
  </si>
  <si>
    <t>ИП Адамов Сириус Владимирович (ТАКСА)</t>
  </si>
  <si>
    <t>Фирма 112</t>
  </si>
  <si>
    <t>ИП Адамов Сириус Владимирович</t>
  </si>
  <si>
    <t>ИП Карпеев О.Н,</t>
  </si>
  <si>
    <t>ИП Саранский А.А.</t>
  </si>
  <si>
    <t>СПК Новотимерсянский</t>
  </si>
  <si>
    <t>МОУ Русскоюрткульская СШ МО Старомайнский район</t>
  </si>
  <si>
    <t>Ульяновский филлиал ЧМПЗ</t>
  </si>
  <si>
    <t>ООО ТАКСА</t>
  </si>
  <si>
    <t>Сахарный завод</t>
  </si>
  <si>
    <t>Хахряков С,С</t>
  </si>
  <si>
    <t>ООО Винтекс</t>
  </si>
  <si>
    <t>Эко Нефть</t>
  </si>
  <si>
    <t>ОГБПОУ КМТ</t>
  </si>
  <si>
    <t>ООО Искатель</t>
  </si>
  <si>
    <t>ФНПЦ АО "НПО "МАРС"</t>
  </si>
  <si>
    <t>ФГУСХП "Ульяновское" ФСИН России</t>
  </si>
  <si>
    <t>ИП Валитов Х.З.</t>
  </si>
  <si>
    <t>ОГАУ Управление спортивными сооружениями</t>
  </si>
  <si>
    <t>ОГАУСО Сосновый Бор</t>
  </si>
  <si>
    <t>ООО Эко-нефть</t>
  </si>
  <si>
    <t>МОУ СШ р.п Сурское</t>
  </si>
  <si>
    <t>Раинов М,М</t>
  </si>
  <si>
    <t xml:space="preserve">ООО Агроцентр </t>
  </si>
  <si>
    <t>ООО ПродСнаб</t>
  </si>
  <si>
    <t>АО Металлоторг</t>
  </si>
  <si>
    <t>ООО УАЗ</t>
  </si>
  <si>
    <t>Агроинвест Плюс</t>
  </si>
  <si>
    <t>НПО Марс</t>
  </si>
  <si>
    <t xml:space="preserve">ИП Аксенов Р. Р. </t>
  </si>
  <si>
    <t>СПК Свияга</t>
  </si>
  <si>
    <t>Тепличное АО</t>
  </si>
  <si>
    <t>ООО Форсаж</t>
  </si>
  <si>
    <t>РСВ. ООО(филиал,Буинский спирт завод)</t>
  </si>
  <si>
    <t>ИП Аксёнов Р.Р,</t>
  </si>
  <si>
    <t>ООО Такса</t>
  </si>
  <si>
    <t>ИП Солуянов</t>
  </si>
  <si>
    <t>ИП Имуллина З.Ф</t>
  </si>
  <si>
    <t>Симбирскя Строительная Компания (МебельСбыт)</t>
  </si>
  <si>
    <t>Мерте Д.С.</t>
  </si>
  <si>
    <t>ООО Винсент Поволжье</t>
  </si>
  <si>
    <t>ПАО нефтегазовая компания "РуссНефть"</t>
  </si>
  <si>
    <t>Компания Рада</t>
  </si>
  <si>
    <t>Витти Е.В.</t>
  </si>
  <si>
    <t>ПАО НК РуссНефть</t>
  </si>
  <si>
    <t>УМУП Городская теплосеть</t>
  </si>
  <si>
    <t>ООО Сато</t>
  </si>
  <si>
    <t>ДМФ Аврора</t>
  </si>
  <si>
    <t>СМТО</t>
  </si>
  <si>
    <t>Ульяновскнефть (РуссНефть)</t>
  </si>
  <si>
    <t>19l3s00002027253</t>
  </si>
  <si>
    <t>ИП Кияйкин А.В,</t>
  </si>
  <si>
    <t>АО Кварц</t>
  </si>
  <si>
    <t>ЗАО Транспорт-Сервис</t>
  </si>
  <si>
    <t>ИП Петиш И.И.</t>
  </si>
  <si>
    <t>ЖБИ-1</t>
  </si>
  <si>
    <t>МУ Транстехсервис</t>
  </si>
  <si>
    <t>ООО ТФ Грань (Ориентир)</t>
  </si>
  <si>
    <t>ООО УЮТ (ССК)</t>
  </si>
  <si>
    <t>Сантерра -Агро</t>
  </si>
  <si>
    <t>Муртазин Фанис Фаритович</t>
  </si>
  <si>
    <t>ООО Ульяновскхлебпром №3</t>
  </si>
  <si>
    <t>ООО Бриджстоун Тайер Мануфэкчуринг СНГ</t>
  </si>
  <si>
    <t>ООО Сеть</t>
  </si>
  <si>
    <t>Барышская суконная фабрика</t>
  </si>
  <si>
    <t>УКБП</t>
  </si>
  <si>
    <t>ТД Симбирка</t>
  </si>
  <si>
    <t>Аксенов Р. Р.</t>
  </si>
  <si>
    <t>Промтехсервис</t>
  </si>
  <si>
    <t>ОГАУСО ПНИ в п. Дальнее Поле</t>
  </si>
  <si>
    <t>ООО Компания Авиаль</t>
  </si>
  <si>
    <t>ФГБОУ ВО УлГУ</t>
  </si>
  <si>
    <t>ПромТехСервис</t>
  </si>
  <si>
    <t>МОУ Красновосходская СШ МО "Цильнинский район" Ульяновской области</t>
  </si>
  <si>
    <t>ООО Локар (ООО Агро-Ивест)</t>
  </si>
  <si>
    <t>ИП Сухарев О.В.</t>
  </si>
  <si>
    <t>КФК Салюкин</t>
  </si>
  <si>
    <t>ИП  Ермолаев А.Ю.</t>
  </si>
  <si>
    <t>ООО АТК</t>
  </si>
  <si>
    <t>ООО ТК Нова (СВ-Лига)</t>
  </si>
  <si>
    <t>МБУ ГЦ по БИО Ульяновск</t>
  </si>
  <si>
    <t>Промтехсервис (Масла и Смазки)</t>
  </si>
  <si>
    <t>ООО Союз</t>
  </si>
  <si>
    <t>ООО ЭКО-НЕФТЬ</t>
  </si>
  <si>
    <t>Ульяновский НИИСХ- филиал СамНЦ РАН</t>
  </si>
  <si>
    <t>НовМолДом</t>
  </si>
  <si>
    <t>Фахретдинов Р.К.</t>
  </si>
  <si>
    <t>ОГБУ ДО ДООЦ Юность</t>
  </si>
  <si>
    <t>Фахрутдинов Ф.М.</t>
  </si>
  <si>
    <t>ИП Налобин А.П</t>
  </si>
  <si>
    <t>Управление делами</t>
  </si>
  <si>
    <t>ОГБПОУ СПТ (Сенгилеевский педагогический техникум)</t>
  </si>
  <si>
    <t>ИП Санатуллин /ИнвестАгро/Волга</t>
  </si>
  <si>
    <t>ООО Авто-Дело</t>
  </si>
  <si>
    <t>Абдуллов З.Т.</t>
  </si>
  <si>
    <t>ТФ Волжанка</t>
  </si>
  <si>
    <t>Агро-Инвест Плюс</t>
  </si>
  <si>
    <t>Бабаян Сусана Владимировна (Адамов Сириус Владимирович)</t>
  </si>
  <si>
    <t>ООО ДСК Эталон</t>
  </si>
  <si>
    <t>ОГБОУ Школа-интернат №89</t>
  </si>
  <si>
    <t>Долгановская С.В,</t>
  </si>
  <si>
    <t>ГУЗ ДГКБ Ульяновска</t>
  </si>
  <si>
    <t>ОГАУСО ЦСПП И Д</t>
  </si>
  <si>
    <t>УНП Вторчермет</t>
  </si>
  <si>
    <t>ТД Хладокомбинат</t>
  </si>
  <si>
    <t>ООО Промтехсервис</t>
  </si>
  <si>
    <t>НИИСХ СамНЦ РАН</t>
  </si>
  <si>
    <t>ООО ТД Ульяновский хладокомбинат</t>
  </si>
  <si>
    <t>ИП Низамутдинов И.Ф.</t>
  </si>
  <si>
    <t>АО Ульяновскурорт</t>
  </si>
  <si>
    <t>ООО ТД Хладокомбинат</t>
  </si>
  <si>
    <t>Ширяев В.В,</t>
  </si>
  <si>
    <t>ООО Агро Инвест Плюс</t>
  </si>
  <si>
    <t>ООО ТД Ульяновский хладокамбинат</t>
  </si>
  <si>
    <t>ИП Мельников С.В</t>
  </si>
  <si>
    <t>ООО НерудСнаб</t>
  </si>
  <si>
    <t>Каюмов Наиль Кадирович</t>
  </si>
  <si>
    <t>ОГКП Ульяновский областной водоканал</t>
  </si>
  <si>
    <t>Ситдиков Руслан Мансурович</t>
  </si>
  <si>
    <t>МКОО Болышенкандалинская СШ МО Старомайнский район Ульяновской области</t>
  </si>
  <si>
    <t>АО Карсунское АТП</t>
  </si>
  <si>
    <t>МОУ Староалгашинская СШ им. Героя Совецкого Союза Н.Г. Князькина</t>
  </si>
  <si>
    <t>ОГКУ Ульяновская спортивная-адаптивная школа</t>
  </si>
  <si>
    <t>Хайруллов Д.Р (Хайруллова Ляля Фидарисовна)</t>
  </si>
  <si>
    <t>Филиал АО ЕВРАЗ Металл Инпром в г Ульяновск</t>
  </si>
  <si>
    <t>Домничев Роман Павлович</t>
  </si>
  <si>
    <t>ИМ Мельников С.В</t>
  </si>
  <si>
    <t>ООО Авиокомпания Волга-Днепр</t>
  </si>
  <si>
    <t>МОУ СОШ р.п. Сурское</t>
  </si>
  <si>
    <t>АО Ульяновсксахар</t>
  </si>
  <si>
    <t>Феникс</t>
  </si>
  <si>
    <t>Мельников Сергей Владимирович (Автостар)</t>
  </si>
  <si>
    <t>ООО "Строительная индустрия-Маркет</t>
  </si>
  <si>
    <t>ИП Измайлов Ильгиз Масумович</t>
  </si>
  <si>
    <t>ООО ЭКО-Нефть</t>
  </si>
  <si>
    <t>ООО АПК Весенний Сюжет</t>
  </si>
  <si>
    <t>Спиридонов Дмитрий Андреевич (Спиридонова Арина Харисовна ИП)</t>
  </si>
  <si>
    <t>Валитов Хамбель Зиатдинович</t>
  </si>
  <si>
    <t>Филиал АО "ЕВРАЗ Металл Инпром"</t>
  </si>
  <si>
    <t>ИП Бахитова Г.Р</t>
  </si>
  <si>
    <t>ООО "Цильна"</t>
  </si>
  <si>
    <t>МБУ "ГСПС"</t>
  </si>
  <si>
    <t>ООО КОМПАНИЯ АВИАЛЬ</t>
  </si>
  <si>
    <t>Филиал ООО "Смазочные материалы"</t>
  </si>
  <si>
    <t>ООО "Планета М"</t>
  </si>
  <si>
    <t>АО "Металлоторг"</t>
  </si>
  <si>
    <t>МБУ ДО Майнская ДШИ</t>
  </si>
  <si>
    <t>ООО "Заволжский МК"</t>
  </si>
  <si>
    <t>МУП Ульяновская городская сеть</t>
  </si>
  <si>
    <t>Новиков Максим Евгеньевич</t>
  </si>
  <si>
    <t>ООО "САНТЕХКОМПЛЕКТ</t>
  </si>
  <si>
    <t>ООО ТК "Прагматик"</t>
  </si>
  <si>
    <t>ФГКУ комбинат "Северный" Росрезерва</t>
  </si>
  <si>
    <t>ИП Галстян Эдвард Манукович</t>
  </si>
  <si>
    <t>ОО "Риквэст-Сервис"</t>
  </si>
  <si>
    <t>МОУ Михайловская СОШ</t>
  </si>
  <si>
    <t xml:space="preserve">ООО "Си-Маркет" </t>
  </si>
  <si>
    <t>ИП Мельников Сергей Владимирович</t>
  </si>
  <si>
    <t>ИП Бельских Евгений Николаевич</t>
  </si>
  <si>
    <t>МОУ Жедяевская СОШ</t>
  </si>
  <si>
    <t>И Марьин А.В.</t>
  </si>
  <si>
    <t>Соловьиная Роща</t>
  </si>
  <si>
    <t>Жерихов</t>
  </si>
  <si>
    <t>Цильнинская СОШ</t>
  </si>
  <si>
    <t xml:space="preserve">МОУ Большенагаткинская СШ </t>
  </si>
  <si>
    <t>Загидуллин Марат Назымович (Терехин Александр Владимирович)</t>
  </si>
  <si>
    <t xml:space="preserve">ООО Автостар </t>
  </si>
  <si>
    <t>МОУ Ишеевский многопрофильный лицей</t>
  </si>
  <si>
    <t>Голубев Владимир Федорович</t>
  </si>
  <si>
    <t>Полякова Ирина Владимировна</t>
  </si>
  <si>
    <t>Горячкин Дмитрий Николаевич (ТК ТРАНСКАПИТАЛ)</t>
  </si>
  <si>
    <t>Анчиков Александр Анатольевич ИП</t>
  </si>
  <si>
    <t>ООО ИНВЕСТАГРО</t>
  </si>
  <si>
    <t>Белов Александр Владимирович (ООО Багира)</t>
  </si>
  <si>
    <t>Бахитова Гюзелия Рафиковна</t>
  </si>
  <si>
    <t>ООО ТФ Грань</t>
  </si>
  <si>
    <t>Капрянцева Юлия  Вадимовна</t>
  </si>
  <si>
    <t>Фахрутдинов Рамис Расыхович (Атеев Руслан Рифкатович ИП)</t>
  </si>
  <si>
    <t>ООО Везём</t>
  </si>
  <si>
    <t>МКООО Большекандалинская СШ</t>
  </si>
  <si>
    <t>Мельников Сергей Владимирович</t>
  </si>
  <si>
    <t>Крупский Максим Валерьевич</t>
  </si>
  <si>
    <t>МКОУ Старопичеурская СШ</t>
  </si>
  <si>
    <t>Долгановская Светлана Владимировна</t>
  </si>
  <si>
    <t>ОГКУСО СРЦН Планета детства</t>
  </si>
  <si>
    <t>МКОО Прибрежненская СШ</t>
  </si>
  <si>
    <t>Юманов Валерий Александрович</t>
  </si>
  <si>
    <t xml:space="preserve">ООО Метальянс </t>
  </si>
  <si>
    <t>Турабова Сона Захид Кызы</t>
  </si>
  <si>
    <t>ООО Автобус 63</t>
  </si>
  <si>
    <t>ОГБУСО КСЦО (Парус Надежды ОГБУСО ЦСО)</t>
  </si>
  <si>
    <t>ОГКУСО ДДИ для УОД Родник</t>
  </si>
  <si>
    <t>ООО Симбирск-авто</t>
  </si>
  <si>
    <t>ИП Глотов Игорь Васильевич</t>
  </si>
  <si>
    <t>Усерднов Сергей Анатольевич</t>
  </si>
  <si>
    <t>АО Тереньгульское АТП</t>
  </si>
  <si>
    <t>ООО МилТек</t>
  </si>
  <si>
    <t>ООО Вторметиндустрия</t>
  </si>
  <si>
    <t>Глотов Игорь Васильевич</t>
  </si>
  <si>
    <t>МКОО Среднетерешанская СШ</t>
  </si>
  <si>
    <t>ОГКУ СКДД Дом детства</t>
  </si>
  <si>
    <t>Цильнинская СШ</t>
  </si>
  <si>
    <t>ООО Заготовитель</t>
  </si>
  <si>
    <t>Малонагаткинская СШ</t>
  </si>
  <si>
    <t>Кужаков Александр Петрович</t>
  </si>
  <si>
    <t>ООО СЛАДИС</t>
  </si>
  <si>
    <t>УлГУ</t>
  </si>
  <si>
    <t>Станков Виталий Валерьевич</t>
  </si>
  <si>
    <t>Ульяновсксахар АО</t>
  </si>
  <si>
    <t>ООО Сигма-СИ</t>
  </si>
  <si>
    <t>ОГКУ Детский дом Соловьиная роща</t>
  </si>
  <si>
    <t>МКОУ Базарносызганская СШ №2</t>
  </si>
  <si>
    <t>ОООО Авиакомпания Волга-Днепр</t>
  </si>
  <si>
    <t>АО Геофизсервис</t>
  </si>
  <si>
    <t>Кузьмин Валерий Николаевич</t>
  </si>
  <si>
    <t>Тунин Сергей Александрович</t>
  </si>
  <si>
    <t>Терехин Вадим Валерьевич</t>
  </si>
  <si>
    <t>технопарк</t>
  </si>
  <si>
    <t>ООО Лукьяновский ГОК</t>
  </si>
  <si>
    <t>ООО СИ-МАРКЕТ</t>
  </si>
  <si>
    <t>ООО  Автобусы Ульяновска</t>
  </si>
  <si>
    <t>ОАО РЖД</t>
  </si>
  <si>
    <t>Бажанов А.А. (ТТК Завод)</t>
  </si>
  <si>
    <t>Попыванов Андрей Петрович</t>
  </si>
  <si>
    <t>Джаббаров Рамис Хусаинович</t>
  </si>
  <si>
    <t>Тупицын Дмитрий Алексеевич</t>
  </si>
  <si>
    <t>ФБУ Ульяновский ЦСМ</t>
  </si>
  <si>
    <t>Стулов Николай Николаевич (ООО Гелла)</t>
  </si>
  <si>
    <t>ООО Толиман-Транс (ИП Абдуллов Зуфар)</t>
  </si>
  <si>
    <t>Никоноров Николай Александрович</t>
  </si>
  <si>
    <t>Скания В828КО73</t>
  </si>
  <si>
    <t>Форд А943НТ73</t>
  </si>
  <si>
    <t>Газон А463КН763</t>
  </si>
  <si>
    <t>ПАЗ Н108ХУ152</t>
  </si>
  <si>
    <t>УАЗ Е440МС73</t>
  </si>
  <si>
    <t>ЗИЛ В936УУ73</t>
  </si>
  <si>
    <t>Луидор Е228НН73</t>
  </si>
  <si>
    <t>ПАЗ А464СС73</t>
  </si>
  <si>
    <t>Луидор Е559ЕХ73</t>
  </si>
  <si>
    <t>МЕРС Х915ЕН163</t>
  </si>
  <si>
    <t>МАЗ К762НН73</t>
  </si>
  <si>
    <t>ГАЗ САЗ О701ЕА73</t>
  </si>
  <si>
    <t>ГАЗ САЗ О702ЕА73</t>
  </si>
  <si>
    <t>Камаз Е556ТУ73</t>
  </si>
  <si>
    <t>Хёндай Е160РА73</t>
  </si>
  <si>
    <t>ПАЗ В925СР73</t>
  </si>
  <si>
    <t>ГАЗ А306СВ73</t>
  </si>
  <si>
    <t>278462 Е734АЕ73</t>
  </si>
  <si>
    <t>Камаз Е595НТ73</t>
  </si>
  <si>
    <t>МАЗ О858ЕЕ73</t>
  </si>
  <si>
    <t>Мерс А033РТ777</t>
  </si>
  <si>
    <t>ГАЗ А550ТЕ73</t>
  </si>
  <si>
    <t>Камаз Е679СЕ73</t>
  </si>
  <si>
    <t>ПАЗ А606АМ73</t>
  </si>
  <si>
    <t>ГАЗ Е211ОХ73</t>
  </si>
  <si>
    <t>Луидор Е762яяяро73</t>
  </si>
  <si>
    <t>ПАЗ А873ВК73</t>
  </si>
  <si>
    <t>ПАЗ Е552ХС73</t>
  </si>
  <si>
    <t>ПАЗ А826РУ73</t>
  </si>
  <si>
    <t>МАЗ Е130РО73</t>
  </si>
  <si>
    <t>МАЗ А949ВТ73</t>
  </si>
  <si>
    <t>Камаз В677РР73</t>
  </si>
  <si>
    <t>Камаз Е389НУ73</t>
  </si>
  <si>
    <t>ГАЗ О696ЕА73</t>
  </si>
  <si>
    <t>ПАЗ В688НХ73</t>
  </si>
  <si>
    <t>ГАЗ КЕ928АО73</t>
  </si>
  <si>
    <t>МАН Е121РК73</t>
  </si>
  <si>
    <t>Камаз С094ОО163</t>
  </si>
  <si>
    <t>Камаз К955АТ197</t>
  </si>
  <si>
    <t>Камаз Х171ОО77</t>
  </si>
  <si>
    <t>ПАЗ М744ОУ73</t>
  </si>
  <si>
    <t>Скания О882АН73</t>
  </si>
  <si>
    <t>ГАЗ К861РВ73</t>
  </si>
  <si>
    <t>ЛиАЗ К361КА777</t>
  </si>
  <si>
    <t>ГАЗ САЗ  А896КА73</t>
  </si>
  <si>
    <t>Скания Т008КВ73</t>
  </si>
  <si>
    <t>ГАЗ М453ЕВ73</t>
  </si>
  <si>
    <t>О776АВ99</t>
  </si>
  <si>
    <t>ЛИАЗ К362КА777</t>
  </si>
  <si>
    <t>ЛИАЗ Х754НТ777</t>
  </si>
  <si>
    <t>ДАФ Т721АС163</t>
  </si>
  <si>
    <t>Камаз Е915НР73</t>
  </si>
  <si>
    <t>ПАЗ Н358ВС73</t>
  </si>
  <si>
    <t>Хендай Е978МУ73</t>
  </si>
  <si>
    <t>BOVA К160НУ73</t>
  </si>
  <si>
    <t>ИСУЗУ Е374РК73</t>
  </si>
  <si>
    <t>ГАЗ М231КН116</t>
  </si>
  <si>
    <t>МАЗ В691ХК73</t>
  </si>
  <si>
    <t>2834LU В988ММ73</t>
  </si>
  <si>
    <t>МАЗ Н500АН12</t>
  </si>
  <si>
    <t>Камаз Е124ТВ73</t>
  </si>
  <si>
    <t>2824LS В397УЕ73</t>
  </si>
  <si>
    <t>ПАЗ Н169ЕМ73</t>
  </si>
  <si>
    <t>Камаз Е390НУ73</t>
  </si>
  <si>
    <t>Камаз Е205КК73</t>
  </si>
  <si>
    <t>ГАЗель С732УР116</t>
  </si>
  <si>
    <t>Камаз Е202КК73</t>
  </si>
  <si>
    <t>ГАЗ Е444СР73</t>
  </si>
  <si>
    <t>ГАЗ АУ31873</t>
  </si>
  <si>
    <t>Камаз В906УР73</t>
  </si>
  <si>
    <t>ГАЗ Р395РР73</t>
  </si>
  <si>
    <t>ПАЗ Е897РН73</t>
  </si>
  <si>
    <t>Газон В155РХ73</t>
  </si>
  <si>
    <t>ГАЗ К118НУ73</t>
  </si>
  <si>
    <t>ГАЗ Е642ТН73</t>
  </si>
  <si>
    <t>ПАЗ Н178ТТ152</t>
  </si>
  <si>
    <t>Луидор Е434СЕ73</t>
  </si>
  <si>
    <t>Форд А109НХ73</t>
  </si>
  <si>
    <t>Форд А386НН73</t>
  </si>
  <si>
    <t>Форд А707НК73</t>
  </si>
  <si>
    <t>ГАЗ В566ТР73</t>
  </si>
  <si>
    <t>ЛиАЗ К412ОХ82</t>
  </si>
  <si>
    <t>Форд А369НН73</t>
  </si>
  <si>
    <t>ГАЗ В762ТР73</t>
  </si>
  <si>
    <t>Ивеко Е125СЕ 73</t>
  </si>
  <si>
    <t>ГАЗ Х169ОК73</t>
  </si>
  <si>
    <t>ЗИЛ О162ЕС73</t>
  </si>
  <si>
    <t>Хендай Е417РР73</t>
  </si>
  <si>
    <t>Камаз К190ОА73</t>
  </si>
  <si>
    <t>ГАЗ К182ОА73</t>
  </si>
  <si>
    <t>Камаз Е119ВЕ73</t>
  </si>
  <si>
    <t>Форд В116ВМ73</t>
  </si>
  <si>
    <t>ГАЗ В133АА73</t>
  </si>
  <si>
    <t>ПАЗ В202РУ73</t>
  </si>
  <si>
    <t>Ивеко А518ТА73</t>
  </si>
  <si>
    <t>ПАЗ С 429 ВМ73</t>
  </si>
  <si>
    <t>Скания О423ВР116</t>
  </si>
  <si>
    <t>ГАЗ А821ТА73</t>
  </si>
  <si>
    <t>Скания К931РО73</t>
  </si>
  <si>
    <t>Автофургон К513РО73</t>
  </si>
  <si>
    <t>ЗИЛ М856ОР73</t>
  </si>
  <si>
    <t>Мерс м845вк73</t>
  </si>
  <si>
    <t>ПАЗ В 876 ТК73</t>
  </si>
  <si>
    <t>Камаз О908ОК163</t>
  </si>
  <si>
    <t>Форд Транзит А019АА173</t>
  </si>
  <si>
    <t>Камаз Е348ТМ73</t>
  </si>
  <si>
    <t>Е 812 МХ73</t>
  </si>
  <si>
    <t>ПАЗ А822АВ73</t>
  </si>
  <si>
    <t>УАЗ А640ХТ73</t>
  </si>
  <si>
    <t>ГАЗ А122СХ 73</t>
  </si>
  <si>
    <t>ГАЗ САЗ Е995МР73</t>
  </si>
  <si>
    <t>Чайка сервис Р 040 ЕН73</t>
  </si>
  <si>
    <t>BAW В 834 ЕМ73</t>
  </si>
  <si>
    <t>КАМАЗ С 373 ВС73</t>
  </si>
  <si>
    <t>КАВЗ А929ХО 73</t>
  </si>
  <si>
    <t>Камаз р043ен73</t>
  </si>
  <si>
    <t>ПАЗ Е 129 РО73</t>
  </si>
  <si>
    <t>ПАЗ Е894РУ73</t>
  </si>
  <si>
    <t>ГАЗ Е955РН73</t>
  </si>
  <si>
    <t>ГАЗ Е868РР73</t>
  </si>
  <si>
    <t>Т 6307F Автомобиль ломовоз Е 424 МР73</t>
  </si>
  <si>
    <t>Исузу У 019 АС73</t>
  </si>
  <si>
    <t>3010GD К 609 РУ73</t>
  </si>
  <si>
    <t>К333РТ 73</t>
  </si>
  <si>
    <t>КАМАЗ Р 044 ЕН73</t>
  </si>
  <si>
    <t>Скания е012рв73</t>
  </si>
  <si>
    <t>УРАЛ с599ен73</t>
  </si>
  <si>
    <t>К511ВТ197</t>
  </si>
  <si>
    <t>ГАЗ о478ео73</t>
  </si>
  <si>
    <t>ПАЗ АА43073</t>
  </si>
  <si>
    <t>ГАЗ М 633 АН73</t>
  </si>
  <si>
    <t>КАМАЗ М 643 АН73</t>
  </si>
  <si>
    <t>Хендай а218се</t>
  </si>
  <si>
    <t>ПАЗ АР42673</t>
  </si>
  <si>
    <t>Камаз е386мк73</t>
  </si>
  <si>
    <t>ГАЗ о477ео73</t>
  </si>
  <si>
    <t>МАЗ е160мт73</t>
  </si>
  <si>
    <t>МАЗ к290рм73</t>
  </si>
  <si>
    <t>ГАЗ М 632 АН73</t>
  </si>
  <si>
    <t>Камаз в115ме19</t>
  </si>
  <si>
    <t>Камаз в120ме19</t>
  </si>
  <si>
    <t>Ютонг к457рк73</t>
  </si>
  <si>
    <t>Фиат н067во73</t>
  </si>
  <si>
    <t>Бова А911ХО 73</t>
  </si>
  <si>
    <t>ПАЗ к609рм73</t>
  </si>
  <si>
    <t>ПАЗ Е 501 КВ73</t>
  </si>
  <si>
    <t>Камаз Е 144 СК73</t>
  </si>
  <si>
    <t>К 966 КЕ73</t>
  </si>
  <si>
    <t>Камаз Е091СК 73</t>
  </si>
  <si>
    <t>Кинг Лонг о999мн51</t>
  </si>
  <si>
    <t>ГАЗ к750ск73</t>
  </si>
  <si>
    <t>Фотон в370мм73</t>
  </si>
  <si>
    <t>Камаз у951ао73</t>
  </si>
  <si>
    <t>ПАЗ в585ре73</t>
  </si>
  <si>
    <t>МАЗ х119ау</t>
  </si>
  <si>
    <t>ДАФ е244ну73</t>
  </si>
  <si>
    <t>Камаз а828ет73</t>
  </si>
  <si>
    <t>ГАЗ о702еа</t>
  </si>
  <si>
    <t>Исузу е379рк</t>
  </si>
  <si>
    <t>ПАЗ а848ск73</t>
  </si>
  <si>
    <t>Исузу р591ео58</t>
  </si>
  <si>
    <t>Ютонг е349ск73</t>
  </si>
  <si>
    <t>ПАЗ а323кв73</t>
  </si>
  <si>
    <t>Камаз е084ом73</t>
  </si>
  <si>
    <t>Н206ЕВ73</t>
  </si>
  <si>
    <t>Ивеко а019хс73</t>
  </si>
  <si>
    <t>Камаз х444ум73</t>
  </si>
  <si>
    <t>ГАЗ е241см73</t>
  </si>
  <si>
    <t>Скания м763ее73</t>
  </si>
  <si>
    <t>УАЗ н350вс73</t>
  </si>
  <si>
    <t>ЛИАЗ в609ас163</t>
  </si>
  <si>
    <t>Камаз р638ак73</t>
  </si>
  <si>
    <t>Камаз а701он73</t>
  </si>
  <si>
    <t>Камаз к070ео73</t>
  </si>
  <si>
    <t>Фотон в471мм73</t>
  </si>
  <si>
    <t>Скания н439ен73</t>
  </si>
  <si>
    <t>Скания а401мс73</t>
  </si>
  <si>
    <t>ГАЗ е694рх73</t>
  </si>
  <si>
    <t>ПАЗ р546во73</t>
  </si>
  <si>
    <t>ЛиАЗ Е 362 РХ 73</t>
  </si>
  <si>
    <t>Скания в350хр73</t>
  </si>
  <si>
    <t>ПАЗ В707ТК73</t>
  </si>
  <si>
    <t>ГАЗ в531ке73</t>
  </si>
  <si>
    <t>Фиат В579УР86</t>
  </si>
  <si>
    <t>Камаз в464рт73</t>
  </si>
  <si>
    <t>е638са73</t>
  </si>
  <si>
    <t>Скания а845ео73</t>
  </si>
  <si>
    <t>ГАЗ е995мр73</t>
  </si>
  <si>
    <t>Форд к701ро73</t>
  </si>
  <si>
    <t>ПАЗ Х918МК</t>
  </si>
  <si>
    <t>ГАЗон в368нс750</t>
  </si>
  <si>
    <t>Скания а411ка73</t>
  </si>
  <si>
    <t>САЗ т886ус</t>
  </si>
  <si>
    <t>Е699СХ73</t>
  </si>
  <si>
    <t>ГАЗ Е703РО73</t>
  </si>
  <si>
    <t>ГАЗ Е704РО73</t>
  </si>
  <si>
    <t>Фольцваген АР424773</t>
  </si>
  <si>
    <t>Форд АР 422 73</t>
  </si>
  <si>
    <t>МАЗ Т055ЕВ 73</t>
  </si>
  <si>
    <t>Камаз Х945ЕК 73</t>
  </si>
  <si>
    <t>Камаз А760 УО 73</t>
  </si>
  <si>
    <t>Камаз К487ОХ 73</t>
  </si>
  <si>
    <t>Камаз К 496 ОХ 73</t>
  </si>
  <si>
    <t>САЗ М569МН 73</t>
  </si>
  <si>
    <t>ПАЗ Е297НА 73</t>
  </si>
  <si>
    <t>МАН Р977РС 197</t>
  </si>
  <si>
    <t>ГАЗ Т364ВВ 73</t>
  </si>
  <si>
    <t>Камаз Н661ЕС 116</t>
  </si>
  <si>
    <t>Камаз В205ВВ 73</t>
  </si>
  <si>
    <t>Волво х699вм73</t>
  </si>
  <si>
    <t>У654СЕ116</t>
  </si>
  <si>
    <t>Форд х557ра116</t>
  </si>
  <si>
    <t>Нефаз к194ео73</t>
  </si>
  <si>
    <t>ЗИЛ м856ор73</t>
  </si>
  <si>
    <t>Луидор в305ка73</t>
  </si>
  <si>
    <t>Бова в925рх73</t>
  </si>
  <si>
    <t>Мерс к748рн82</t>
  </si>
  <si>
    <t>В340ХУ73</t>
  </si>
  <si>
    <t>ГАЗ к214хв</t>
  </si>
  <si>
    <t>Камаз к755рн82</t>
  </si>
  <si>
    <t>ГАЗ к697хе</t>
  </si>
  <si>
    <t>е077со73</t>
  </si>
  <si>
    <t>ГАЗ н240ее73</t>
  </si>
  <si>
    <t>Камаз в011ка73</t>
  </si>
  <si>
    <t>ГАЗ т150ен73</t>
  </si>
  <si>
    <t>ПАЗ н452вх73</t>
  </si>
  <si>
    <t>х069тм63</t>
  </si>
  <si>
    <t>МАЗ а544ех73</t>
  </si>
  <si>
    <t>Камаз к972хм73</t>
  </si>
  <si>
    <t>ГАЗ е799се73</t>
  </si>
  <si>
    <t>ЗИЛ у726ус73</t>
  </si>
  <si>
    <t>Камаз а095ут73</t>
  </si>
  <si>
    <t>Камаз у619ус73</t>
  </si>
  <si>
    <t>ПАЗ к954хе73</t>
  </si>
  <si>
    <t>Хендай е947ср73</t>
  </si>
  <si>
    <t>ГАЗ а569хт73</t>
  </si>
  <si>
    <t>Камаз м686ок73</t>
  </si>
  <si>
    <t>Камаз р744км73</t>
  </si>
  <si>
    <t>Нефаз в395рк73</t>
  </si>
  <si>
    <t>Камаз е635та73</t>
  </si>
  <si>
    <t>ПАЗ с343ое73</t>
  </si>
  <si>
    <t>Камаз о467вк73</t>
  </si>
  <si>
    <t>УРАЛ о193вк73</t>
  </si>
  <si>
    <t>Камаз о340вк73</t>
  </si>
  <si>
    <t>Нефаз в877ху73</t>
  </si>
  <si>
    <t>4389Z4 е109тв73</t>
  </si>
  <si>
    <t>Камаз т568ос73</t>
  </si>
  <si>
    <t>Камаз х076вк73</t>
  </si>
  <si>
    <t>Камаз в883рн73</t>
  </si>
  <si>
    <t>ГАЗ е673ра73</t>
  </si>
  <si>
    <t>Нефаз у485вн73</t>
  </si>
  <si>
    <t>Нефаз е026он73</t>
  </si>
  <si>
    <t>Камаз в269ре73</t>
  </si>
  <si>
    <t>Камаз в575рх73</t>
  </si>
  <si>
    <t>НЕФАЗ в875ху73</t>
  </si>
  <si>
    <t>Камаз в270ре73</t>
  </si>
  <si>
    <t>Нефаз в871ху73</t>
  </si>
  <si>
    <t>Камаз в272ре73</t>
  </si>
  <si>
    <t>ГАЗ о140ен</t>
  </si>
  <si>
    <t>Камаз е861ев73</t>
  </si>
  <si>
    <t>ГАЗ к498хх73</t>
  </si>
  <si>
    <t>Камаз в960ет73</t>
  </si>
  <si>
    <t>МАЗ р733ас73</t>
  </si>
  <si>
    <t>Камаз а296св73</t>
  </si>
  <si>
    <t>ГАЗ в583рв73</t>
  </si>
  <si>
    <t>ГАЗа058вм73</t>
  </si>
  <si>
    <t>Камаз в909мо73</t>
  </si>
  <si>
    <t>ГАЗ в233рн73</t>
  </si>
  <si>
    <t>хайгир е680нв73</t>
  </si>
  <si>
    <t>ПАЗ е712се73</t>
  </si>
  <si>
    <t>5277-01 н566мк150</t>
  </si>
  <si>
    <t>ПАЗ е270сх73</t>
  </si>
  <si>
    <t>ГАЗ е631тв</t>
  </si>
  <si>
    <t>ВМ3284 о842ок73</t>
  </si>
  <si>
    <t>УРАЛ м942оа73</t>
  </si>
  <si>
    <t>АПШ х041ау</t>
  </si>
  <si>
    <t>ГАЗ о194вк73</t>
  </si>
  <si>
    <t>Форд к189хс73</t>
  </si>
  <si>
    <t>Мерс е923хе73</t>
  </si>
  <si>
    <t>ПАЗ х676ао</t>
  </si>
  <si>
    <t>ПАЗ е580те73</t>
  </si>
  <si>
    <t>ГАЗ к275ро82</t>
  </si>
  <si>
    <t>ГАЗон е474рт73</t>
  </si>
  <si>
    <t>ПАЗ в538хт</t>
  </si>
  <si>
    <t>ПАЗ в977хо</t>
  </si>
  <si>
    <t>а299мк</t>
  </si>
  <si>
    <t>Камаз е420тк</t>
  </si>
  <si>
    <t>Камаз е565тв</t>
  </si>
  <si>
    <t>Камаз е533тв</t>
  </si>
  <si>
    <t>МАН с925ун18</t>
  </si>
  <si>
    <t>АТЗ в100вт73</t>
  </si>
  <si>
    <t>ПАЗ е347та</t>
  </si>
  <si>
    <t>Камаз а767ео</t>
  </si>
  <si>
    <t>Камаз а949хо</t>
  </si>
  <si>
    <t>ПАЗ в905ев</t>
  </si>
  <si>
    <t>Камаз е675рк</t>
  </si>
  <si>
    <t>Камаз м725ет73</t>
  </si>
  <si>
    <t>Форд к787нн</t>
  </si>
  <si>
    <t>ГАЗон в543ру</t>
  </si>
  <si>
    <t>Мерс а132рт777</t>
  </si>
  <si>
    <t>ПАЗ а292сх73</t>
  </si>
  <si>
    <t>Кинг Лонг в085рк</t>
  </si>
  <si>
    <t>НЕФАЗ е165те</t>
  </si>
  <si>
    <t>МАЗ о749ас73</t>
  </si>
  <si>
    <t>МАЗ а340мх73</t>
  </si>
  <si>
    <t>Камаз о005ае73</t>
  </si>
  <si>
    <t>Камаз е040рх73</t>
  </si>
  <si>
    <t>Скания а884ах</t>
  </si>
  <si>
    <t>Камаз с010вс73</t>
  </si>
  <si>
    <t>Мерс м656еу</t>
  </si>
  <si>
    <t>КАВЗ в477ко</t>
  </si>
  <si>
    <t>ГАЗ в733мс</t>
  </si>
  <si>
    <t>Мерс м683еу</t>
  </si>
  <si>
    <t>Мерс м637еу</t>
  </si>
  <si>
    <t>Мерс к707на</t>
  </si>
  <si>
    <t>ПАЗ в863мх</t>
  </si>
  <si>
    <t>Камаз к003ео</t>
  </si>
  <si>
    <t>ГАЗ с132ак</t>
  </si>
  <si>
    <t>ГАЗ с120он</t>
  </si>
  <si>
    <t>ГАЗ е565те</t>
  </si>
  <si>
    <t>МАЗ к132хт</t>
  </si>
  <si>
    <t>ГАЗ е311сх</t>
  </si>
  <si>
    <t>Ютонг е423хе</t>
  </si>
  <si>
    <t>Мерс е957тн</t>
  </si>
  <si>
    <t>Голден Драгон в501мт</t>
  </si>
  <si>
    <t>МАЗ а107тн</t>
  </si>
  <si>
    <t>ГАЗель е369рр</t>
  </si>
  <si>
    <t>ПАЗ в493вс</t>
  </si>
  <si>
    <t>Голден Драгон в375ср</t>
  </si>
  <si>
    <t>ЛиАЗ к007ск</t>
  </si>
  <si>
    <t>Ивеко н425ук</t>
  </si>
  <si>
    <t>ЗИЛ м815ек</t>
  </si>
  <si>
    <t>ПАЗ М508ку</t>
  </si>
  <si>
    <t>Мерседес Е816СО73</t>
  </si>
  <si>
    <t>УАЗ В831УУ73</t>
  </si>
  <si>
    <t>УАЗ С568УХ73</t>
  </si>
  <si>
    <t>Камаз М617КК73</t>
  </si>
  <si>
    <t>ГАЗон е428тр</t>
  </si>
  <si>
    <t>Скания в499ха</t>
  </si>
  <si>
    <t>Камаз р473ен</t>
  </si>
  <si>
    <t>ГАЗон а767рр</t>
  </si>
  <si>
    <t>МАЗ х165ао</t>
  </si>
  <si>
    <t>Камаз м572ку</t>
  </si>
  <si>
    <t>Камаз о767ек</t>
  </si>
  <si>
    <t>Камаз е934рв</t>
  </si>
  <si>
    <t>ГАЗ в546мо</t>
  </si>
  <si>
    <t>Камаз о614рс</t>
  </si>
  <si>
    <t>Камаз в308мс</t>
  </si>
  <si>
    <t>Камаз с166ав</t>
  </si>
  <si>
    <t>ГАЗель о465мр</t>
  </si>
  <si>
    <t>VW м234ку</t>
  </si>
  <si>
    <t>Камаз т690ву</t>
  </si>
  <si>
    <t>Голден Драгон е779ех</t>
  </si>
  <si>
    <t>Ивеко е295хс</t>
  </si>
  <si>
    <t>ГАЗ Н201ММ</t>
  </si>
  <si>
    <t>Хендай К104КН</t>
  </si>
  <si>
    <t>Исузу Е748КР</t>
  </si>
  <si>
    <t>ПАЗ В912СН</t>
  </si>
  <si>
    <t>ГАЗ 456</t>
  </si>
  <si>
    <t>ПАЗ К816АР</t>
  </si>
  <si>
    <t>ГАЗ М186МО73</t>
  </si>
  <si>
    <t>ПАЗ А292СР73</t>
  </si>
  <si>
    <t>Хендай К123КН73</t>
  </si>
  <si>
    <t>ГАЗ К221КН73</t>
  </si>
  <si>
    <t>ПАЗ Х710ВУ73</t>
  </si>
  <si>
    <t>ПАЗ В450МЕ73</t>
  </si>
  <si>
    <t>Хайгер М768ХН</t>
  </si>
  <si>
    <t>ПАЗ М467АН73</t>
  </si>
  <si>
    <t>ПАЗ А805СЕ73</t>
  </si>
  <si>
    <t>КАМАЗ Н222ВМ73</t>
  </si>
  <si>
    <t>ЛиАЗ В292ХУ152</t>
  </si>
  <si>
    <t>ЛУИДОР К158РН82</t>
  </si>
  <si>
    <t>Скания М644РУ73</t>
  </si>
  <si>
    <t>Камаз К261КХ73</t>
  </si>
  <si>
    <t>Скания М270ХС73</t>
  </si>
  <si>
    <t>МАЗ А334РН73</t>
  </si>
  <si>
    <t>КАМАЗ Е387ТХ73</t>
  </si>
  <si>
    <t>304030 К207КУ73</t>
  </si>
  <si>
    <t>2824FU К595КУ73</t>
  </si>
  <si>
    <t>Сания К194НЕ73</t>
  </si>
  <si>
    <t>ГАЗ К258КХ73</t>
  </si>
  <si>
    <t>Скания Е388НУ73</t>
  </si>
  <si>
    <t>МАН К885СА73</t>
  </si>
  <si>
    <t>Камаз Р132ХУ73</t>
  </si>
  <si>
    <t>Луидор А496ЕТ73</t>
  </si>
  <si>
    <t>ПАЗ Х254ХХ73</t>
  </si>
  <si>
    <t>Volvo М455МУ73</t>
  </si>
  <si>
    <t>КАВЗ В025АЕ73</t>
  </si>
  <si>
    <t>ПАЗ А738ЕХ73</t>
  </si>
  <si>
    <t>ПАЗ А665АА173</t>
  </si>
  <si>
    <t>ПАЗ В889ЕР73</t>
  </si>
  <si>
    <t>Камаз А800ОР763</t>
  </si>
  <si>
    <t>3034F Е875НН73</t>
  </si>
  <si>
    <t>ПАЗ Е852ХА73</t>
  </si>
  <si>
    <t>ЛиАЗ Х926МЕ777</t>
  </si>
  <si>
    <t>Исузу У294ВК73</t>
  </si>
  <si>
    <t>ГАЗ В988ХТ73</t>
  </si>
  <si>
    <t>ПАЗ К060НК73</t>
  </si>
  <si>
    <t>ПАЗ А027СЕ73</t>
  </si>
  <si>
    <t>Т630К К659НА73</t>
  </si>
  <si>
    <t>ПАЗ АХ14673</t>
  </si>
  <si>
    <t>Скания К400КТ750</t>
  </si>
  <si>
    <t>МАН В502СУ82</t>
  </si>
  <si>
    <t>ПАЗ Р524ВР73</t>
  </si>
  <si>
    <t>Mercedes Sprinter А869КР763</t>
  </si>
  <si>
    <t>ГАЗ-32212 В978ХТ73</t>
  </si>
  <si>
    <t>384051 В610СР73</t>
  </si>
  <si>
    <t>ПАЗ Е392РМ73</t>
  </si>
  <si>
    <t>МАЗ К548ЕУ73</t>
  </si>
  <si>
    <t>Луидор У412СН116</t>
  </si>
  <si>
    <t>ГАЗ 32212</t>
  </si>
  <si>
    <t>Ивеко А924МТ73</t>
  </si>
  <si>
    <t>Луидор В510ХВ73</t>
  </si>
  <si>
    <t>Камаз К176НЕ73</t>
  </si>
  <si>
    <t>МАН Е032СУ73</t>
  </si>
  <si>
    <t>ПАЗ Е702СС73</t>
  </si>
  <si>
    <t>ГАЗ АР40673</t>
  </si>
  <si>
    <t>ГАЗ Е815ХА73</t>
  </si>
  <si>
    <t>ПАЗ К691НК73</t>
  </si>
  <si>
    <t>Камаз Е380РА73</t>
  </si>
  <si>
    <t>Ютонг К922НК73</t>
  </si>
  <si>
    <t>ПАЗ В088СР73</t>
  </si>
  <si>
    <t>ПАЗ К059НК73</t>
  </si>
  <si>
    <t>Мерседес-Бенц Р399КХ116</t>
  </si>
  <si>
    <t>ПАЗ М241КЕ73</t>
  </si>
  <si>
    <t>Исузу Е828НС73</t>
  </si>
  <si>
    <t>ПАЗ А819ЕМ73</t>
  </si>
  <si>
    <t>ПАЗ Е388КС73</t>
  </si>
  <si>
    <t>ЗИЛ С223ВХ73</t>
  </si>
  <si>
    <t>ГАЗ К336НН73</t>
  </si>
  <si>
    <t>МАЗ Е634РХ73</t>
  </si>
  <si>
    <t>ГАЗ К138НН73</t>
  </si>
  <si>
    <t>МАЗ К767НМ73</t>
  </si>
  <si>
    <t>Камаз М905РТ73</t>
  </si>
  <si>
    <t>Камаз К293ОХ82</t>
  </si>
  <si>
    <t>ГАЗ АР45273</t>
  </si>
  <si>
    <t>ПАЗ К571НС73</t>
  </si>
  <si>
    <t>Toyota Hiace О356ОУ73</t>
  </si>
  <si>
    <t>48876А ЛПС-6 К900НЕ73</t>
  </si>
  <si>
    <t>L4H2M2-A А747НМ73</t>
  </si>
  <si>
    <t>ПАЗ 32054 Е098ХУ73</t>
  </si>
  <si>
    <t>КАМАЗ М923ХК73</t>
  </si>
  <si>
    <t>ПАЗ К338НЕ73</t>
  </si>
  <si>
    <t>MAN А270НА73</t>
  </si>
  <si>
    <t>Ford Transit АР41873</t>
  </si>
  <si>
    <t>L4H2M2F-A К259ЕТ73</t>
  </si>
  <si>
    <t>FORD TRANSIT А943НТ7</t>
  </si>
  <si>
    <t>Мерседес -Бенц К851КУ73</t>
  </si>
  <si>
    <t>Volvo В550ВК716</t>
  </si>
  <si>
    <t>ПАЗ АХ14873</t>
  </si>
  <si>
    <t>Хендай Р752ХК73</t>
  </si>
  <si>
    <t>Скания Е892ТХ777</t>
  </si>
  <si>
    <t>68902B А536ТМ73</t>
  </si>
  <si>
    <t>18042C Е902ТХ73</t>
  </si>
  <si>
    <t>Скания Е499РЕ73</t>
  </si>
  <si>
    <t>Камаз М850ХР10</t>
  </si>
  <si>
    <t>ГАЗ Е334ТО73</t>
  </si>
  <si>
    <t>12.12..19</t>
  </si>
  <si>
    <t>ас00000450</t>
  </si>
  <si>
    <t>адс</t>
  </si>
  <si>
    <t>отопитель вебасто 2000</t>
  </si>
  <si>
    <t>экср</t>
  </si>
  <si>
    <t>автотерм сервис+</t>
  </si>
  <si>
    <t>ип Тареев</t>
  </si>
  <si>
    <t>тпк "некст континент"</t>
  </si>
  <si>
    <t>ооо тпк "некст континент"</t>
  </si>
  <si>
    <t>ооо автотерм-сервис +</t>
  </si>
  <si>
    <t>некст континент</t>
  </si>
  <si>
    <t>ип кузнецова</t>
  </si>
  <si>
    <t>теплостар челны</t>
  </si>
  <si>
    <t>т.д комфорт плюс</t>
  </si>
  <si>
    <t>ЭКСР</t>
  </si>
  <si>
    <t>АДС</t>
  </si>
  <si>
    <t>стс гулливер</t>
  </si>
  <si>
    <t>возвращен стс гуллверу вместо 44д-12</t>
  </si>
  <si>
    <t>ип  Тареев</t>
  </si>
  <si>
    <t>отопитель Лунфей е2.0. 12v</t>
  </si>
  <si>
    <t>отопитель tt-evo start 5кв 12в диз</t>
  </si>
  <si>
    <t>отопитель ат 2000 stc 12 v дизель</t>
  </si>
  <si>
    <t>отопитель тт-evo comfort+5квт дизель</t>
  </si>
  <si>
    <t>отопитель тт-evo start 5кв дизель</t>
  </si>
  <si>
    <t>отопитель at 2000 stc24v дизель</t>
  </si>
  <si>
    <t>отопитель ат 2000stc 12vдизель</t>
  </si>
  <si>
    <t>отопитель ат 2000stc 24vдизель</t>
  </si>
  <si>
    <t>предпусковой подогр hydronic 3 b4e 12v</t>
  </si>
  <si>
    <t>отопитель ат 2000stc 24v дизель</t>
  </si>
  <si>
    <t>отопитель at2000stc 12v дизель</t>
  </si>
  <si>
    <t>отопитель at2000stc 12v бензин</t>
  </si>
  <si>
    <t>отопитель ат 2000stc 12v дизель</t>
  </si>
  <si>
    <t>отопитель ат2000stc 12v  бензин</t>
  </si>
  <si>
    <t>отопитель ат2000stc 12v бензин</t>
  </si>
  <si>
    <t>отопитель planar 8dm-24s</t>
  </si>
  <si>
    <t>планар 44d-24gp</t>
  </si>
  <si>
    <t>отопитель at2000stc24vдизель</t>
  </si>
  <si>
    <t>отопитель at2000stc12v дизель</t>
  </si>
  <si>
    <t>отопитель тт-evo start 5кв бензин+ телестарт 91т</t>
  </si>
  <si>
    <t>отопитель лунфей е2.0 12в</t>
  </si>
  <si>
    <t>отопитель at2000stc12v бензин</t>
  </si>
  <si>
    <t>отопитель at2000stc24v дизель</t>
  </si>
  <si>
    <t xml:space="preserve">отопитель тт-evo start 5кв бензин </t>
  </si>
  <si>
    <t>отопитель  at2000stc12бензин</t>
  </si>
  <si>
    <t>отопитель Thermo Pro 90</t>
  </si>
  <si>
    <t>отопитель аt 2000stc12v бензин</t>
  </si>
  <si>
    <t>отопитель тт evo top Comfort + 5кв 12в дизель</t>
  </si>
  <si>
    <t>отопитель тт-evo start 5кв 12в дизель</t>
  </si>
  <si>
    <t>отопитель тт -evo start 5кв 12в бензин</t>
  </si>
  <si>
    <t>воздушный отопитель Лунфей е2.0. 12v</t>
  </si>
  <si>
    <t>отопитель тт-evo start 5кв 12в бензин</t>
  </si>
  <si>
    <t>отопитель at2000stc 24v дизель</t>
  </si>
  <si>
    <t>отопитель воздушный планар 8дм24</t>
  </si>
  <si>
    <t>отопитель воздушный планар 44д-24</t>
  </si>
  <si>
    <t>отопитель воздушный планар 4дм-24</t>
  </si>
  <si>
    <t>отопитель тт-evo start 5 кв 12в дизель</t>
  </si>
  <si>
    <t>отопитель воздушный планар 2д-24</t>
  </si>
  <si>
    <t>отопитель тт-evo start 5 кв 12в бензин</t>
  </si>
  <si>
    <t>отопитель тт- evo start 5кв 12в бензин</t>
  </si>
  <si>
    <t>отопитель воздушный планар 4д-12</t>
  </si>
  <si>
    <t>отопитель лунфей 2.0. 24в</t>
  </si>
  <si>
    <t>отопитель планар 44д-24-GP-S</t>
  </si>
  <si>
    <t>отопитель at2000stc 24в дизель</t>
  </si>
  <si>
    <t>отопитель планар 44д-12-GP-S</t>
  </si>
  <si>
    <t>отопитель at2000stc 12в дизель</t>
  </si>
  <si>
    <t>отопитель аt2000stc 24в дизель</t>
  </si>
  <si>
    <t>подогреватель предпусковой жидкостный дизельный 14тс-10-24</t>
  </si>
  <si>
    <t>отопитель at2000stc12в дизель</t>
  </si>
  <si>
    <t>отопитель at2000stc12в бензин</t>
  </si>
  <si>
    <t>предпусковой подогреватель hydronic 3d4e 12v</t>
  </si>
  <si>
    <t>отопитель at2000 stc 12в дизель</t>
  </si>
  <si>
    <t>отопитель тт-evo start 5кв бензин</t>
  </si>
  <si>
    <t>отопитель аt 2000 stc 12в бензин</t>
  </si>
  <si>
    <t>отопитель at2000 stc 24в дизель</t>
  </si>
  <si>
    <t>отопитель tt-evo start 5кв дизель12в</t>
  </si>
  <si>
    <t>отопитель планар 44д24</t>
  </si>
  <si>
    <t>отопитель планар 4дм12</t>
  </si>
  <si>
    <t>отопитель лунфей 2.0 12в</t>
  </si>
  <si>
    <t>отоаитель at2000 12в дизель</t>
  </si>
  <si>
    <t>отоаитель tt-evo start 5кв дизель</t>
  </si>
  <si>
    <t>подогреватель  предпускавой 14тс-10-24</t>
  </si>
  <si>
    <t>отопитель планар 4дм 24</t>
  </si>
  <si>
    <t>отопитель tt-evo start5кв дизель</t>
  </si>
  <si>
    <t>отопитель at 2000 12 в бензин</t>
  </si>
  <si>
    <t>отопитель аt 2000 12в дизель</t>
  </si>
  <si>
    <t>отопитель tt-evo start5кв бензин</t>
  </si>
  <si>
    <t>отопитель tt-evo start 5кв дизель</t>
  </si>
  <si>
    <t>отопитель at 2000 12 в дизель</t>
  </si>
  <si>
    <t>отопитель  at 2000 12в бензин</t>
  </si>
  <si>
    <t>отопитель  at 2000 12в дизель</t>
  </si>
  <si>
    <t>отопитель планар 44D-24</t>
  </si>
  <si>
    <t>отопитель планар 8dm-24</t>
  </si>
  <si>
    <t>отопитель ат 2000stc 12в дизель</t>
  </si>
  <si>
    <t>подогреватель предпускавой 14тс-10-24</t>
  </si>
  <si>
    <t>отопитель воздушный 4д-12 аэрокомфорт</t>
  </si>
  <si>
    <t>отопитель тт-evo start 5 кв дизель</t>
  </si>
  <si>
    <t>отопитель планар 44д-12</t>
  </si>
  <si>
    <t>отопитель  вебасто tt-evo start 5кв диз</t>
  </si>
  <si>
    <t>отопитель планар 2д-24</t>
  </si>
  <si>
    <t xml:space="preserve">Отопитель TT-Evo Comfort+5 кВт (д) </t>
  </si>
  <si>
    <t>отопитель  ТТ-evo Comfort+5 кв дизель</t>
  </si>
  <si>
    <t>отопитель тт-evo start 5 кв  бензин</t>
  </si>
  <si>
    <t>подогреватель предпусковой 14тс -10-24</t>
  </si>
  <si>
    <t>отопитель планар 4дм-24</t>
  </si>
  <si>
    <t>отопитель тт-evo comfort 5 кв  д</t>
  </si>
  <si>
    <t>воздушный отопитель Лунфей е5.0 12в</t>
  </si>
  <si>
    <t>отопитель tt evo start 5кв бензин</t>
  </si>
  <si>
    <t>отопитель tt evo comfort 5кв дизель</t>
  </si>
  <si>
    <t>отопитель tt evo start 5кв дизель</t>
  </si>
  <si>
    <t>отопитель ат 2000 stc</t>
  </si>
  <si>
    <t>подогреватель 30sp-24</t>
  </si>
  <si>
    <t>бинар 5s дизель</t>
  </si>
  <si>
    <t>отопитель планар 4дм-12</t>
  </si>
  <si>
    <t>подогреватель бинар 5s дизель</t>
  </si>
  <si>
    <t>отопитель апж-30д-24</t>
  </si>
  <si>
    <t>отопитель tt evo comfort +</t>
  </si>
  <si>
    <t>отопитель планар 44дм-24</t>
  </si>
  <si>
    <t>подогреватель 14тс-10-24</t>
  </si>
  <si>
    <t>подогреватель бинар 5s</t>
  </si>
  <si>
    <t>отопитель тт evo comfort 12 в бензин</t>
  </si>
  <si>
    <t>отопитель 14тс мини 24</t>
  </si>
  <si>
    <t>отопитель 8дм-24</t>
  </si>
  <si>
    <t>отопитель 14тс-10-24</t>
  </si>
  <si>
    <t>отопитель 2д-12</t>
  </si>
  <si>
    <t>отопитель 4дм-24</t>
  </si>
  <si>
    <t>отопитель воздушный 4дм2-12</t>
  </si>
  <si>
    <t>отопитель воздушный 4дм2-24</t>
  </si>
  <si>
    <t>14121hf</t>
  </si>
  <si>
    <t>80969hf</t>
  </si>
  <si>
    <t>б.н.</t>
  </si>
  <si>
    <t>d80044411</t>
  </si>
  <si>
    <t>d80046063</t>
  </si>
  <si>
    <t>d80049301</t>
  </si>
  <si>
    <t>d80051628</t>
  </si>
  <si>
    <t>Лукьянова</t>
  </si>
  <si>
    <t>Кондручин Алексей Юрьевич</t>
  </si>
  <si>
    <t>Капитонов</t>
  </si>
  <si>
    <t>запас на склад</t>
  </si>
  <si>
    <t>нк синтез</t>
  </si>
  <si>
    <t>Терентьев</t>
  </si>
  <si>
    <t>василенко</t>
  </si>
  <si>
    <t>ЦЭТ - неисправен получен 26.09  -отправлен сдэк 6.09</t>
  </si>
  <si>
    <t xml:space="preserve"> 3.06.2019</t>
  </si>
  <si>
    <t xml:space="preserve"> 9.07.2019</t>
  </si>
  <si>
    <t xml:space="preserve"> 23.07.2019</t>
  </si>
  <si>
    <t xml:space="preserve"> 8.08.2019</t>
  </si>
  <si>
    <t xml:space="preserve"> 22.08.2019</t>
  </si>
  <si>
    <t xml:space="preserve"> 26.08.2019</t>
  </si>
  <si>
    <t xml:space="preserve"> 24.09.2019</t>
  </si>
  <si>
    <t xml:space="preserve"> 11.11.2019</t>
  </si>
  <si>
    <t xml:space="preserve"> 9.12.2019</t>
  </si>
  <si>
    <t xml:space="preserve"> 22.01.2020</t>
  </si>
  <si>
    <t xml:space="preserve"> 31.01.2020</t>
  </si>
  <si>
    <t xml:space="preserve"> 02.03.2020</t>
  </si>
  <si>
    <t xml:space="preserve"> 10.03.2020</t>
  </si>
  <si>
    <t xml:space="preserve"> 17.03.2020</t>
  </si>
  <si>
    <t xml:space="preserve"> 17.04.2020</t>
  </si>
  <si>
    <t xml:space="preserve"> 24.04.2020</t>
  </si>
  <si>
    <t xml:space="preserve"> 28.04.2020</t>
  </si>
  <si>
    <t xml:space="preserve"> 14.05.2020</t>
  </si>
  <si>
    <t xml:space="preserve"> 3.06.2020</t>
  </si>
  <si>
    <t xml:space="preserve"> 8.06.2020</t>
  </si>
  <si>
    <t xml:space="preserve"> 22.06.2020</t>
  </si>
  <si>
    <t xml:space="preserve"> 26.06.2020</t>
  </si>
  <si>
    <t xml:space="preserve"> 2.07.2020</t>
  </si>
  <si>
    <t xml:space="preserve"> 06.07.2020</t>
  </si>
  <si>
    <t xml:space="preserve"> 10.07.2020</t>
  </si>
  <si>
    <t xml:space="preserve"> 15.07.2020</t>
  </si>
  <si>
    <t xml:space="preserve"> 22.07.2020</t>
  </si>
  <si>
    <t xml:space="preserve"> 27.07.2020</t>
  </si>
  <si>
    <t xml:space="preserve"> 29.07.2020</t>
  </si>
  <si>
    <t xml:space="preserve"> 13.08.2020</t>
  </si>
  <si>
    <t xml:space="preserve"> 24.08.2020</t>
  </si>
  <si>
    <t xml:space="preserve"> 04.09.2020</t>
  </si>
  <si>
    <t xml:space="preserve"> 6.10.2020</t>
  </si>
  <si>
    <t xml:space="preserve"> 26.10.2020</t>
  </si>
  <si>
    <t xml:space="preserve"> 20.10.2020</t>
  </si>
  <si>
    <t xml:space="preserve"> 11.11.2020</t>
  </si>
  <si>
    <t xml:space="preserve"> 27.11.2020</t>
  </si>
  <si>
    <t xml:space="preserve"> 21.12.2020</t>
  </si>
  <si>
    <t xml:space="preserve"> 12.01.2021</t>
  </si>
  <si>
    <t xml:space="preserve"> 22.01.2021</t>
  </si>
  <si>
    <t xml:space="preserve"> 3.02.2021</t>
  </si>
  <si>
    <t xml:space="preserve"> 03.02.2021</t>
  </si>
  <si>
    <t xml:space="preserve"> 11.02.2021</t>
  </si>
  <si>
    <t xml:space="preserve"> 28.01.2021</t>
  </si>
  <si>
    <t xml:space="preserve"> 2.03.2021</t>
  </si>
  <si>
    <t xml:space="preserve"> 15.03.2021</t>
  </si>
  <si>
    <t xml:space="preserve"> 23.03.2021</t>
  </si>
  <si>
    <t xml:space="preserve"> 29.03.2021</t>
  </si>
  <si>
    <t xml:space="preserve"> 2.04.2021</t>
  </si>
  <si>
    <t xml:space="preserve"> 7.04.2021</t>
  </si>
  <si>
    <t xml:space="preserve"> 12.04.2021</t>
  </si>
  <si>
    <t xml:space="preserve"> 20.04.2021</t>
  </si>
  <si>
    <t xml:space="preserve"> 29.04.2021</t>
  </si>
  <si>
    <t xml:space="preserve"> 30.04.2021</t>
  </si>
  <si>
    <t xml:space="preserve"> 25.05.2021</t>
  </si>
  <si>
    <t xml:space="preserve"> 28.05.2021</t>
  </si>
  <si>
    <t xml:space="preserve"> 2.06.2021</t>
  </si>
  <si>
    <t xml:space="preserve"> 24.06.2021</t>
  </si>
  <si>
    <t xml:space="preserve"> 13.07.2021</t>
  </si>
  <si>
    <t xml:space="preserve"> 20.07.2021</t>
  </si>
  <si>
    <t xml:space="preserve"> 12.08.2021</t>
  </si>
  <si>
    <t xml:space="preserve"> 23.08.2021</t>
  </si>
  <si>
    <t xml:space="preserve"> 30.08.2021</t>
  </si>
  <si>
    <t xml:space="preserve"> 10.09.2021</t>
  </si>
  <si>
    <t xml:space="preserve"> 20.09.2021</t>
  </si>
  <si>
    <t xml:space="preserve"> 27.09.2021</t>
  </si>
  <si>
    <t xml:space="preserve"> 8.10.2021</t>
  </si>
  <si>
    <t xml:space="preserve"> 13.10.2021</t>
  </si>
  <si>
    <t xml:space="preserve"> 19.10.2021</t>
  </si>
  <si>
    <t xml:space="preserve"> 9.11.2021</t>
  </si>
  <si>
    <t xml:space="preserve"> 24.11.2021</t>
  </si>
  <si>
    <t xml:space="preserve"> 25.11.2021</t>
  </si>
  <si>
    <t xml:space="preserve"> 07.12.2021</t>
  </si>
  <si>
    <t xml:space="preserve"> 7.12.2021</t>
  </si>
  <si>
    <t xml:space="preserve"> 14.12.2021</t>
  </si>
  <si>
    <t xml:space="preserve"> 16.12.2021</t>
  </si>
  <si>
    <t xml:space="preserve"> 24.12.2021</t>
  </si>
  <si>
    <t xml:space="preserve"> 14.01.2022</t>
  </si>
  <si>
    <t xml:space="preserve"> 9.02.2022</t>
  </si>
  <si>
    <t xml:space="preserve"> 1.03.2022</t>
  </si>
  <si>
    <t>ут-3913\1</t>
  </si>
  <si>
    <t>60 ТСМ</t>
  </si>
  <si>
    <t>атол грузка на ГЕО Систем</t>
  </si>
  <si>
    <t>4208 атол</t>
  </si>
  <si>
    <t>3723 атол</t>
  </si>
  <si>
    <t>3123 атол</t>
  </si>
  <si>
    <t>2587 атол</t>
  </si>
  <si>
    <t>2359 атол</t>
  </si>
  <si>
    <t>2187 атол</t>
  </si>
  <si>
    <t>2035 атол</t>
  </si>
  <si>
    <t>1212 атол</t>
  </si>
  <si>
    <t>992 атол</t>
  </si>
  <si>
    <t>1 атол</t>
  </si>
  <si>
    <t>сч/ф №202</t>
  </si>
  <si>
    <t>с/ф № УТ-599/1</t>
  </si>
  <si>
    <t>14.02.2019</t>
  </si>
  <si>
    <t xml:space="preserve"> с/ф № УТ-1065/1</t>
  </si>
  <si>
    <t xml:space="preserve"> сч/ф №1901</t>
  </si>
  <si>
    <t xml:space="preserve"> сч/ф №2262</t>
  </si>
  <si>
    <t>сч/ф №2578</t>
  </si>
  <si>
    <t xml:space="preserve"> сч/ф №2588</t>
  </si>
  <si>
    <t>сч/ф №3126</t>
  </si>
  <si>
    <t>23.04.2019</t>
  </si>
  <si>
    <t xml:space="preserve"> с/ф № УТ-2841/1</t>
  </si>
  <si>
    <t>сч/ф №4602</t>
  </si>
  <si>
    <t xml:space="preserve">сч/ф №1918 </t>
  </si>
  <si>
    <t>№5338</t>
  </si>
  <si>
    <t>№5919</t>
  </si>
  <si>
    <t>№6027</t>
  </si>
  <si>
    <t>№2387</t>
  </si>
  <si>
    <t>№2586</t>
  </si>
  <si>
    <t>№3015</t>
  </si>
  <si>
    <t>№3575</t>
  </si>
  <si>
    <t>ут-7779\1</t>
  </si>
  <si>
    <t xml:space="preserve">ут-7974\1 </t>
  </si>
  <si>
    <t xml:space="preserve">ут-8344\1 </t>
  </si>
  <si>
    <t>цб-10</t>
  </si>
  <si>
    <t>цб-277</t>
  </si>
  <si>
    <t>цб-348</t>
  </si>
  <si>
    <t>цб-384</t>
  </si>
  <si>
    <t>ут-5453</t>
  </si>
  <si>
    <t>цб-390</t>
  </si>
  <si>
    <t>цб-408</t>
  </si>
  <si>
    <t>цб-423</t>
  </si>
  <si>
    <t>цб-426</t>
  </si>
  <si>
    <t>цб-427</t>
  </si>
  <si>
    <t>цб-431</t>
  </si>
  <si>
    <t>цб-430</t>
  </si>
  <si>
    <t>цб-437</t>
  </si>
  <si>
    <t>цб-436</t>
  </si>
  <si>
    <t>цб-473</t>
  </si>
  <si>
    <t>цб-505</t>
  </si>
  <si>
    <t>цб-497</t>
  </si>
  <si>
    <t>цб-522</t>
  </si>
  <si>
    <t>цб-546</t>
  </si>
  <si>
    <t>цб-561</t>
  </si>
  <si>
    <t>цб-576</t>
  </si>
  <si>
    <t>цб-577</t>
  </si>
  <si>
    <t>цб-606</t>
  </si>
  <si>
    <t>цб-630</t>
  </si>
  <si>
    <t>цб-629</t>
  </si>
  <si>
    <t>цб-658</t>
  </si>
  <si>
    <t>цб-693</t>
  </si>
  <si>
    <t>цб-696</t>
  </si>
  <si>
    <t>цб-697</t>
  </si>
  <si>
    <t>цб-699</t>
  </si>
  <si>
    <t>цб-50</t>
  </si>
  <si>
    <t>цб-713</t>
  </si>
  <si>
    <t>цб-715</t>
  </si>
  <si>
    <t>цб-729</t>
  </si>
  <si>
    <t>цб-730</t>
  </si>
  <si>
    <t>цб-744</t>
  </si>
  <si>
    <t>цб-745</t>
  </si>
  <si>
    <t>цб-752</t>
  </si>
  <si>
    <t>цб-757</t>
  </si>
  <si>
    <t>цб-770</t>
  </si>
  <si>
    <t>цб-772</t>
  </si>
  <si>
    <t>цб-782</t>
  </si>
  <si>
    <t>цб-59</t>
  </si>
  <si>
    <t>цб-804</t>
  </si>
  <si>
    <t>цб-9</t>
  </si>
  <si>
    <t>цб-34</t>
  </si>
  <si>
    <t>цб-35</t>
  </si>
  <si>
    <t>цб-37</t>
  </si>
  <si>
    <t>цб-61</t>
  </si>
  <si>
    <t>цб-75</t>
  </si>
  <si>
    <t>цб-79</t>
  </si>
  <si>
    <t>цб-115</t>
  </si>
  <si>
    <t>цб-127</t>
  </si>
  <si>
    <t>цб-155</t>
  </si>
  <si>
    <t>ут-3227</t>
  </si>
  <si>
    <t>цб-213</t>
  </si>
  <si>
    <t>цб-234</t>
  </si>
  <si>
    <t>цб-256</t>
  </si>
  <si>
    <t>цб-282</t>
  </si>
  <si>
    <t>цб-233</t>
  </si>
  <si>
    <t>цб-307</t>
  </si>
  <si>
    <t>цб-336</t>
  </si>
  <si>
    <t>цб-353</t>
  </si>
  <si>
    <t>цб-361</t>
  </si>
  <si>
    <t>цб-340</t>
  </si>
  <si>
    <t>цб-391</t>
  </si>
  <si>
    <t>цб-415</t>
  </si>
  <si>
    <t>Цб-424</t>
  </si>
  <si>
    <t>цб-445</t>
  </si>
  <si>
    <t>цб-447</t>
  </si>
  <si>
    <t>цб-478</t>
  </si>
  <si>
    <t>цб-520</t>
  </si>
  <si>
    <t>цб-521</t>
  </si>
  <si>
    <t>цб-547</t>
  </si>
  <si>
    <t>цб-588</t>
  </si>
  <si>
    <t>цб-592</t>
  </si>
  <si>
    <t>цб-581</t>
  </si>
  <si>
    <t>цб-640</t>
  </si>
  <si>
    <t>ЦБ-672</t>
  </si>
  <si>
    <t>цб-698</t>
  </si>
  <si>
    <t>цб-43</t>
  </si>
  <si>
    <t>цб-141</t>
  </si>
  <si>
    <t>цб-140</t>
  </si>
  <si>
    <t>цб-183</t>
  </si>
  <si>
    <t>цб-342</t>
  </si>
  <si>
    <t>цб-429</t>
  </si>
  <si>
    <t>10976\4</t>
  </si>
  <si>
    <t>11808\4</t>
  </si>
  <si>
    <t>12293\4</t>
  </si>
  <si>
    <t>13707/4</t>
  </si>
  <si>
    <t>14434\4</t>
  </si>
  <si>
    <t>404\4</t>
  </si>
  <si>
    <t>1309/4</t>
  </si>
  <si>
    <t xml:space="preserve">цб-365 </t>
  </si>
  <si>
    <t>цб-477</t>
  </si>
  <si>
    <t xml:space="preserve">цб-480 </t>
  </si>
  <si>
    <t>опитель в долг</t>
  </si>
  <si>
    <t xml:space="preserve">цб-37 </t>
  </si>
  <si>
    <t xml:space="preserve">цб-637 </t>
  </si>
  <si>
    <t xml:space="preserve">цб-631 </t>
  </si>
  <si>
    <t xml:space="preserve">цб-660 </t>
  </si>
  <si>
    <t xml:space="preserve">цб-135 </t>
  </si>
  <si>
    <t>тпк некст континент</t>
  </si>
  <si>
    <t>адс (ГЕО)</t>
  </si>
  <si>
    <t>STD8 Full</t>
  </si>
  <si>
    <t>ДорРемСтрой73</t>
  </si>
  <si>
    <t>КАМАЗ К 933 ЕВ</t>
  </si>
  <si>
    <t>Ильсур</t>
  </si>
  <si>
    <t>Брюхушин</t>
  </si>
  <si>
    <t>Неисправен</t>
  </si>
  <si>
    <t>Забрала Герасимова Т.</t>
  </si>
  <si>
    <t>Терминал не моргает. Имеются повреждения в виде перегорания резисторов на плате. Восстановлению не подлежит</t>
  </si>
  <si>
    <t>Teltonika FM1100</t>
  </si>
  <si>
    <t>УЛСахар</t>
  </si>
  <si>
    <t>Субботин</t>
  </si>
  <si>
    <t>работает</t>
  </si>
  <si>
    <t>база</t>
  </si>
  <si>
    <t>отрезана GSM антенна</t>
  </si>
  <si>
    <t>у клиента</t>
  </si>
  <si>
    <t>ADM 100</t>
  </si>
  <si>
    <t>находится на складе не подписана что ул сахар, возможно установлена подмена</t>
  </si>
  <si>
    <t>СпецБетон Мордовия</t>
  </si>
  <si>
    <t>КАМАЗ К 685 ЕУ</t>
  </si>
  <si>
    <t>Спутники не видит. Возможно неисправен GPS модуль?Ремонт по гарантии</t>
  </si>
  <si>
    <t>Автограф</t>
  </si>
  <si>
    <t>Форд транзит</t>
  </si>
  <si>
    <t>Запаролен</t>
  </si>
  <si>
    <t>Navtelecom Signal S-2551</t>
  </si>
  <si>
    <t>Спецстройтехника</t>
  </si>
  <si>
    <t>Volvo 1441 УХ</t>
  </si>
  <si>
    <t>Неисправен  GPS модуль и отломан USB</t>
  </si>
  <si>
    <t>Italon</t>
  </si>
  <si>
    <t>МАЗ В 703 ХХ</t>
  </si>
  <si>
    <t>нестабильное поведение ДУТ Установлена замена .Замена по гарантии</t>
  </si>
  <si>
    <t>замена</t>
  </si>
  <si>
    <t>SAT-LITE 2</t>
  </si>
  <si>
    <t>Terex 8069</t>
  </si>
  <si>
    <t>Исправен</t>
  </si>
  <si>
    <t>База</t>
  </si>
  <si>
    <t>Нет GSM.  После ремонта  гарантия</t>
  </si>
  <si>
    <t>cellocator</t>
  </si>
  <si>
    <t>--</t>
  </si>
  <si>
    <t>нет возможности настроить</t>
  </si>
  <si>
    <t>Ульяновск нефть</t>
  </si>
  <si>
    <t>УАЗ В910ВХ</t>
  </si>
  <si>
    <t>Работает</t>
  </si>
  <si>
    <t>нужно заменить симкарту</t>
  </si>
  <si>
    <t>прибор не наш утверждают в технокоме</t>
  </si>
  <si>
    <t>Сигнал 2551</t>
  </si>
  <si>
    <t>ППЖТ</t>
  </si>
  <si>
    <t>В IT Отделе на полке</t>
  </si>
  <si>
    <t>fort-300</t>
  </si>
  <si>
    <t>ХЗ чей</t>
  </si>
  <si>
    <t>omniconn 20310</t>
  </si>
  <si>
    <t>ДТ75 5414</t>
  </si>
  <si>
    <t>Не стабилизируется Гарантия пришла замена 2031010012208</t>
  </si>
  <si>
    <t>Гарантия пришла замена 2031010012208</t>
  </si>
  <si>
    <t>SAT-LITE</t>
  </si>
  <si>
    <t>после ремонта вернуть на авто</t>
  </si>
  <si>
    <t>ждет назначения даты установки на базе</t>
  </si>
  <si>
    <t>Чемукова</t>
  </si>
  <si>
    <t>Женщина</t>
  </si>
  <si>
    <t>Спутники есть, GSM есть. Был раздербанен кабель-прикуриватель, по которому питание идет</t>
  </si>
  <si>
    <t>Халитов</t>
  </si>
  <si>
    <t>Хлебпром3</t>
  </si>
  <si>
    <t>ГАЗель А 590 ТТ</t>
  </si>
  <si>
    <t>нужно катать и ставить обратно</t>
  </si>
  <si>
    <t>Гермес</t>
  </si>
  <si>
    <t>308Ц</t>
  </si>
  <si>
    <t>неисправен</t>
  </si>
  <si>
    <t>а</t>
  </si>
  <si>
    <t>ХлебПром №3</t>
  </si>
  <si>
    <t>Газель Т 470 ТТ</t>
  </si>
  <si>
    <t>Ремонт</t>
  </si>
  <si>
    <t>Нет GSM. Не выходит на связь. Прошивка свежая, GSM антена новая</t>
  </si>
  <si>
    <t>FORT-300</t>
  </si>
  <si>
    <t>Ford А 102 СЕ</t>
  </si>
  <si>
    <t>Нет GPS. Возможно неисправен GPS модуль. Свежая прошивка не помогла</t>
  </si>
  <si>
    <t>FORT-112</t>
  </si>
  <si>
    <t>Пежо К 259 ЕТ</t>
  </si>
  <si>
    <t xml:space="preserve">На установку </t>
  </si>
  <si>
    <t>italon</t>
  </si>
  <si>
    <t>Лукъяновский ГОК</t>
  </si>
  <si>
    <t>SEM 650 B 7105 УМ</t>
  </si>
  <si>
    <t>не подключается замена по гарантии</t>
  </si>
  <si>
    <t>замена по гарантии</t>
  </si>
  <si>
    <t>Сантера Агро</t>
  </si>
  <si>
    <t>ГАЗ 233</t>
  </si>
  <si>
    <t>ДорРемСтрой</t>
  </si>
  <si>
    <t>Грейдер 1304 УМ</t>
  </si>
  <si>
    <t>КЗ на плате. Не подключается к конфигуратору 730 рублей</t>
  </si>
  <si>
    <t>Трофимов</t>
  </si>
  <si>
    <t>Скания Е 374 СА</t>
  </si>
  <si>
    <t>Долго подлавливает спутники. При зажигании теряет GPS  360 рублей ремонт</t>
  </si>
  <si>
    <t>Fort-111</t>
  </si>
  <si>
    <t>БТИ</t>
  </si>
  <si>
    <t>Приора А 330 КВ</t>
  </si>
  <si>
    <t>Нет GSM</t>
  </si>
  <si>
    <t>Саиткин</t>
  </si>
  <si>
    <t>Была проблема в прикуривателе</t>
  </si>
  <si>
    <t>КАМАЗ Р 342 КХ.</t>
  </si>
  <si>
    <t>отдал стасу</t>
  </si>
  <si>
    <t>galileo5</t>
  </si>
  <si>
    <t>Висмос</t>
  </si>
  <si>
    <t>ДИМА ВИСМОС</t>
  </si>
  <si>
    <t>офис</t>
  </si>
  <si>
    <t>Glonass модуль не работает    ремонт 405 рублей</t>
  </si>
  <si>
    <t>580/580</t>
  </si>
  <si>
    <t>Omniconn Light 2.0</t>
  </si>
  <si>
    <t>355217042346610 (ID 253008222)</t>
  </si>
  <si>
    <t>Подменный фонд</t>
  </si>
  <si>
    <t xml:space="preserve">Постоянно перезагружается при подключении внешнего питания. Нет GSM   </t>
  </si>
  <si>
    <t>на складе</t>
  </si>
  <si>
    <t>355217042348558 (ID 253008225)</t>
  </si>
  <si>
    <t>7 902 003 79 41</t>
  </si>
  <si>
    <t>ТеплоГазКомплекс</t>
  </si>
  <si>
    <t>Terex 8546 УС</t>
  </si>
  <si>
    <t>Нет GPS</t>
  </si>
  <si>
    <t>7 929 791 74 48</t>
  </si>
  <si>
    <t>Автобус 63 (Интервал)</t>
  </si>
  <si>
    <t>В 609 АС</t>
  </si>
  <si>
    <t>Долг за терминал</t>
  </si>
  <si>
    <t>897019910090128333</t>
  </si>
  <si>
    <t>дг 20</t>
  </si>
  <si>
    <t>Дима</t>
  </si>
  <si>
    <t>после ремонта</t>
  </si>
  <si>
    <t>323Ц</t>
  </si>
  <si>
    <t>нет ответа от датчика</t>
  </si>
  <si>
    <t>Omnicomm</t>
  </si>
  <si>
    <t xml:space="preserve">Наиль </t>
  </si>
  <si>
    <t>1093 УХ JCB</t>
  </si>
  <si>
    <t>Датчик реагирует на вибрации и отключается ремонт по гарантии</t>
  </si>
  <si>
    <t>LS1D</t>
  </si>
  <si>
    <t>СтройРем ООО</t>
  </si>
  <si>
    <t>МАЗ Е507КВ73</t>
  </si>
  <si>
    <t>на федерации</t>
  </si>
  <si>
    <t>2144 15</t>
  </si>
  <si>
    <t xml:space="preserve">Хамдеев </t>
  </si>
  <si>
    <t>В 219 СН (КАРАСЬ)</t>
  </si>
  <si>
    <t xml:space="preserve">Субботин </t>
  </si>
  <si>
    <t>Fort-300</t>
  </si>
  <si>
    <t>Нива В 259 РЕ</t>
  </si>
  <si>
    <t xml:space="preserve"> </t>
  </si>
  <si>
    <t>Офис</t>
  </si>
  <si>
    <t>Есть следы коррозии (либо флюс и грязь) в окрестности кондесатора С50</t>
  </si>
  <si>
    <t>adm700</t>
  </si>
  <si>
    <t>нииар</t>
  </si>
  <si>
    <t>360рублей</t>
  </si>
  <si>
    <t>2180рублей</t>
  </si>
  <si>
    <t>adm100</t>
  </si>
  <si>
    <t>Петровское</t>
  </si>
  <si>
    <t>К744 4856 УС</t>
  </si>
  <si>
    <t>730рублей</t>
  </si>
  <si>
    <t>стройдом</t>
  </si>
  <si>
    <t>Е 737 МО (Самосвал)</t>
  </si>
  <si>
    <t>adm 200</t>
  </si>
  <si>
    <t>Волжанка</t>
  </si>
  <si>
    <t>Камаз С463СС73</t>
  </si>
  <si>
    <t>пришло с ремонта</t>
  </si>
  <si>
    <t>УАЗ А252МР</t>
  </si>
  <si>
    <t>Газель О 194 ВК</t>
  </si>
  <si>
    <t>Валиуллов</t>
  </si>
  <si>
    <t>500 руб. + транспортные расходы</t>
  </si>
  <si>
    <t>GlobalSat GTR-128</t>
  </si>
  <si>
    <t>ООО САДКО</t>
  </si>
  <si>
    <t>не ловит gsm</t>
  </si>
  <si>
    <t>16.10 отправлен в саранск</t>
  </si>
  <si>
    <t>89701027062879749</t>
  </si>
  <si>
    <t>УлНефть</t>
  </si>
  <si>
    <t>Камаз В 397 РК</t>
  </si>
  <si>
    <t>Тестирование терминала на нашем авто, через сервер Виалон. Виалон трек строит! без полетов</t>
  </si>
  <si>
    <t>Fort-111M</t>
  </si>
  <si>
    <t>Нива Е 180 КС</t>
  </si>
  <si>
    <t>Ждет установки на ТС</t>
  </si>
  <si>
    <t>дут омникомм</t>
  </si>
  <si>
    <t>виктория</t>
  </si>
  <si>
    <t>камаз а025мо</t>
  </si>
  <si>
    <t>отправлен тк сдек 4.10</t>
  </si>
  <si>
    <t>Топливный насос тн9-6 8кв -12 В</t>
  </si>
  <si>
    <t>ИП Разорвин</t>
  </si>
  <si>
    <t>сгорел насос</t>
  </si>
  <si>
    <t>отправлен сдэк 10.10.18</t>
  </si>
  <si>
    <t>италон</t>
  </si>
  <si>
    <t>вольво 330</t>
  </si>
  <si>
    <t>ильсур</t>
  </si>
  <si>
    <t>вольво е325рт</t>
  </si>
  <si>
    <t>Arusnavi</t>
  </si>
  <si>
    <t>Панов</t>
  </si>
  <si>
    <t>В 606 МР</t>
  </si>
  <si>
    <t xml:space="preserve">в IT Отделе </t>
  </si>
  <si>
    <t>не регестрируется в сети</t>
  </si>
  <si>
    <t>Omnicom light 2.0</t>
  </si>
  <si>
    <t>355217042342668 (ID 253008201)</t>
  </si>
  <si>
    <t>пришел без sim</t>
  </si>
  <si>
    <t>MAN В 921 ВС</t>
  </si>
  <si>
    <t>у Стаса</t>
  </si>
  <si>
    <t>нет GPS</t>
  </si>
  <si>
    <t>сдек</t>
  </si>
  <si>
    <t>2000\ отказ от ремонта</t>
  </si>
  <si>
    <t>Симбирка</t>
  </si>
  <si>
    <t>4236 УО</t>
  </si>
  <si>
    <t>теряет GSM-сигнал</t>
  </si>
  <si>
    <t>ждет даты возврата на базе</t>
  </si>
  <si>
    <t>580\572</t>
  </si>
  <si>
    <t>без sim</t>
  </si>
  <si>
    <t>А 003 АА</t>
  </si>
  <si>
    <t>частые полеты и потеря GPS</t>
  </si>
  <si>
    <t>автотехстрой</t>
  </si>
  <si>
    <t>галилео 1.8.5</t>
  </si>
  <si>
    <t>аэропорт восточный</t>
  </si>
  <si>
    <t>белаз 26-03взт</t>
  </si>
  <si>
    <t>в ремонт</t>
  </si>
  <si>
    <t>не подключается к пк нет индикации (26.10.18 В следствии привышении предельно допустимоготвходного напряжения произошел сбой. Попадание токопроводящей житкости) дата завершения ремонта 7.11.18</t>
  </si>
  <si>
    <t>в ит отдел 18.10.\ отправлен 28.11. клиенту сдэком</t>
  </si>
  <si>
    <t>655\655</t>
  </si>
  <si>
    <t>спецстройтехника</t>
  </si>
  <si>
    <t>маз о070оа</t>
  </si>
  <si>
    <t>разрушение корпуса верхней части дута</t>
  </si>
  <si>
    <t>Smart S-2333</t>
  </si>
  <si>
    <t>Volvo e324pT</t>
  </si>
  <si>
    <t>брюхушин</t>
  </si>
  <si>
    <t>рабочий</t>
  </si>
  <si>
    <t>забрал ильсур</t>
  </si>
  <si>
    <t>терминал рабочий, но на данном ТС летал</t>
  </si>
  <si>
    <t>па</t>
  </si>
  <si>
    <t>газель м441мр164</t>
  </si>
  <si>
    <t>адм700</t>
  </si>
  <si>
    <t>ИСПРАВЕН</t>
  </si>
  <si>
    <t>ждет назначения даты возврата на базе</t>
  </si>
  <si>
    <t>галилео5.0.</t>
  </si>
  <si>
    <t>производителю(15,11,18 всдутие аккум и сброс пин кода)</t>
  </si>
  <si>
    <t>485\793</t>
  </si>
  <si>
    <t>галилео 5.0</t>
  </si>
  <si>
    <t>хундай портер а277ас73</t>
  </si>
  <si>
    <t>производителю (сброс пин кода 15,11,18)</t>
  </si>
  <si>
    <t>автограф</t>
  </si>
  <si>
    <t>ульяновск нефть</t>
  </si>
  <si>
    <t>к-700</t>
  </si>
  <si>
    <t>к.з.</t>
  </si>
  <si>
    <t>омникомм</t>
  </si>
  <si>
    <t>камаз а493ом73</t>
  </si>
  <si>
    <t>не стабильные показания</t>
  </si>
  <si>
    <t>омникомм lls-af</t>
  </si>
  <si>
    <t>вис-мос</t>
  </si>
  <si>
    <t>камаз х760ов73</t>
  </si>
  <si>
    <t>адм100</t>
  </si>
  <si>
    <t>камаз р259ва 16</t>
  </si>
  <si>
    <t>485\774</t>
  </si>
  <si>
    <t>сухарев</t>
  </si>
  <si>
    <t>мерседес е512вт</t>
  </si>
  <si>
    <t>не выходит на связь(Отсутствие индикации.Вздутие аккумуляторной батареи в следствии привышения предельно допустимого входного напряжения)</t>
  </si>
  <si>
    <t>Топливные баки 3 шт</t>
  </si>
  <si>
    <t>текут</t>
  </si>
  <si>
    <t>отправлен ДПД 31.10.18</t>
  </si>
  <si>
    <t>новый</t>
  </si>
  <si>
    <t>не стабильные показания, (Выявлен производственный дефект ремонту не подлежит)</t>
  </si>
  <si>
    <t>дм-02 автосенсор</t>
  </si>
  <si>
    <t>к700 5556</t>
  </si>
  <si>
    <t>не подключается к пк, выдает вольтаж постоянно</t>
  </si>
  <si>
    <t>замена на дм-03</t>
  </si>
  <si>
    <t>485\552</t>
  </si>
  <si>
    <t>камаз с463сс73</t>
  </si>
  <si>
    <t>не подключается к пк, индикация отсутсвует</t>
  </si>
  <si>
    <t>отправлено вместе с терм из цильны</t>
  </si>
  <si>
    <t>не гаранитя</t>
  </si>
  <si>
    <t xml:space="preserve">сигард литом </t>
  </si>
  <si>
    <t>дорремстрой</t>
  </si>
  <si>
    <t>камаз е644см73</t>
  </si>
  <si>
    <t>отсутствуют спутники(неисправность не подтвержденабданный случай признан гарантийным)</t>
  </si>
  <si>
    <t>вольво е328рт73</t>
  </si>
  <si>
    <t>скочки шумы,некорректные показания (Производственный дефект, ремонту не подлежит, замена по гарантии)</t>
  </si>
  <si>
    <t>смарт2333</t>
  </si>
  <si>
    <t>864811039214601\868345031938889</t>
  </si>
  <si>
    <t>рэд авто</t>
  </si>
  <si>
    <t>газель е083тн 73</t>
  </si>
  <si>
    <t>нет gsm</t>
  </si>
  <si>
    <t>симбирск бетон</t>
  </si>
  <si>
    <t>камаз е672ха73</t>
  </si>
  <si>
    <t>не подключается к пк (производственный брак, ремонту не подлежит Замена по гарантии)</t>
  </si>
  <si>
    <t>галилео 5.0.</t>
  </si>
  <si>
    <t>мрск сволга</t>
  </si>
  <si>
    <t>газ а123ан 73</t>
  </si>
  <si>
    <t>отломлен разьем gsm антенны (Механическое повреждение разъема в результате черезмерного физического воздействия)</t>
  </si>
  <si>
    <t>вольво 327</t>
  </si>
  <si>
    <t>сильные скачки, повреждена гофра изоляция</t>
  </si>
  <si>
    <t>сигард лайт</t>
  </si>
  <si>
    <t>жски</t>
  </si>
  <si>
    <t>hitachi 7933мк13</t>
  </si>
  <si>
    <t>нет индикации</t>
  </si>
  <si>
    <t>omnicomm optim</t>
  </si>
  <si>
    <t>ООО СаранскКабель</t>
  </si>
  <si>
    <t>Е 133 СС</t>
  </si>
  <si>
    <t>Готов к установке (обновили прошивку)</t>
  </si>
  <si>
    <t>отправлен в саранск 28.11</t>
  </si>
  <si>
    <t>миэлта м1</t>
  </si>
  <si>
    <t>868183036005218\868183034058136</t>
  </si>
  <si>
    <t>хлебпром 2</t>
  </si>
  <si>
    <t>газель в005ем73</t>
  </si>
  <si>
    <t>замена модуля Sim868 и Imei\ переведен на остатки склада как новый</t>
  </si>
  <si>
    <t>485\535</t>
  </si>
  <si>
    <t>сигард литом</t>
  </si>
  <si>
    <t>грейдер 0362 ух73</t>
  </si>
  <si>
    <t>передан клиенту 9.01.19</t>
  </si>
  <si>
    <t>галилео base block</t>
  </si>
  <si>
    <t>энергомодуль</t>
  </si>
  <si>
    <t>уаз е320 хт73</t>
  </si>
  <si>
    <t>повторно отправлен в ремонт 11.01.19</t>
  </si>
  <si>
    <t>03.12.2018\11.01.19</t>
  </si>
  <si>
    <t>19.12.2018\18.02.19</t>
  </si>
  <si>
    <t>тепличное</t>
  </si>
  <si>
    <t>газ а823ав73</t>
  </si>
  <si>
    <t>485\809</t>
  </si>
  <si>
    <t>driver id</t>
  </si>
  <si>
    <t xml:space="preserve"> гпн аэро</t>
  </si>
  <si>
    <t>вольво 872</t>
  </si>
  <si>
    <t xml:space="preserve"> зависание звукового сигнала . сигнал постоянно</t>
  </si>
  <si>
    <t>мт700 pro</t>
  </si>
  <si>
    <t>гпн аэро</t>
  </si>
  <si>
    <t>вольво 240</t>
  </si>
  <si>
    <t>скачки спутников</t>
  </si>
  <si>
    <t>fleedguide</t>
  </si>
  <si>
    <t>ставтрэк</t>
  </si>
  <si>
    <t>кз</t>
  </si>
  <si>
    <t>скаут мт 700 pro</t>
  </si>
  <si>
    <t>cкаут\бритиш американ тобакко</t>
  </si>
  <si>
    <t>Газель А 171 МР</t>
  </si>
  <si>
    <t>утиль</t>
  </si>
  <si>
    <t>Не подключается к ПК. Отсутствует индикация спутников</t>
  </si>
  <si>
    <t>ремонт не целесообразен</t>
  </si>
  <si>
    <t>Нет индикации на терминале</t>
  </si>
  <si>
    <t>переведен в фонд подмены</t>
  </si>
  <si>
    <t>Sorozh Pro</t>
  </si>
  <si>
    <t>камаз н779ев73</t>
  </si>
  <si>
    <t>Периодические потери</t>
  </si>
  <si>
    <t>рено е212ра 73</t>
  </si>
  <si>
    <t>не исправен 485 вход</t>
  </si>
  <si>
    <t>отправлено вместе с терм дорремстрой</t>
  </si>
  <si>
    <t>омникомм lls-2</t>
  </si>
  <si>
    <t>ул нефть</t>
  </si>
  <si>
    <t>урал х034ау</t>
  </si>
  <si>
    <t>показания зависли. настройка не помогает</t>
  </si>
  <si>
    <t>камаз в870ху</t>
  </si>
  <si>
    <t>Teltonika FMB 900</t>
  </si>
  <si>
    <t>ГАЗ Х 625 ВН</t>
  </si>
  <si>
    <t>не выходит на связь, хотя индикация в норме</t>
  </si>
  <si>
    <t>передан клиенту 15.01.</t>
  </si>
  <si>
    <t>Периодически пропадает</t>
  </si>
  <si>
    <t>Galileo</t>
  </si>
  <si>
    <t>Вис мос</t>
  </si>
  <si>
    <t>Сломан GSM разъем</t>
  </si>
  <si>
    <t>передан клиенту 15.01</t>
  </si>
  <si>
    <t>15.01,19</t>
  </si>
  <si>
    <t>Galileo 5.0</t>
  </si>
  <si>
    <t>НИИАР</t>
  </si>
  <si>
    <t>Ford Transit А 381 ХС</t>
  </si>
  <si>
    <t>на установку</t>
  </si>
  <si>
    <t>Teltonika 1110</t>
  </si>
  <si>
    <t>Зил К 173 ЕВ</t>
  </si>
  <si>
    <t>Пропадает со связи</t>
  </si>
  <si>
    <t>ип чурбанов саранск</t>
  </si>
  <si>
    <t>даф а468ао</t>
  </si>
  <si>
    <t>периодическое пропадание спутников</t>
  </si>
  <si>
    <t>отправлен в саранск 4.02.19</t>
  </si>
  <si>
    <t>485\580</t>
  </si>
  <si>
    <t>маз е497ут</t>
  </si>
  <si>
    <t>стройавтотрэйд саранск</t>
  </si>
  <si>
    <t>ман 004</t>
  </si>
  <si>
    <t>не работает rs-485</t>
  </si>
  <si>
    <t>ип епифанов</t>
  </si>
  <si>
    <t>скания а385ву73</t>
  </si>
  <si>
    <t>ип мошин</t>
  </si>
  <si>
    <t>донг фенг м569ан73</t>
  </si>
  <si>
    <t>в офис</t>
  </si>
  <si>
    <t>daf в241хх73</t>
  </si>
  <si>
    <t>не подключается к пк, возможно к.з.</t>
  </si>
  <si>
    <t>Блок управления Вебасто</t>
  </si>
  <si>
    <t>ООО ТЭК</t>
  </si>
  <si>
    <t>Неисправность не обнаружена</t>
  </si>
  <si>
    <t>отправлен сдэк 21.01.19</t>
  </si>
  <si>
    <t>ип исаев</t>
  </si>
  <si>
    <t>скания у415оо163</t>
  </si>
  <si>
    <t>вздутие крышки дут.неисправность разьема</t>
  </si>
  <si>
    <t>скаут мт 700 ent open</t>
  </si>
  <si>
    <t>юнис</t>
  </si>
  <si>
    <t>зил 711</t>
  </si>
  <si>
    <t>отсутствует индикация. не подключается к пк</t>
  </si>
  <si>
    <t>360 опл получатель</t>
  </si>
  <si>
    <t>ооо доминион</t>
  </si>
  <si>
    <t>уаз е712та73</t>
  </si>
  <si>
    <t>крышка дут вздута. не подключается к пк</t>
  </si>
  <si>
    <t>к700 5722 ум</t>
  </si>
  <si>
    <t>заменен на дут 3016011000546</t>
  </si>
  <si>
    <t>заменен на дут 3016011000547</t>
  </si>
  <si>
    <t>авиастар</t>
  </si>
  <si>
    <t>чтз 6898уо73</t>
  </si>
  <si>
    <t>заменен на дут  2031000014027\ 4016000057953</t>
  </si>
  <si>
    <t>рено х838вх</t>
  </si>
  <si>
    <t>сигард атом</t>
  </si>
  <si>
    <t>кфх возрождение</t>
  </si>
  <si>
    <t>скания о522ар</t>
  </si>
  <si>
    <t>26.02.2019\08.07</t>
  </si>
  <si>
    <t>садко</t>
  </si>
  <si>
    <t>теряется трэк, режет углы</t>
  </si>
  <si>
    <t xml:space="preserve">отправлен в саранск без ремонта </t>
  </si>
  <si>
    <t>камаз р253ва</t>
  </si>
  <si>
    <t>потеря спутников</t>
  </si>
  <si>
    <t>камазв547ру73</t>
  </si>
  <si>
    <t>заменен на дут 3016010013342</t>
  </si>
  <si>
    <t>скау мт700 pro</t>
  </si>
  <si>
    <t>потеря координат,пропадают спутники</t>
  </si>
  <si>
    <t xml:space="preserve"> поменяли на терминал 421998 \подряд</t>
  </si>
  <si>
    <t>хлебпром 4</t>
  </si>
  <si>
    <t>газель т566вв73</t>
  </si>
  <si>
    <t>485\510</t>
  </si>
  <si>
    <t>вольво е324рт</t>
  </si>
  <si>
    <t>не передает информацию по каналам ain1 и rs485</t>
  </si>
  <si>
    <t>установлен на миля 73 газель 574 07.06.19</t>
  </si>
  <si>
    <t>этель-торг</t>
  </si>
  <si>
    <t>валдай в855тн64</t>
  </si>
  <si>
    <t>нет связи с дут</t>
  </si>
  <si>
    <t>транспортировка за счет омникомм пенза 418р</t>
  </si>
  <si>
    <t>даф в241хх73</t>
  </si>
  <si>
    <t>моаз 4320взт</t>
  </si>
  <si>
    <t>замена на дут 2031010014019-наш,</t>
  </si>
  <si>
    <t>сигард</t>
  </si>
  <si>
    <t>ип симонов</t>
  </si>
  <si>
    <t>даф а113ск73</t>
  </si>
  <si>
    <t>не работает 485 вход</t>
  </si>
  <si>
    <t xml:space="preserve"> ремонт не целесообразен</t>
  </si>
  <si>
    <t>симбирск балтика</t>
  </si>
  <si>
    <t>газ в830ем73</t>
  </si>
  <si>
    <t>малое количество спутников</t>
  </si>
  <si>
    <t>не подключается  к пк</t>
  </si>
  <si>
    <t>смарт2430</t>
  </si>
  <si>
    <t>ип ланков</t>
  </si>
  <si>
    <t>мерседес к705ко73</t>
  </si>
  <si>
    <t>нет сигнала Gsm,пропадают спутники</t>
  </si>
  <si>
    <t>заменен imei 867717030379342</t>
  </si>
  <si>
    <t>мтз 5964 тм</t>
  </si>
  <si>
    <t>метинвест</t>
  </si>
  <si>
    <t>митсубиси к345ех</t>
  </si>
  <si>
    <t>сателлит 16 к.массы</t>
  </si>
  <si>
    <t>эко нефть</t>
  </si>
  <si>
    <t>скания в350хр73</t>
  </si>
  <si>
    <t>не включает и не выключает массу</t>
  </si>
  <si>
    <t xml:space="preserve">не исправен rs 485 </t>
  </si>
  <si>
    <t>485\655</t>
  </si>
  <si>
    <t xml:space="preserve"> галилео 5.0.</t>
  </si>
  <si>
    <t>рено  а084ео73</t>
  </si>
  <si>
    <t>нет приема по gps</t>
  </si>
  <si>
    <t>камаз р253ва16</t>
  </si>
  <si>
    <t>даф к792ем73</t>
  </si>
  <si>
    <t>сгнил разьем</t>
  </si>
  <si>
    <t>антеена атол драйв угловая с Fakra</t>
  </si>
  <si>
    <t>ип букаров</t>
  </si>
  <si>
    <t>ситроен м575вт 40</t>
  </si>
  <si>
    <t>глушит все ближайшие приборы</t>
  </si>
  <si>
    <t>мрск барыш</t>
  </si>
  <si>
    <t>уаз 001</t>
  </si>
  <si>
    <t>хюндай е063тс</t>
  </si>
  <si>
    <t>вольво е324рт73</t>
  </si>
  <si>
    <t>скачки уровня топлива</t>
  </si>
  <si>
    <t>13.05,19</t>
  </si>
  <si>
    <t>гк герасимов</t>
  </si>
  <si>
    <t>рено логан е597хм</t>
  </si>
  <si>
    <t>не работает gps</t>
  </si>
  <si>
    <t>ип валитов</t>
  </si>
  <si>
    <t>скания а845со</t>
  </si>
  <si>
    <t>new holland 2716ух</t>
  </si>
  <si>
    <t>скания о327ум 116</t>
  </si>
  <si>
    <t>эталон агро</t>
  </si>
  <si>
    <t>т150 7346</t>
  </si>
  <si>
    <t>клиент отказался переведен в наш подменный фонд</t>
  </si>
  <si>
    <t>418\440</t>
  </si>
  <si>
    <t>адм 200</t>
  </si>
  <si>
    <t>камаз 924</t>
  </si>
  <si>
    <t>миля 73</t>
  </si>
  <si>
    <t>газель к 574 ох</t>
  </si>
  <si>
    <t>после реионта переходит в подменный фонд наш</t>
  </si>
  <si>
    <t>350/520</t>
  </si>
  <si>
    <t xml:space="preserve">не гарантия </t>
  </si>
  <si>
    <t xml:space="preserve">адм 100 </t>
  </si>
  <si>
    <t>подменный фонд</t>
  </si>
  <si>
    <t>во время движения не строит трэк</t>
  </si>
  <si>
    <t>к700 8668уо</t>
  </si>
  <si>
    <t>новый имей 862273040898058</t>
  </si>
  <si>
    <t>350\520</t>
  </si>
  <si>
    <t>19.08. передан клиенту Юрию Александровичу</t>
  </si>
  <si>
    <t>скаут мт700 ент</t>
  </si>
  <si>
    <t>скаут филипп моррис</t>
  </si>
  <si>
    <t>форд фокус х325рр163</t>
  </si>
  <si>
    <t>нет gps</t>
  </si>
  <si>
    <t>вместо него установлен терминал с подменного фонда скаут</t>
  </si>
  <si>
    <t>камаз р 006ао73</t>
  </si>
  <si>
    <t>420\655</t>
  </si>
  <si>
    <t>передан механику Владимиру 13.09.19</t>
  </si>
  <si>
    <t>сантерра Агро</t>
  </si>
  <si>
    <t>газ к752рн</t>
  </si>
  <si>
    <t>сигард 285</t>
  </si>
  <si>
    <t>дайкок</t>
  </si>
  <si>
    <t>ваз111 н017вв163</t>
  </si>
  <si>
    <t>к.з</t>
  </si>
  <si>
    <t>даф в565рк</t>
  </si>
  <si>
    <t>ремонту не подлежит</t>
  </si>
  <si>
    <t>406\653</t>
  </si>
  <si>
    <t>камаз р 368рр73</t>
  </si>
  <si>
    <t>рено к152тк</t>
  </si>
  <si>
    <t xml:space="preserve"> ип морев саранск</t>
  </si>
  <si>
    <t>камаз у 274та</t>
  </si>
  <si>
    <t>перходит в наш подменный фонд, клиенту продан смарт 2422</t>
  </si>
  <si>
    <t>8 марта саранск</t>
  </si>
  <si>
    <t>Fendit o187мк</t>
  </si>
  <si>
    <t>отпр в саранск</t>
  </si>
  <si>
    <t>дут италон 1500</t>
  </si>
  <si>
    <t>new holland 1440ер</t>
  </si>
  <si>
    <t>камаз р253 ва</t>
  </si>
  <si>
    <t>согласована замена терминала на новый</t>
  </si>
  <si>
    <t>атол драйв</t>
  </si>
  <si>
    <t xml:space="preserve">ооо взлет </t>
  </si>
  <si>
    <t>камаз е384кс73</t>
  </si>
  <si>
    <t>дисплей не отображает информацию</t>
  </si>
  <si>
    <t>ип апаева</t>
  </si>
  <si>
    <t>камаз к796рм73</t>
  </si>
  <si>
    <t>нет индикации, перегорает предохранитель</t>
  </si>
  <si>
    <t>газель к 099ка73</t>
  </si>
  <si>
    <t>терминал исправен</t>
  </si>
  <si>
    <t>420\653</t>
  </si>
  <si>
    <t>зил е091мт73</t>
  </si>
  <si>
    <t>ошибка при подключении</t>
  </si>
  <si>
    <t>газ в155рх73</t>
  </si>
  <si>
    <t>не работает аналоговый выход</t>
  </si>
  <si>
    <t>камаз е083 ом</t>
  </si>
  <si>
    <t>не подключается к пк . имеются мех. повреждения</t>
  </si>
  <si>
    <t>350\350</t>
  </si>
  <si>
    <t>к 701 1029ум73</t>
  </si>
  <si>
    <t>к701 5047ус73</t>
  </si>
  <si>
    <t>зил е 168ме73</t>
  </si>
  <si>
    <t>can way</t>
  </si>
  <si>
    <t>форд гелакси</t>
  </si>
  <si>
    <t>не передает данные на сервер</t>
  </si>
  <si>
    <t>тойота 805</t>
  </si>
  <si>
    <t>350\495</t>
  </si>
  <si>
    <t>камаз а780от73</t>
  </si>
  <si>
    <t>дут рабочий</t>
  </si>
  <si>
    <t>мрск волга ст майна</t>
  </si>
  <si>
    <t>уаз а279мм 73</t>
  </si>
  <si>
    <t>не регистрирует смену координат</t>
  </si>
  <si>
    <t>не гарания</t>
  </si>
  <si>
    <t>терминал омникомм профи</t>
  </si>
  <si>
    <t>сат 444 1549ух</t>
  </si>
  <si>
    <t>не выходит на связь.вздулся акб</t>
  </si>
  <si>
    <t xml:space="preserve">уфсин </t>
  </si>
  <si>
    <t>малая цильна</t>
  </si>
  <si>
    <t>мтз 4749</t>
  </si>
  <si>
    <t>406\435</t>
  </si>
  <si>
    <t>бум 14</t>
  </si>
  <si>
    <t>скачут показания</t>
  </si>
  <si>
    <t>новый дут lls-af 2031010015057</t>
  </si>
  <si>
    <t>к744 4835 ус</t>
  </si>
  <si>
    <t>газ а896ка73</t>
  </si>
  <si>
    <t>зависает в одном положении</t>
  </si>
  <si>
    <t>камаз в434км73</t>
  </si>
  <si>
    <t>новый дут lls-af 2031010015042</t>
  </si>
  <si>
    <t>дм -03</t>
  </si>
  <si>
    <t>бум 668</t>
  </si>
  <si>
    <t>не срабатывает</t>
  </si>
  <si>
    <t>КЛИЕНТ ОТКАЗАЛСЯ ОТ РЕМОНТА</t>
  </si>
  <si>
    <t>атол драйв смарт</t>
  </si>
  <si>
    <t>е29фс600041902f3</t>
  </si>
  <si>
    <t>паз ар184</t>
  </si>
  <si>
    <t>пропадает изображение</t>
  </si>
  <si>
    <t>не проходит вольтаж</t>
  </si>
  <si>
    <t>ип хакимова</t>
  </si>
  <si>
    <t>в129тх</t>
  </si>
  <si>
    <t>рено е656мо</t>
  </si>
  <si>
    <t>пропадет вольтаж от вибрации</t>
  </si>
  <si>
    <t xml:space="preserve">мрск волга </t>
  </si>
  <si>
    <t>газ м999ев</t>
  </si>
  <si>
    <t>405\750</t>
  </si>
  <si>
    <t>405\435</t>
  </si>
  <si>
    <t>а454рк</t>
  </si>
  <si>
    <t>вольво е309рт</t>
  </si>
  <si>
    <t>сильные шумы по значениям</t>
  </si>
  <si>
    <t>хундай р955ем</t>
  </si>
  <si>
    <t>плохо ловит спутники</t>
  </si>
  <si>
    <t>камаз н223вм73</t>
  </si>
  <si>
    <t>вздутие крышки дут.</t>
  </si>
  <si>
    <t>заменен на дут lls-af 2031010014760</t>
  </si>
  <si>
    <t>мтз 2394ох16</t>
  </si>
  <si>
    <t>замыкание при подключении</t>
  </si>
  <si>
    <t>к701 5047ус</t>
  </si>
  <si>
    <t>трещина на корпусе, не подключается</t>
  </si>
  <si>
    <t>газ е811мс73</t>
  </si>
  <si>
    <t>405\675</t>
  </si>
  <si>
    <t>атол смарт</t>
  </si>
  <si>
    <t>F6c28a0104190f2</t>
  </si>
  <si>
    <t>ооо автоэксперт</t>
  </si>
  <si>
    <t>мерцание экрана, пропадает изображение</t>
  </si>
  <si>
    <t>вебасто аир топ 2000</t>
  </si>
  <si>
    <t>ооо криптон</t>
  </si>
  <si>
    <t>катер</t>
  </si>
  <si>
    <t>даф е389то</t>
  </si>
  <si>
    <t>ИП Морев</t>
  </si>
  <si>
    <t>моаз</t>
  </si>
  <si>
    <t>405\655</t>
  </si>
  <si>
    <t>спк свияга</t>
  </si>
  <si>
    <t>камаз к487ох</t>
  </si>
  <si>
    <t>не работает usb/плохо работают кнопки.</t>
  </si>
  <si>
    <t>350\513</t>
  </si>
  <si>
    <t>не выгружает данные на сервер</t>
  </si>
  <si>
    <t>блок скзи 2.11</t>
  </si>
  <si>
    <t>19с799а000385743-19с3а00000385743</t>
  </si>
  <si>
    <t>пк 2202</t>
  </si>
  <si>
    <t>вздута крышка</t>
  </si>
  <si>
    <t>уаз в648мо</t>
  </si>
  <si>
    <t>пропадает со связи. следы окисления</t>
  </si>
  <si>
    <t>отсутствует индикация</t>
  </si>
  <si>
    <t>камаз к924вн73</t>
  </si>
  <si>
    <t xml:space="preserve"> рено е169хр73</t>
  </si>
  <si>
    <t>сломана трубка</t>
  </si>
  <si>
    <t>Тойота в 805хх</t>
  </si>
  <si>
    <t>не ловит Gsm</t>
  </si>
  <si>
    <t>киселева</t>
  </si>
  <si>
    <t>киа оптима к557кх</t>
  </si>
  <si>
    <t>замена на новый 866039047327516</t>
  </si>
  <si>
    <t>управление образования</t>
  </si>
  <si>
    <t>уаз м715еа73</t>
  </si>
  <si>
    <t>405\580</t>
  </si>
  <si>
    <t>пк 5594ус73</t>
  </si>
  <si>
    <t>неверные показания, вздута крышка</t>
  </si>
  <si>
    <t>заменен на дут lls-af 4 4031020000743</t>
  </si>
  <si>
    <t>Рос бекон</t>
  </si>
  <si>
    <t>окисление контактов и к.з</t>
  </si>
  <si>
    <t>19g799b000536317-19g3s00000536310</t>
  </si>
  <si>
    <t>кинг лонг о999мн51</t>
  </si>
  <si>
    <t>нкм не испраен, ошибка и выбрасывает карту</t>
  </si>
  <si>
    <t>скания м938ев</t>
  </si>
  <si>
    <t>паз н452вх73</t>
  </si>
  <si>
    <t>принтер неисправен</t>
  </si>
  <si>
    <t>350\550</t>
  </si>
  <si>
    <t>атол драйв cмарт</t>
  </si>
  <si>
    <t>муп уэт</t>
  </si>
  <si>
    <t>уаз е033кс73</t>
  </si>
  <si>
    <t>сомопроизвольно пропадает изображение</t>
  </si>
  <si>
    <t>350\500</t>
  </si>
  <si>
    <t>71186903021802f3</t>
  </si>
  <si>
    <t>теренгульское атп</t>
  </si>
  <si>
    <t>паз н176тт152</t>
  </si>
  <si>
    <t>не работает первый картоприемник.</t>
  </si>
  <si>
    <t>неисправность не обнаружена</t>
  </si>
  <si>
    <t>камаз в308мс</t>
  </si>
  <si>
    <t>не работают кнопки на клавиатуре. ошибка вскрытие корпуса</t>
  </si>
  <si>
    <t>б\н не читается</t>
  </si>
  <si>
    <t>эо 9905ус</t>
  </si>
  <si>
    <t>заменен на дут lls-af 4 4031020000342</t>
  </si>
  <si>
    <t>хлебпром д-д</t>
  </si>
  <si>
    <t>газель х219еа73</t>
  </si>
  <si>
    <t>не ловит GSM</t>
  </si>
  <si>
    <t>новый имей 866795032118687</t>
  </si>
  <si>
    <t>350\418</t>
  </si>
  <si>
    <t>cмарт 2422</t>
  </si>
  <si>
    <t>скания к403су 73</t>
  </si>
  <si>
    <t>новый имей 866795032118794</t>
  </si>
  <si>
    <t>РуссНефть</t>
  </si>
  <si>
    <t>механические повреждения</t>
  </si>
  <si>
    <t>симбтрансстрой</t>
  </si>
  <si>
    <t>исудзу а 754тт86</t>
  </si>
  <si>
    <t>камаз р473ен73</t>
  </si>
  <si>
    <t>плохо реагирует на кнопки</t>
  </si>
  <si>
    <t xml:space="preserve">атол драйв 5 </t>
  </si>
  <si>
    <t>фирма 112</t>
  </si>
  <si>
    <t>фотон в471мм73</t>
  </si>
  <si>
    <t>350\468</t>
  </si>
  <si>
    <t>мерседес р419св197</t>
  </si>
  <si>
    <t>МОАЗ 45-20ВЗТ</t>
  </si>
  <si>
    <t>525\750</t>
  </si>
  <si>
    <t>авто транс 73</t>
  </si>
  <si>
    <t>газель к521кх73</t>
  </si>
  <si>
    <t>окисления на трассе и разъемах</t>
  </si>
  <si>
    <t>кнопка массы сателлит 24/50</t>
  </si>
  <si>
    <t>камаз к003ео73</t>
  </si>
  <si>
    <t>периодически не отключает массу</t>
  </si>
  <si>
    <t>заменен на 150а24в</t>
  </si>
  <si>
    <t>неисправен слот под карту,внешние повреждения</t>
  </si>
  <si>
    <t>штрих</t>
  </si>
  <si>
    <t>водоканал</t>
  </si>
  <si>
    <t>скания у059вх</t>
  </si>
  <si>
    <t>Дрсу Инза</t>
  </si>
  <si>
    <t>камаз к207рн82</t>
  </si>
  <si>
    <t>пропадают спутники</t>
  </si>
  <si>
    <t>525\528</t>
  </si>
  <si>
    <t>драйв смарт</t>
  </si>
  <si>
    <t>симбирскмет ком</t>
  </si>
  <si>
    <t>ул нефть новоспасск</t>
  </si>
  <si>
    <t>528\478</t>
  </si>
  <si>
    <t>ул нефть якушки</t>
  </si>
  <si>
    <t>к 700</t>
  </si>
  <si>
    <t>Алмакаев Наиль</t>
  </si>
  <si>
    <t>JCB 8017ус</t>
  </si>
  <si>
    <t>неиспрвен gps модуль</t>
  </si>
  <si>
    <t>к-701 1029ум</t>
  </si>
  <si>
    <t>СТС Гермес</t>
  </si>
  <si>
    <t>Гор Тепло</t>
  </si>
  <si>
    <t>Зил к842ес</t>
  </si>
  <si>
    <t>Тройка фарм</t>
  </si>
  <si>
    <t>исудзу 492</t>
  </si>
  <si>
    <t xml:space="preserve"> пропадает изображение</t>
  </si>
  <si>
    <t>отправлен с саранска сдэк</t>
  </si>
  <si>
    <t>к700 5556ус</t>
  </si>
  <si>
    <t>заменен на дут омникомм lls-af 1000  2031011000323</t>
  </si>
  <si>
    <t>ООО Радуга (Чапайкин Сергей Николаевич ИП)</t>
  </si>
  <si>
    <t>даф е825рх73</t>
  </si>
  <si>
    <t>заменен на дут омникомм lls-4 700 4016020000537</t>
  </si>
  <si>
    <t xml:space="preserve">едифанов </t>
  </si>
  <si>
    <t>скания к437хс</t>
  </si>
  <si>
    <t>теряется gsm не подключается</t>
  </si>
  <si>
    <t>оставляем себе после ремонта</t>
  </si>
  <si>
    <t>290\440</t>
  </si>
  <si>
    <t>причал надежды</t>
  </si>
  <si>
    <t>газель е914ко</t>
  </si>
  <si>
    <t>нет изображение. порвана кнопка</t>
  </si>
  <si>
    <t>290\393</t>
  </si>
  <si>
    <t>заменен на дут омникомм lls-4 700 4016020000523</t>
  </si>
  <si>
    <t>мтз 6801</t>
  </si>
  <si>
    <t>ооо мсд</t>
  </si>
  <si>
    <t>мтз 7319</t>
  </si>
  <si>
    <t xml:space="preserve">ИП Воронин С. И. </t>
  </si>
  <si>
    <t>хтз</t>
  </si>
  <si>
    <t>Атол драйв 5</t>
  </si>
  <si>
    <t>Ульяновский НИИСХ</t>
  </si>
  <si>
    <t>кавз в890ко</t>
  </si>
  <si>
    <t>не включается</t>
  </si>
  <si>
    <t>329\363</t>
  </si>
  <si>
    <t>ООО Тэк</t>
  </si>
  <si>
    <t>Маз р803ау12</t>
  </si>
  <si>
    <t>разбит экран</t>
  </si>
  <si>
    <t>329\576</t>
  </si>
  <si>
    <t>528\465</t>
  </si>
  <si>
    <t>мерседес к 517нр73</t>
  </si>
  <si>
    <t>зил к842ес73</t>
  </si>
  <si>
    <t>газ о842ок</t>
  </si>
  <si>
    <t>нет индикации, gsm не отвечает</t>
  </si>
  <si>
    <t xml:space="preserve">дут италон </t>
  </si>
  <si>
    <t>камаз к248нт</t>
  </si>
  <si>
    <t>выход из строя в результате повреждения проводки</t>
  </si>
  <si>
    <t>рено 373</t>
  </si>
  <si>
    <t>при монтаже показания падают до 0л</t>
  </si>
  <si>
    <t>б-170</t>
  </si>
  <si>
    <t xml:space="preserve">атол смарт </t>
  </si>
  <si>
    <t>хлынов</t>
  </si>
  <si>
    <t>валдай е882сн716</t>
  </si>
  <si>
    <t>пропало изображение</t>
  </si>
  <si>
    <t>газ х625вн73</t>
  </si>
  <si>
    <t>дут италон 1.5</t>
  </si>
  <si>
    <t>new holland 1440</t>
  </si>
  <si>
    <t>русс нефть</t>
  </si>
  <si>
    <t>камаз 744</t>
  </si>
  <si>
    <t>скаут мт700 еnt</t>
  </si>
  <si>
    <t>зил е711рн73</t>
  </si>
  <si>
    <t>отправлено сдеком за счет получателя</t>
  </si>
  <si>
    <t>Ульяновск Курорт</t>
  </si>
  <si>
    <t>ЛиАЗ е259тв73</t>
  </si>
  <si>
    <t xml:space="preserve">ошибка поиска данных. </t>
  </si>
  <si>
    <t>ип федосеев</t>
  </si>
  <si>
    <t>газон некст  к285со73</t>
  </si>
  <si>
    <t>пропадает со связи.</t>
  </si>
  <si>
    <t>после ремонта оставляем себе</t>
  </si>
  <si>
    <t>Сантерра Агро</t>
  </si>
  <si>
    <t>акрос 2105</t>
  </si>
  <si>
    <t>261\440</t>
  </si>
  <si>
    <t>погрузчик 3314ух73</t>
  </si>
  <si>
    <t>745св305041902f3</t>
  </si>
  <si>
    <t>химтэкс рти</t>
  </si>
  <si>
    <t>паз е776сн</t>
  </si>
  <si>
    <t>наш технологический</t>
  </si>
  <si>
    <t>слетело по</t>
  </si>
  <si>
    <t>верест</t>
  </si>
  <si>
    <t>Газель К350КО</t>
  </si>
  <si>
    <t>периодическое зависание терминала без последующей выгрузки данных</t>
  </si>
  <si>
    <t>т-150 6327</t>
  </si>
  <si>
    <t>при подключении питания перегорает предохранитель</t>
  </si>
  <si>
    <t>кировец 3183 нх73</t>
  </si>
  <si>
    <t>ооо стройком</t>
  </si>
  <si>
    <t>xgma 6175ak</t>
  </si>
  <si>
    <t>шумы. скачки пустой\полный</t>
  </si>
  <si>
    <t>Соя Поволжья</t>
  </si>
  <si>
    <t>маз к644рк73</t>
  </si>
  <si>
    <t>мерцает изображение.пропадает изображение</t>
  </si>
  <si>
    <t>маз в 705хх</t>
  </si>
  <si>
    <t>отключается через некоторое время при стабильном питании</t>
  </si>
  <si>
    <t>ип салюкин</t>
  </si>
  <si>
    <t>т-150 3712уо73</t>
  </si>
  <si>
    <t>dfm -250d</t>
  </si>
  <si>
    <t>f100039851</t>
  </si>
  <si>
    <t>лукьяновский ГОК</t>
  </si>
  <si>
    <t>неисправность установить</t>
  </si>
  <si>
    <t>329\250</t>
  </si>
  <si>
    <t>автограф gsm+</t>
  </si>
  <si>
    <t>450\370</t>
  </si>
  <si>
    <t>ИП Хайруллов</t>
  </si>
  <si>
    <t>газель в242ен73</t>
  </si>
  <si>
    <t>не читает сим</t>
  </si>
  <si>
    <t>фм таралина</t>
  </si>
  <si>
    <t>скания а 114кв</t>
  </si>
  <si>
    <t>завис в максимальном значении</t>
  </si>
  <si>
    <t>камаз н215вм 73</t>
  </si>
  <si>
    <t>русснефть</t>
  </si>
  <si>
    <t>камаз е915нр</t>
  </si>
  <si>
    <t>528\356</t>
  </si>
  <si>
    <t>не работает звуковое оповещение</t>
  </si>
  <si>
    <t>камаз к845сх</t>
  </si>
  <si>
    <t>хаотичные показания. не сохраняет настройки</t>
  </si>
  <si>
    <t>камаз к047ех73</t>
  </si>
  <si>
    <t>ооо сапфир</t>
  </si>
  <si>
    <t>рено к115тв</t>
  </si>
  <si>
    <t>не работает gsm</t>
  </si>
  <si>
    <t>уаз к653ке73</t>
  </si>
  <si>
    <t>заменен на дут омникомм 2023008968</t>
  </si>
  <si>
    <t>заменен на дут омникомм 2023008969</t>
  </si>
  <si>
    <t>ооо новый дом</t>
  </si>
  <si>
    <t>газель а339ре</t>
  </si>
  <si>
    <t>не ловит спутники не подключается к пк</t>
  </si>
  <si>
    <t>уаз с159ев73</t>
  </si>
  <si>
    <t>отломлены креплния антенн</t>
  </si>
  <si>
    <t>мерседес е141хо73</t>
  </si>
  <si>
    <t>слабый gsm сигнал</t>
  </si>
  <si>
    <t>Воронин</t>
  </si>
  <si>
    <t>камаз к 459кк73</t>
  </si>
  <si>
    <t>камаз  е174рн73</t>
  </si>
  <si>
    <t>заменен на дут омникомм lls4 4016020001786</t>
  </si>
  <si>
    <t>т.н. pd42</t>
  </si>
  <si>
    <t>ип горохов</t>
  </si>
  <si>
    <t>не работает</t>
  </si>
  <si>
    <t>ман к696ен</t>
  </si>
  <si>
    <t>не подключается к пк. вздута крышка. сломана гофра</t>
  </si>
  <si>
    <t>заменен на дут омникомм lls 4af 4031020001017</t>
  </si>
  <si>
    <t>нагнетатель воздуха сб 3532</t>
  </si>
  <si>
    <t>34900006084   34900010251  34900010201</t>
  </si>
  <si>
    <t>отопитель не запускается, не исправен нагнетатель воздуха</t>
  </si>
  <si>
    <t>паз в527му</t>
  </si>
  <si>
    <t>не подключается к пк.  не корректная индикация</t>
  </si>
  <si>
    <t>камаз к 248нт</t>
  </si>
  <si>
    <t>м 242</t>
  </si>
  <si>
    <t>у244те рено</t>
  </si>
  <si>
    <t>газель в501ка</t>
  </si>
  <si>
    <t>погрузчик 3314 ух</t>
  </si>
  <si>
    <t>дут омникомм lls af</t>
  </si>
  <si>
    <t>паз в889ер73</t>
  </si>
  <si>
    <t>не передает данные на терминал.по аналоговому сигналу выдает бортовое напряжение</t>
  </si>
  <si>
    <t>заменен на дут омникомм lls-af4 4031020001087</t>
  </si>
  <si>
    <t>галилео 2.3 лайт</t>
  </si>
  <si>
    <t>дкб</t>
  </si>
  <si>
    <t>фиат н505во</t>
  </si>
  <si>
    <t>не подключается к пе . отваоивается gsm модуль</t>
  </si>
  <si>
    <t>525\575</t>
  </si>
  <si>
    <t>41fc6c02061802f3</t>
  </si>
  <si>
    <t>технологический</t>
  </si>
  <si>
    <t>ремонт за счет Патапкина А.Ю.</t>
  </si>
  <si>
    <t>290\365</t>
  </si>
  <si>
    <t>дут Италон</t>
  </si>
  <si>
    <t>камаз в 906ур73</t>
  </si>
  <si>
    <t>не подключается к пк. замкнут</t>
  </si>
  <si>
    <t>Инвест Строй</t>
  </si>
  <si>
    <t>даф м613ре</t>
  </si>
  <si>
    <t>мерседес к 707на</t>
  </si>
  <si>
    <t>дут исправен</t>
  </si>
  <si>
    <t>290\668</t>
  </si>
  <si>
    <t>датчик escort tl ble</t>
  </si>
  <si>
    <t>ип калачин</t>
  </si>
  <si>
    <t>быстро разряжается. следы окисления на плате</t>
  </si>
  <si>
    <t>ремоет</t>
  </si>
  <si>
    <t>быстро разряжается акб</t>
  </si>
  <si>
    <t>батарея заменена</t>
  </si>
  <si>
    <t>газ о701еа</t>
  </si>
  <si>
    <t xml:space="preserve">сигнал 2651 </t>
  </si>
  <si>
    <t>камаз е064ур</t>
  </si>
  <si>
    <t>290\585</t>
  </si>
  <si>
    <t>Fan Control</t>
  </si>
  <si>
    <t>3610ssic</t>
  </si>
  <si>
    <t>210\220</t>
  </si>
  <si>
    <t>д.с. 2166</t>
  </si>
  <si>
    <t>ип халимдаров</t>
  </si>
  <si>
    <t>нет импульсов</t>
  </si>
  <si>
    <t>багира</t>
  </si>
  <si>
    <t>jac м915ре73</t>
  </si>
  <si>
    <t>20h799b003675787-20h3s00003675780</t>
  </si>
  <si>
    <t xml:space="preserve"> шаг 1 выполнен. на сервере не появился. в ожидании ответа.</t>
  </si>
  <si>
    <t>ооо русснефть новоспасское</t>
  </si>
  <si>
    <t>краз 0337вк73</t>
  </si>
  <si>
    <t>528\386</t>
  </si>
  <si>
    <t>к 744 4988ус</t>
  </si>
  <si>
    <t>утес</t>
  </si>
  <si>
    <t>зил с396оу</t>
  </si>
  <si>
    <t>заменен на дут омникомм lls-af4 4031020001232</t>
  </si>
  <si>
    <t>уаз м308ер</t>
  </si>
  <si>
    <t>заменен на дут омникомм lls4 700 4016010000457</t>
  </si>
  <si>
    <t>управление делами</t>
  </si>
  <si>
    <t>газ 3102</t>
  </si>
  <si>
    <t>не рнагирует на питание</t>
  </si>
  <si>
    <t>ооо малая цильна</t>
  </si>
  <si>
    <t>камаз р 259 ва</t>
  </si>
  <si>
    <t>кфх сяпуков</t>
  </si>
  <si>
    <t>т 150 2698 уо</t>
  </si>
  <si>
    <t>обл водоканал карсун</t>
  </si>
  <si>
    <t>газ 529</t>
  </si>
  <si>
    <t>зависает</t>
  </si>
  <si>
    <t>новый имей 862531045731222</t>
  </si>
  <si>
    <t>камаз 272</t>
  </si>
  <si>
    <t>отваливаются показания</t>
  </si>
  <si>
    <t>ооо малая цильна(наш подменный)</t>
  </si>
  <si>
    <t>камаз р259 ва</t>
  </si>
  <si>
    <t>при подключении питания идет сильный нагрев элементов платы</t>
  </si>
  <si>
    <t>ип аксенов</t>
  </si>
  <si>
    <t>скания а580ом716</t>
  </si>
  <si>
    <t>скачки показаний</t>
  </si>
  <si>
    <t>скания а966ру716</t>
  </si>
  <si>
    <t>камаз к784ср73</t>
  </si>
  <si>
    <t>форт 300</t>
  </si>
  <si>
    <t>зил в 718ам</t>
  </si>
  <si>
    <t>неисправен gsm,перезагружается. не обновляется</t>
  </si>
  <si>
    <t>форт 111</t>
  </si>
  <si>
    <t>не выходит на связь. не обновляется</t>
  </si>
  <si>
    <t>автограф sl</t>
  </si>
  <si>
    <t>подмена</t>
  </si>
  <si>
    <t>тахограф атол смарт</t>
  </si>
  <si>
    <t>был выведен из технологического по ошибке</t>
  </si>
  <si>
    <t>хино</t>
  </si>
  <si>
    <t>русс нефть якушка</t>
  </si>
  <si>
    <t>полеты. не верно определяет координаты</t>
  </si>
  <si>
    <t xml:space="preserve"> газ м474нв</t>
  </si>
  <si>
    <t>пропадают Gsm и Gps</t>
  </si>
  <si>
    <t>урал м 827хт</t>
  </si>
  <si>
    <t>20j3s00003939505</t>
  </si>
  <si>
    <t>паттранс</t>
  </si>
  <si>
    <t>газон м068нс73</t>
  </si>
  <si>
    <t>русснефть якушки</t>
  </si>
  <si>
    <t>урал х034ау73</t>
  </si>
  <si>
    <t>528\750</t>
  </si>
  <si>
    <t>автобусы 63</t>
  </si>
  <si>
    <t>лиаз а769ук763</t>
  </si>
  <si>
    <t>реионт</t>
  </si>
  <si>
    <t>мерцание экрана</t>
  </si>
  <si>
    <t>ип кирюхина</t>
  </si>
  <si>
    <t>вольво в 187ну</t>
  </si>
  <si>
    <t>заменен на дут омникомм lls-4 4016020002477</t>
  </si>
  <si>
    <t>мтз 0369 ух</t>
  </si>
  <si>
    <t>остров джус</t>
  </si>
  <si>
    <t>газель м273вх73</t>
  </si>
  <si>
    <t>нет изображения</t>
  </si>
  <si>
    <t>291\550</t>
  </si>
  <si>
    <t>скзи 2.11</t>
  </si>
  <si>
    <t>21e799b006380361-21e3s00006380364</t>
  </si>
  <si>
    <t>не загружает сертификаты</t>
  </si>
  <si>
    <t>возмещено на карту Гуле стоимость нкм</t>
  </si>
  <si>
    <t xml:space="preserve"> скачки, не подключается к пк</t>
  </si>
  <si>
    <t>525\525</t>
  </si>
  <si>
    <t>калинова</t>
  </si>
  <si>
    <t>камаз в230рр</t>
  </si>
  <si>
    <t>камаз м535мк</t>
  </si>
  <si>
    <t>65d83703061802f3</t>
  </si>
  <si>
    <t>ульяновский хладокомбинат</t>
  </si>
  <si>
    <t>хундай к555ке73</t>
  </si>
  <si>
    <t>не печаиает. ошибка печати.</t>
  </si>
  <si>
    <t>видеокамера мобирег</t>
  </si>
  <si>
    <t>bk045720400602</t>
  </si>
  <si>
    <t>скания м796хн73</t>
  </si>
  <si>
    <t>половина изображ на мониторе черное</t>
  </si>
  <si>
    <t>камаз м176 ре</t>
  </si>
  <si>
    <t>261\590</t>
  </si>
  <si>
    <t>скания к292не73</t>
  </si>
  <si>
    <t>скания к 021ех</t>
  </si>
  <si>
    <t>вольво а851нх</t>
  </si>
  <si>
    <t>зил е365ве</t>
  </si>
  <si>
    <t xml:space="preserve">такси сервис </t>
  </si>
  <si>
    <t>рено логан к617ко</t>
  </si>
  <si>
    <t>не видит сим карту</t>
  </si>
  <si>
    <t>исправно</t>
  </si>
  <si>
    <t>рено в373вт</t>
  </si>
  <si>
    <t>коррозия в фишке. в самом дуте ржавчина</t>
  </si>
  <si>
    <t>оставили у себя на складе, дут рабочий повреждена только фишка\передан в ит отдел для диагностик</t>
  </si>
  <si>
    <t>скания а355хн73</t>
  </si>
  <si>
    <t>метсплав торг</t>
  </si>
  <si>
    <t>скания р949хк</t>
  </si>
  <si>
    <t>слабый сигнал gsm</t>
  </si>
  <si>
    <t>скания к 283хн73</t>
  </si>
  <si>
    <t xml:space="preserve">не исправен gps </t>
  </si>
  <si>
    <t>скания а 185тн73</t>
  </si>
  <si>
    <t>скания м196вк73</t>
  </si>
  <si>
    <t>Федоренко сн</t>
  </si>
  <si>
    <t>вольво у620ак193</t>
  </si>
  <si>
    <t>вышел срок гарантии</t>
  </si>
  <si>
    <t>зависают показания</t>
  </si>
  <si>
    <t>передано в италон 17.11</t>
  </si>
  <si>
    <t>санатуллов рт</t>
  </si>
  <si>
    <t>хладокомбинат</t>
  </si>
  <si>
    <t>газель р045хс73</t>
  </si>
  <si>
    <t>не выходит на связь</t>
  </si>
  <si>
    <t>подключается к пк. но выдает ошибку</t>
  </si>
  <si>
    <t>передано в италон 24.11</t>
  </si>
  <si>
    <t>нкм 2.11</t>
  </si>
  <si>
    <t>ооо правый берег</t>
  </si>
  <si>
    <t>перестал принимать карту водителя с данным скзи</t>
  </si>
  <si>
    <t>зил м473то73</t>
  </si>
  <si>
    <t>маз р453хт73</t>
  </si>
  <si>
    <t>нет показаний, после обновления ситуация не меняется</t>
  </si>
  <si>
    <t>скания м196вк 73</t>
  </si>
  <si>
    <t>не верные показания</t>
  </si>
  <si>
    <t>ульяновсккурорт</t>
  </si>
  <si>
    <t>уаз к409рк</t>
  </si>
  <si>
    <t>зайнуллин</t>
  </si>
  <si>
    <t>тойота камри е333вн73</t>
  </si>
  <si>
    <t>к.з. в результате попадания влаги</t>
  </si>
  <si>
    <t>галилео 7xc</t>
  </si>
  <si>
    <t>нива е247рк73</t>
  </si>
  <si>
    <t>ловит мало спутников</t>
  </si>
  <si>
    <t>525/790</t>
  </si>
  <si>
    <t xml:space="preserve">энергомодуль </t>
  </si>
  <si>
    <t>уаз а 673ев73</t>
  </si>
  <si>
    <t>ловит мало спуутников</t>
  </si>
  <si>
    <t>525\790</t>
  </si>
  <si>
    <t>газ е995мр</t>
  </si>
  <si>
    <t>не передает данные,после перепрошивки  выдает ошибку</t>
  </si>
  <si>
    <t>ип юриков</t>
  </si>
  <si>
    <t>газель м930тс</t>
  </si>
  <si>
    <t>после прошивки дут выдает ошибку</t>
  </si>
  <si>
    <t>ип зарубин</t>
  </si>
  <si>
    <t>мерседес м606тр73</t>
  </si>
  <si>
    <t xml:space="preserve">птр флот </t>
  </si>
  <si>
    <t>плав кран 1570</t>
  </si>
  <si>
    <t>не подключается к пк. мех повреждения</t>
  </si>
  <si>
    <t>Старостин</t>
  </si>
  <si>
    <t>скания в307ет</t>
  </si>
  <si>
    <t>хаотичные показания,механическое повреждение измирительной трубки</t>
  </si>
  <si>
    <t>перестал выходить на связь. не выгружает данные</t>
  </si>
  <si>
    <t>хисамутдинов рр</t>
  </si>
  <si>
    <t>камаз н081вс18</t>
  </si>
  <si>
    <t>выдает низкое напряжение. перевод в технолог фонд</t>
  </si>
  <si>
    <t>261\369</t>
  </si>
  <si>
    <t>ип едифанов</t>
  </si>
  <si>
    <t>скания м673то73</t>
  </si>
  <si>
    <t>шакман р465хе</t>
  </si>
  <si>
    <t>шакман р972хс</t>
  </si>
  <si>
    <t>шакман р415хн</t>
  </si>
  <si>
    <t>29.03,22</t>
  </si>
  <si>
    <t>481\561</t>
  </si>
  <si>
    <t>261\510</t>
  </si>
  <si>
    <t>23ас4а00022002f3</t>
  </si>
  <si>
    <t>жиз</t>
  </si>
  <si>
    <t>камаз к137ат163</t>
  </si>
  <si>
    <t>ошибка неверное состояние нкм. не загружается</t>
  </si>
  <si>
    <t>ип федоренко</t>
  </si>
  <si>
    <t>вольво у 620 ак</t>
  </si>
  <si>
    <t>аврора дмф</t>
  </si>
  <si>
    <t>маз х069тм63</t>
  </si>
  <si>
    <t>нет стабильного импульсного сигнала</t>
  </si>
  <si>
    <t>скания а035мр</t>
  </si>
  <si>
    <t>завис на ошибке 4094</t>
  </si>
  <si>
    <t>показывает ошибку. не исправен</t>
  </si>
  <si>
    <t>ман х327нр</t>
  </si>
  <si>
    <t>ип ляпин</t>
  </si>
  <si>
    <t>ман е635хе73</t>
  </si>
  <si>
    <t>завис на показании 0л</t>
  </si>
  <si>
    <r>
      <rPr>
        <b/>
        <sz val="10"/>
        <rFont val="Calibri"/>
        <family val="2"/>
        <charset val="204"/>
        <scheme val="minor"/>
      </rPr>
      <t>Движение прибора</t>
    </r>
    <r>
      <rPr>
        <sz val="11"/>
        <color theme="1"/>
        <rFont val="Calibri"/>
        <family val="2"/>
        <charset val="204"/>
        <scheme val="minor"/>
      </rPr>
      <t xml:space="preserve"> </t>
    </r>
  </si>
  <si>
    <t>995 от 23.12.21</t>
  </si>
  <si>
    <t>Метан KIT ALEX 4 цил (Tyrion+Flipper\ Ultra 360)</t>
  </si>
  <si>
    <t>Склад ГЕО</t>
  </si>
  <si>
    <t>х64staa2942c</t>
  </si>
  <si>
    <t>мамедов</t>
  </si>
  <si>
    <t>ярков са</t>
  </si>
  <si>
    <t>Мини КИТ Alex Diesel</t>
  </si>
  <si>
    <t>бн</t>
  </si>
  <si>
    <t>ИНФИНИТИ ГРУПП ООО</t>
  </si>
  <si>
    <t>Договор у клиента на ГИТ Сервис</t>
  </si>
  <si>
    <t>211117102011, 211117095443, 21111710251, 21111710241</t>
  </si>
  <si>
    <t>ГРЭЙТКОМП ООО</t>
  </si>
  <si>
    <t>211122064700, 211122064647, 211122064620, 211122064200</t>
  </si>
  <si>
    <t>78 от 7.02.22</t>
  </si>
  <si>
    <t>201019131906, 201019132022, 201016103905, 210116104124</t>
  </si>
  <si>
    <t>Комплексное снабжение и логистика</t>
  </si>
  <si>
    <t>104 от 1.03.22</t>
  </si>
  <si>
    <t>б\н</t>
  </si>
  <si>
    <t>20109133016,201019133224,201020062542,201020062607</t>
  </si>
  <si>
    <t>ах001002100060</t>
  </si>
  <si>
    <t>121 от 01.03.22</t>
  </si>
  <si>
    <t>210709115302,210709115525.210709115728,210709115911</t>
  </si>
  <si>
    <t>ах001002100046</t>
  </si>
  <si>
    <t>Б\н</t>
  </si>
  <si>
    <t>21108090951,21108093016,21108093247,21108094135</t>
  </si>
  <si>
    <t>127 от 05.03.22</t>
  </si>
  <si>
    <t>Мини Кит Alex Diesel</t>
  </si>
  <si>
    <t>210709120309,210709120914,210709120816,210709120850</t>
  </si>
  <si>
    <t>ах001002100048</t>
  </si>
  <si>
    <t>131 от 05.03.22</t>
  </si>
  <si>
    <t>Kit Alex Premium 4цил</t>
  </si>
  <si>
    <t>остатки склад на 31.12.2021</t>
  </si>
  <si>
    <t xml:space="preserve">Баллон  тороидальный Atiker полнотелый 92л 720х270
</t>
  </si>
  <si>
    <t>паспорт потрепанный-не видно дату выпуска</t>
  </si>
  <si>
    <t xml:space="preserve">Баллон Atiker внутр.ТОР-61 720х200
</t>
  </si>
  <si>
    <t xml:space="preserve">Баллон газ. БАЖ 60-299
</t>
  </si>
  <si>
    <t>01.21</t>
  </si>
  <si>
    <t>Баллон покупали для клиента у которого на баллоне было вместо 60 л написано 30л</t>
  </si>
  <si>
    <t xml:space="preserve">Баллон НЗГА .30л (300*501мм)
</t>
  </si>
  <si>
    <t>05.16</t>
  </si>
  <si>
    <t>паспорта своего нет, есть пустой</t>
  </si>
  <si>
    <t xml:space="preserve">Баллон тор внутренний 60л (630х250) БАЖ
</t>
  </si>
  <si>
    <t xml:space="preserve">Баллон БА 47.20.327/860 ТИП 3
</t>
  </si>
  <si>
    <t>202\70</t>
  </si>
  <si>
    <t>01.19</t>
  </si>
  <si>
    <t>203\70</t>
  </si>
  <si>
    <t xml:space="preserve">Баллон метан Тип1 Wenzhou 70 л (356-925)
</t>
  </si>
  <si>
    <t>70-cd056-087</t>
  </si>
  <si>
    <t>закончилась опресовка\нет паспорта под таким номером</t>
  </si>
  <si>
    <t xml:space="preserve">Баллон метан Тип1 Wenzhou 82 л (356-1105)
</t>
  </si>
  <si>
    <t>82-mf036-008</t>
  </si>
  <si>
    <t>01.18</t>
  </si>
  <si>
    <t>закончилась опресовка</t>
  </si>
  <si>
    <t xml:space="preserve">Баллон КПГ-2 90 л 425/940 мм, 71 кг, SINOMA
</t>
  </si>
  <si>
    <t>салдушкин</t>
  </si>
  <si>
    <t xml:space="preserve">Баллон КПГ-2, 90л. 406/900,69 кг. LITE
</t>
  </si>
  <si>
    <t>hye004</t>
  </si>
  <si>
    <t>элендюков</t>
  </si>
  <si>
    <t xml:space="preserve">Баллон ТИП-2 Sinoma CNP2-G-425-90-20B
</t>
  </si>
  <si>
    <t xml:space="preserve">Баллон ТИП-2 Sinoma CNP2-G-425-80-20B
</t>
  </si>
  <si>
    <t xml:space="preserve">Баллон транспортный БТ-50-20-254/1 262-Т ТУ 1410-007-29416612-2005 (без характеристик)
</t>
  </si>
  <si>
    <t>коваленко еа</t>
  </si>
  <si>
    <t>отпралено в магнитогорск</t>
  </si>
  <si>
    <t>Баллон транспортный БТ-50-20-254/1 262-Т ТУ 1410-007-29416612-2005 (без характеристик)</t>
  </si>
  <si>
    <t xml:space="preserve">Баллон транспортный БТ-50-20-322/827-Т ТУ 1410-007-29416612-2005; ч. 2-146.000-05;(Без характеристик
</t>
  </si>
  <si>
    <t>147\001</t>
  </si>
  <si>
    <t>01.20</t>
  </si>
  <si>
    <t>зеленов</t>
  </si>
  <si>
    <t xml:space="preserve">Газовый баллон высокого давления (СПГ-1) Емкость 80 литров, 406 мм
</t>
  </si>
  <si>
    <t>тт0016749п</t>
  </si>
  <si>
    <t>10.20</t>
  </si>
  <si>
    <t>бутырин</t>
  </si>
  <si>
    <t xml:space="preserve">Газовый баллон БТ-52-20-219/1652-Т
</t>
  </si>
  <si>
    <t>121\049</t>
  </si>
  <si>
    <t>09.21</t>
  </si>
  <si>
    <t>131\048</t>
  </si>
  <si>
    <t>119\049</t>
  </si>
  <si>
    <t>120\047</t>
  </si>
  <si>
    <t>132\048</t>
  </si>
  <si>
    <t>067\052</t>
  </si>
  <si>
    <t>128\048</t>
  </si>
  <si>
    <t>128\050</t>
  </si>
  <si>
    <t>ярков</t>
  </si>
  <si>
    <t>125\049</t>
  </si>
  <si>
    <t>070\052</t>
  </si>
  <si>
    <t>184\063</t>
  </si>
  <si>
    <t>11.21</t>
  </si>
  <si>
    <t>190\063</t>
  </si>
  <si>
    <t>189\063</t>
  </si>
  <si>
    <t>192\062</t>
  </si>
  <si>
    <t xml:space="preserve">Баллон транспортный БТ-39-20-322/680-Т
</t>
  </si>
  <si>
    <t>133\014</t>
  </si>
  <si>
    <t>118\014</t>
  </si>
  <si>
    <t>Газовый баллон высокого давления 150л, 356 мм</t>
  </si>
  <si>
    <t>001210\7</t>
  </si>
  <si>
    <t>06.21</t>
  </si>
  <si>
    <t xml:space="preserve">Вентиль баллонный автоматический EMER MCR110, М12*1, 12V с AMP разъемом
</t>
  </si>
  <si>
    <t>не читается</t>
  </si>
  <si>
    <t>бу</t>
  </si>
  <si>
    <t>трефилов</t>
  </si>
  <si>
    <t>грейткомп</t>
  </si>
  <si>
    <t>иванко</t>
  </si>
  <si>
    <t xml:space="preserve">Вентиль баллонный автоматический OMB ORION M14x1 24V SUPERSEAL
</t>
  </si>
  <si>
    <t xml:space="preserve">Вентиль заправочный EMER VALC450 (осн)
</t>
  </si>
  <si>
    <t xml:space="preserve">Вентиль заправочный метан ОМБ рос. стандарт под трубку D 8 мм
</t>
  </si>
  <si>
    <t>с04351944</t>
  </si>
  <si>
    <t>26.19</t>
  </si>
  <si>
    <t>179 от14.01.22</t>
  </si>
  <si>
    <t>Ужва В.О.</t>
  </si>
  <si>
    <t>баллон стальной бесшовный тип1 д356\150\200бар</t>
  </si>
  <si>
    <t>08.21</t>
  </si>
  <si>
    <t>7 от 6.02.22</t>
  </si>
  <si>
    <t>Газ маркет</t>
  </si>
  <si>
    <t>11 от 24.02.22</t>
  </si>
  <si>
    <t>газ маркет</t>
  </si>
  <si>
    <t>газовый баллон высокого давления 120л 356мм</t>
  </si>
  <si>
    <t>yy003857</t>
  </si>
  <si>
    <t>yy003921</t>
  </si>
  <si>
    <t>yy003953</t>
  </si>
  <si>
    <t>14 от4.03.22</t>
  </si>
  <si>
    <t>ужва</t>
  </si>
  <si>
    <t>газовый баллон высокого давления 80л 356мм</t>
  </si>
  <si>
    <t>vv004461</t>
  </si>
  <si>
    <t>газовый баллон высокого давления 100л 356</t>
  </si>
  <si>
    <t>13 от 4.03.22</t>
  </si>
  <si>
    <t>газовый баллон высокого давления 150л 356мм</t>
  </si>
  <si>
    <t>марафон пермь</t>
  </si>
  <si>
    <t>баж 95</t>
  </si>
  <si>
    <t>идеал авто</t>
  </si>
  <si>
    <t>ульяновскводоканал</t>
  </si>
  <si>
    <t>паз е423ху73</t>
  </si>
  <si>
    <t>22b799b008555996-22b3s00008555999</t>
  </si>
  <si>
    <t>22b799b008546581-22b3s00008546584</t>
  </si>
  <si>
    <t>22b799b008545047-22b3s00008545040</t>
  </si>
  <si>
    <t>22b799b008547811-22b3s00008547814</t>
  </si>
  <si>
    <t>22b799b008557117-22b3s00008557110</t>
  </si>
  <si>
    <t>22b799b008568817-22b3s00008568810</t>
  </si>
  <si>
    <t>22b799b008555392-22b3s00008555395</t>
  </si>
  <si>
    <t>22b799b008552225-22b3s00008552228</t>
  </si>
  <si>
    <t>22b799b008559444-22b3s00008559447</t>
  </si>
  <si>
    <t>22b799b008570607-22b3s00008570600</t>
  </si>
  <si>
    <t>отопитель вебасто tt evo start 12v dizel</t>
  </si>
  <si>
    <t>2386\4</t>
  </si>
  <si>
    <t>бп-349 от14.03.22</t>
  </si>
  <si>
    <t>ООО Резол-альтернативное топливо</t>
  </si>
  <si>
    <t>комплект электроники DDF PRO AG Diesel 12v</t>
  </si>
  <si>
    <t>Газовая форсунка Hercules DLBF</t>
  </si>
  <si>
    <t>корпус для установки газ форсунок 2цил</t>
  </si>
  <si>
    <t>GZ897 H1.9 Штуцер для форсунки HERCULES</t>
  </si>
  <si>
    <t>26 от 30.03.22</t>
  </si>
  <si>
    <t>газ-маркет</t>
  </si>
  <si>
    <t>комплект КПГ KIT EASY GAS RI27-J M32 4C</t>
  </si>
  <si>
    <t>Автоматический вентилируемый баллоный вентиль LD</t>
  </si>
  <si>
    <t>СК- 166</t>
  </si>
  <si>
    <t>19.03.2022</t>
  </si>
  <si>
    <t>04.03.2022</t>
  </si>
  <si>
    <t>24.02.2022</t>
  </si>
  <si>
    <t>СК- 834</t>
  </si>
  <si>
    <t>01.03.2022</t>
  </si>
  <si>
    <t>28.02.2022</t>
  </si>
  <si>
    <t>SCANIA Е 499 РЕ</t>
  </si>
  <si>
    <t>16.03.2022</t>
  </si>
  <si>
    <t>01.09.2020</t>
  </si>
  <si>
    <t>Scania М 983 СА</t>
  </si>
  <si>
    <t>05.06.2017</t>
  </si>
  <si>
    <t>01.04.2016</t>
  </si>
  <si>
    <t>Vesta К 358 НК 73</t>
  </si>
  <si>
    <t>28.03.2022</t>
  </si>
  <si>
    <t>03.03.2022</t>
  </si>
  <si>
    <t>30.07.2015</t>
  </si>
  <si>
    <t>МТЗ 9342 УС 73</t>
  </si>
  <si>
    <t>17.03.2022</t>
  </si>
  <si>
    <t>11.03.2022</t>
  </si>
  <si>
    <t>Volvo Х003ВТ73</t>
  </si>
  <si>
    <t>22.02.2022</t>
  </si>
  <si>
    <t>УАЗ С 628 НО 163</t>
  </si>
  <si>
    <t>СтройКом</t>
  </si>
  <si>
    <t>24.03.2022</t>
  </si>
  <si>
    <t>14.03.2022</t>
  </si>
  <si>
    <t>862531042753401</t>
  </si>
  <si>
    <t>866854050514317</t>
  </si>
  <si>
    <t>02.03.2022</t>
  </si>
  <si>
    <t>05.03.2022</t>
  </si>
  <si>
    <t>КАМАЗ Р 391 МА 163</t>
  </si>
  <si>
    <t>МАЗ С 616 РМ</t>
  </si>
  <si>
    <t>Lada Granta С 026 МО 73</t>
  </si>
  <si>
    <t>Peugeot Boxer Т 534 СМ 163</t>
  </si>
  <si>
    <t>УАЗ О 653 ВХ 163</t>
  </si>
  <si>
    <t>ПоволжскаяВоднаяКомпания</t>
  </si>
  <si>
    <t>866854051062944</t>
  </si>
  <si>
    <t>DAF К 800 РР 73</t>
  </si>
  <si>
    <t>12.03.2022</t>
  </si>
  <si>
    <t>Тест весы</t>
  </si>
  <si>
    <t>25.03.2022</t>
  </si>
  <si>
    <t>Yto-x904 6776 УХ 73</t>
  </si>
  <si>
    <t>21.03.2022</t>
  </si>
  <si>
    <t>Беларус-92П 0246 УХ 73</t>
  </si>
  <si>
    <t>01.04.2022</t>
  </si>
  <si>
    <t>УАЗ Е 180 ТА 73</t>
  </si>
  <si>
    <t>30.03.2022</t>
  </si>
  <si>
    <t>ГАЗель Р 268 ЕО 73</t>
  </si>
  <si>
    <t>МТЗ 3852 УО</t>
  </si>
  <si>
    <t>13.04.2020</t>
  </si>
  <si>
    <t>МТЗ 0063 УА</t>
  </si>
  <si>
    <t>ГАЗон Next М169ХВ73</t>
  </si>
  <si>
    <t>23.03.2022</t>
  </si>
  <si>
    <t>ПАЗ Р 524 ВР 73</t>
  </si>
  <si>
    <t>29.03.2022</t>
  </si>
  <si>
    <t>ГАЗон next Н 981 КА 73</t>
  </si>
  <si>
    <t>КАМАЗ К 958 УМ 73</t>
  </si>
  <si>
    <t>МТЗ 82 vin-112903</t>
  </si>
  <si>
    <t>ЕфремовИО</t>
  </si>
  <si>
    <t>дут италон 22022198 1000мм ооо свр газ н981ка73 29.03</t>
  </si>
  <si>
    <t>нкм-2.11\блок скзи тахографа</t>
  </si>
  <si>
    <t>22b799b008563339-22b3s00008563332</t>
  </si>
  <si>
    <t>22b799b008562554-22b3s00008562557</t>
  </si>
  <si>
    <t>22b799b008561473-22b3s00008561476</t>
  </si>
  <si>
    <t>22b799b008569260-22b3s00008569263</t>
  </si>
  <si>
    <t>22b799b008566555-22b3s00008566558</t>
  </si>
  <si>
    <t>22b799b008564824-22b3s00008564827</t>
  </si>
  <si>
    <t>22b799b008551532-22b3s00008551535</t>
  </si>
  <si>
    <t>22b799b008567249-22b3s00008567242</t>
  </si>
  <si>
    <t>22b799b008566803-22b3s00008566806</t>
  </si>
  <si>
    <t>22b799b008561770-22b3s00008561773</t>
  </si>
  <si>
    <t xml:space="preserve">Лизунов Алексей </t>
  </si>
  <si>
    <t>Патапкин Алексей</t>
  </si>
  <si>
    <t>Бутырин Александр</t>
  </si>
  <si>
    <t>Добров Александр</t>
  </si>
  <si>
    <t>Улыбышев Сергей</t>
  </si>
  <si>
    <t>Элендюков Максим</t>
  </si>
  <si>
    <t>Зеленов Михаил</t>
  </si>
  <si>
    <t>Гладий Андрей</t>
  </si>
  <si>
    <t>тетушкин</t>
  </si>
  <si>
    <t>алиев</t>
  </si>
  <si>
    <t>надршин</t>
  </si>
  <si>
    <t>библаев</t>
  </si>
  <si>
    <t>якушкин</t>
  </si>
  <si>
    <t>М406КО73</t>
  </si>
  <si>
    <t>УЛЬЯНОВСКИЙ ЦСМ ФБУ</t>
  </si>
  <si>
    <t>ФМБУ Ульяновский ЦСМ</t>
  </si>
  <si>
    <t>логунова</t>
  </si>
  <si>
    <t>МТЗ 2179УЕ73</t>
  </si>
  <si>
    <t>Вольво К468ЕХ73</t>
  </si>
  <si>
    <t>борисов</t>
  </si>
  <si>
    <t>МДР б/н</t>
  </si>
  <si>
    <t>зил 164</t>
  </si>
  <si>
    <t>ул водоканал</t>
  </si>
  <si>
    <t>альфа инжиниринг</t>
  </si>
  <si>
    <t>прагматик</t>
  </si>
  <si>
    <t>эко-м</t>
  </si>
  <si>
    <t>агроспецзапчасть</t>
  </si>
  <si>
    <t>Volvo А943НО790</t>
  </si>
  <si>
    <t>ак мт цфо</t>
  </si>
  <si>
    <t>скания н535ру73</t>
  </si>
  <si>
    <t>назмеев аф</t>
  </si>
  <si>
    <t>пск твой дом</t>
  </si>
  <si>
    <t>вис е811рв73</t>
  </si>
  <si>
    <t>ульяновск куррорт</t>
  </si>
  <si>
    <t>Ниссан С 010 ВМ 73</t>
  </si>
  <si>
    <t>DAF Р609МН73</t>
  </si>
  <si>
    <t>ооо колос</t>
  </si>
  <si>
    <t>Вольво А579НЕ763</t>
  </si>
  <si>
    <t>Кировец К742 4028УХ73</t>
  </si>
  <si>
    <t>ооо заря</t>
  </si>
  <si>
    <t>ооо победа</t>
  </si>
  <si>
    <t>МАКСУМ ВАЛИУЛЛОВ</t>
  </si>
  <si>
    <t>камаз о446вн</t>
  </si>
  <si>
    <t>агро-н</t>
  </si>
  <si>
    <t>ооо терра</t>
  </si>
  <si>
    <t>вольво а946нс790</t>
  </si>
  <si>
    <t>рудковский</t>
  </si>
  <si>
    <t>понятов</t>
  </si>
  <si>
    <t>Камаз С669КВ73</t>
  </si>
  <si>
    <t>Лизунов Алексей</t>
  </si>
  <si>
    <t>СПК ВОЛГА</t>
  </si>
  <si>
    <t>галилео  7х ехт</t>
  </si>
  <si>
    <t>евротранс</t>
  </si>
  <si>
    <t>Фронтальный погрузчик SDLG 6194УХ73</t>
  </si>
  <si>
    <t>АО СП Колос</t>
  </si>
  <si>
    <t>13.05.</t>
  </si>
  <si>
    <t>Камаз У081РС73</t>
  </si>
  <si>
    <t>Прибор спутникового мониторинга галилео 7x С ext (внешние антенны)</t>
  </si>
  <si>
    <t>МТЗ 82 № 808226783</t>
  </si>
  <si>
    <t>Черкашин Сергей Николаевич</t>
  </si>
  <si>
    <t>Вольво Е114РА73</t>
  </si>
  <si>
    <t>К-700 vin 8910815</t>
  </si>
  <si>
    <t>ТАИРОВ</t>
  </si>
  <si>
    <t>УЛЬЯНОВСК ВОДОКАНАЛ</t>
  </si>
  <si>
    <t>МАЗ У338АЕ73</t>
  </si>
  <si>
    <t>умка310</t>
  </si>
  <si>
    <t>Романов Олег Викторович</t>
  </si>
  <si>
    <t>МАЗ 544</t>
  </si>
  <si>
    <t>РАДА</t>
  </si>
  <si>
    <t>ао тепличное</t>
  </si>
  <si>
    <t>М496КР</t>
  </si>
  <si>
    <t>НИЛУШИН Е.В</t>
  </si>
  <si>
    <t>АГРО ДЕЛО</t>
  </si>
  <si>
    <t>ВОЛЬГА ТРАК</t>
  </si>
  <si>
    <t>БЕРЕЗОВСКИЙ</t>
  </si>
  <si>
    <t>ООО ТВ ВОЛЖАНКА</t>
  </si>
  <si>
    <t>СИАЛ 447</t>
  </si>
  <si>
    <t>МАРИП</t>
  </si>
  <si>
    <t>МАКАЛАК 9360УХ</t>
  </si>
  <si>
    <t>СТРОЙАТЯЖ</t>
  </si>
  <si>
    <t>телегина</t>
  </si>
  <si>
    <t>НИКУШИН Е.В</t>
  </si>
  <si>
    <t>СТРОЙ АЛЬЯНС</t>
  </si>
  <si>
    <t>ШАГЛИ С478МС</t>
  </si>
  <si>
    <t>МЕГАНЕФТИХОМ</t>
  </si>
  <si>
    <t>КУБАШЕВ Д.В</t>
  </si>
  <si>
    <t>ДРСУ ИНЗА</t>
  </si>
  <si>
    <t>Березовский</t>
  </si>
  <si>
    <t>НОВАТОР ПЛЮС</t>
  </si>
  <si>
    <t>Лизунов</t>
  </si>
  <si>
    <t>СОЮЗ ГТД</t>
  </si>
  <si>
    <t>ООО ОЙЛ</t>
  </si>
  <si>
    <t>комплект датчика уровня топлива Эскорт TD-BLE Base -1000 мм</t>
  </si>
  <si>
    <t>колос</t>
  </si>
  <si>
    <t>ип носков</t>
  </si>
  <si>
    <t>ооо Ойл</t>
  </si>
  <si>
    <t>дут италон 1000 22022197 тумзиков скания е169ро 07.04</t>
  </si>
  <si>
    <t>т.к арсенал</t>
  </si>
  <si>
    <t>дут италон 1000 22022196 гранд альянс газель н927ка 11.04</t>
  </si>
  <si>
    <t>газ трейд</t>
  </si>
  <si>
    <t>ип макавеев</t>
  </si>
  <si>
    <t>дут -р7-беспроводной</t>
  </si>
  <si>
    <t>диамикс</t>
  </si>
  <si>
    <t>Емкостный датчик уровня топлива "ЭСКОРТ-TD-BLE L-1000</t>
  </si>
  <si>
    <t>дут италон 1000 22041967 автотранспорт 05.05.22</t>
  </si>
  <si>
    <t>МТЗ 4397УС73</t>
  </si>
  <si>
    <t>дут италон 1000 22041966 юриков газель м930тс 11.05</t>
  </si>
  <si>
    <t>дут италон 1000 22041965 магистраль к193ре 12.05</t>
  </si>
  <si>
    <t>дут италон 1000 22043098 инза сервис 26.05</t>
  </si>
  <si>
    <t>дут италон 1000 22043003 стс гермес вольво 944 30.05</t>
  </si>
  <si>
    <t>дут -р7</t>
  </si>
  <si>
    <t>ооо италон</t>
  </si>
  <si>
    <t>датчик уровня топлива italon 1500 взрывозащитный</t>
  </si>
  <si>
    <t>Емкостный датчик уровня топлива Эскорт-TD-BLE L-1000</t>
  </si>
  <si>
    <t>МЕГАНЕФТЬХОМ</t>
  </si>
  <si>
    <t>С478МС73</t>
  </si>
  <si>
    <t>ПАТАПКИН</t>
  </si>
  <si>
    <t>ГРИШИН</t>
  </si>
  <si>
    <t>датчик уровня топлива italon 1000 -485 \a\f</t>
  </si>
  <si>
    <t>ООО ЦИЛЬНА</t>
  </si>
  <si>
    <t>ДОВАВТО</t>
  </si>
  <si>
    <t>ПЕТРОВСКАЯ</t>
  </si>
  <si>
    <t>ЛИЦЕЙ НОМЕР 20</t>
  </si>
  <si>
    <t>УЛЫБЫШЕВ</t>
  </si>
  <si>
    <t>ООО ЕВРОИЗОЛ</t>
  </si>
  <si>
    <t>ЗЕЛЕНОВ</t>
  </si>
  <si>
    <t>ИП Маккавеев</t>
  </si>
  <si>
    <t>датчик контроля уровня топливо (беспроводной)</t>
  </si>
  <si>
    <t>датчик уровня топлива италон 1500 взрывозащ.</t>
  </si>
  <si>
    <t>датчик уровня топлива италон 1000 взрывозащи.</t>
  </si>
  <si>
    <t>датчик уровня топлива италон 1000 -BLE</t>
  </si>
  <si>
    <t>811a9304032202f3</t>
  </si>
  <si>
    <t>874b9002032202f3</t>
  </si>
  <si>
    <t>85a41803032202f3</t>
  </si>
  <si>
    <t>АВЕРС</t>
  </si>
  <si>
    <t>3с827a03032202f3</t>
  </si>
  <si>
    <t>4163a804032202f3</t>
  </si>
  <si>
    <t>МЕГАНЕФТИХИМ</t>
  </si>
  <si>
    <t>ШАКМАН С478МК</t>
  </si>
  <si>
    <t>3c9b5205032202f3</t>
  </si>
  <si>
    <t>ДОВ АВТО</t>
  </si>
  <si>
    <t>3a9d0d02032202f3</t>
  </si>
  <si>
    <t>АВТО СТАР</t>
  </si>
  <si>
    <t>ПАЗ М106УС</t>
  </si>
  <si>
    <t>d72c7a00042202f3</t>
  </si>
  <si>
    <t>7e693a01102102f3</t>
  </si>
  <si>
    <t>81c48202122102f3</t>
  </si>
  <si>
    <t>ccbda905042202f3</t>
  </si>
  <si>
    <t>cda98000042202f3</t>
  </si>
  <si>
    <t>cec8e503042202f3</t>
  </si>
  <si>
    <t>cd46b102042202f3</t>
  </si>
  <si>
    <t>cf0bec05042202f3</t>
  </si>
  <si>
    <t>4b13cb05122102f3</t>
  </si>
  <si>
    <t>МИНКИН</t>
  </si>
  <si>
    <t>ООО Новые решения Драйва</t>
  </si>
  <si>
    <t>Блок скзи тахографа Нкм-2.11</t>
  </si>
  <si>
    <t>22а799b008417412-22a3s00008417415</t>
  </si>
  <si>
    <t>ФГБУ ФНКЦРиО ФМБА</t>
  </si>
  <si>
    <t>Газель Некст К769НХ73</t>
  </si>
  <si>
    <t>22a799b008417503-22a3s00008417506</t>
  </si>
  <si>
    <t>АФ-47434А Р150ХТ73</t>
  </si>
  <si>
    <t>22a799b008417438-22a3s00008417431</t>
  </si>
  <si>
    <t>ОГБУ ЦВПВ Авангард им А. Матросова</t>
  </si>
  <si>
    <t>ГАЗ 32212 АУ31873</t>
  </si>
  <si>
    <t>22a799b008426165-22a3s00008426168</t>
  </si>
  <si>
    <t>ПАЗ-4234 Е897РН73</t>
  </si>
  <si>
    <t>22a799b008418402-22a3s00008418405</t>
  </si>
  <si>
    <t>УФ АО ЧМПЗ</t>
  </si>
  <si>
    <t>Исузу Е374РК73</t>
  </si>
  <si>
    <t>22a799b008428815-22a3s00008428818</t>
  </si>
  <si>
    <t>ПАЗ Н169ТТ152</t>
  </si>
  <si>
    <t>22a799b008424517-22a3s00008424510</t>
  </si>
  <si>
    <t>ГАУСО Буинский дом-интернат для престарелых и инвалидов</t>
  </si>
  <si>
    <t>ГАЗ-322132 С732УР116</t>
  </si>
  <si>
    <t>22a799b008424301-22a3s00008424304</t>
  </si>
  <si>
    <t>22a799b008425738-22a3s00008425731</t>
  </si>
  <si>
    <t>Идрисов Альберт Миннулович</t>
  </si>
  <si>
    <t>2227 У283МА163</t>
  </si>
  <si>
    <t>22a799b008426264-22a3s00008426267</t>
  </si>
  <si>
    <t>МКУ СМТО</t>
  </si>
  <si>
    <t>ПАЗ АХ00373</t>
  </si>
  <si>
    <t>22a799b008416422-22a3s00008416425</t>
  </si>
  <si>
    <t>Идиятуллов Радик Амирович</t>
  </si>
  <si>
    <t>22a799b008415887-22a3s00008415880</t>
  </si>
  <si>
    <t>ОГКУ СЗН Ульяновской области</t>
  </si>
  <si>
    <t>222700 А707НК73</t>
  </si>
  <si>
    <t>22a799b008415598-22a3s00008415591</t>
  </si>
  <si>
    <t>ОГКУСЗН Ульяновской области</t>
  </si>
  <si>
    <t>222700 А369НН73</t>
  </si>
  <si>
    <t>22a799b008414872-22a3s00008414875</t>
  </si>
  <si>
    <t>Шакиров Илхам Решитович</t>
  </si>
  <si>
    <t>647400 В398МК73</t>
  </si>
  <si>
    <t>22a799b008416141-22a3s00008416144</t>
  </si>
  <si>
    <t>222700 А109НХ73</t>
  </si>
  <si>
    <t>22a799b008419236-22a3s00008419239</t>
  </si>
  <si>
    <t>МКОО Большекандалинская СШ</t>
  </si>
  <si>
    <t>ГАЗ АХ02373</t>
  </si>
  <si>
    <t>22a799b008409641-22a3s00008409644</t>
  </si>
  <si>
    <t>ГАЗ А823АВ73</t>
  </si>
  <si>
    <t>22a799b008418394-22a3s00008418397</t>
  </si>
  <si>
    <t>222700 А902КР73</t>
  </si>
  <si>
    <t>22a799b008419087-22a3s00008419080</t>
  </si>
  <si>
    <t>АСВ7721Р5-10 К641НХ73</t>
  </si>
  <si>
    <t>22a799b008412264-22a3s00008412267</t>
  </si>
  <si>
    <t>Пестов Николай Викторович</t>
  </si>
  <si>
    <t>28186 Е047МЕ73</t>
  </si>
  <si>
    <t>Блок нкм 2.11/блок скзи тахографа</t>
  </si>
  <si>
    <t>22b799b008672304-22b3s00008672307</t>
  </si>
  <si>
    <t>22b799b008672916-22b3s00008672919</t>
  </si>
  <si>
    <t>22b799b008672643-22b3s00008672646</t>
  </si>
  <si>
    <t>22b799b008672536-22b3s00008672539</t>
  </si>
  <si>
    <t>МКОУ Базарносызганская СШ №1</t>
  </si>
  <si>
    <t>ПАЗ К976НХ73</t>
  </si>
  <si>
    <t>22b799b008683764-22b3s00008683767</t>
  </si>
  <si>
    <t>ООО АПК</t>
  </si>
  <si>
    <t>Камаз С029ВС73</t>
  </si>
  <si>
    <t>22b799b008669672-22b3s00008669675</t>
  </si>
  <si>
    <t>22b799b008683772-22b3s00008683775</t>
  </si>
  <si>
    <t>22b799b008668138-22b3s00008668131</t>
  </si>
  <si>
    <t>ИП Котельникова Любовь Николаевна</t>
  </si>
  <si>
    <t>Mersedes-Benz К939РА73</t>
  </si>
  <si>
    <t>22b799b008666488-22b3s00008666481</t>
  </si>
  <si>
    <t>22b799b008667635-22b3s00008667638</t>
  </si>
  <si>
    <t>ФНПЦ АО НПО МАРС</t>
  </si>
  <si>
    <t>ГАЗ-САЗ К284РЕ73</t>
  </si>
  <si>
    <t>22b799b008661711-22b3s00008661714</t>
  </si>
  <si>
    <t>ОПФР по Ульяновской области</t>
  </si>
  <si>
    <t>22b799b008664129-22b3s00008664122</t>
  </si>
  <si>
    <t>Ford Transit В212РУ73</t>
  </si>
  <si>
    <t>22b799b008668609-22b3s00008668602</t>
  </si>
  <si>
    <t>АСВ7721Р6-10 К687НХ73</t>
  </si>
  <si>
    <t>22b799b008683095-22b3s00008683098</t>
  </si>
  <si>
    <t>22270 А386НН73</t>
  </si>
  <si>
    <t>22b799b008667080-22b3s00008667083</t>
  </si>
  <si>
    <t>Камаз В870ХУ73</t>
  </si>
  <si>
    <t>Ао Авто евро</t>
  </si>
  <si>
    <t>22с799b008860031-22c3s00008860034</t>
  </si>
  <si>
    <t>22c799b008837633-22c3s00008837636</t>
  </si>
  <si>
    <t>22c799b008846295-22c3s00008846298</t>
  </si>
  <si>
    <t>22c799b008834606-22c3s00008834609</t>
  </si>
  <si>
    <t>22c799b008834846-22c3s00008834849</t>
  </si>
  <si>
    <t>22c799b008836650-22c3s00008836653</t>
  </si>
  <si>
    <t>22c799b008826073-22c3s00008826076</t>
  </si>
  <si>
    <t>22c799b008829721-22c3s00008829724</t>
  </si>
  <si>
    <t>22c799b008829044-22c3s00008829047</t>
  </si>
  <si>
    <t>22c799b008826693-22c3s00008826696</t>
  </si>
  <si>
    <t>22c799b008825620-22c3s00008825623</t>
  </si>
  <si>
    <t>22c799b008825141-22c3s00008825144</t>
  </si>
  <si>
    <t>22c799b008832634-22c3s00008832637</t>
  </si>
  <si>
    <t>22c799b008827741-22c3s00008827744</t>
  </si>
  <si>
    <t>22c799b008830026-22c3s00008830029</t>
  </si>
  <si>
    <t>тареев</t>
  </si>
  <si>
    <t>отопитель воздушный 44д-24</t>
  </si>
  <si>
    <t>2553\4</t>
  </si>
  <si>
    <t>брали у тареева в долг</t>
  </si>
  <si>
    <t>отопитель ат2000 stc12 v dizel</t>
  </si>
  <si>
    <t>192 от 14.04.22</t>
  </si>
  <si>
    <t>Мини KIT ALEX Diezel</t>
  </si>
  <si>
    <t>220211131238, 220211131658, 220211131712, 220211131532</t>
  </si>
  <si>
    <t>ах 001002100155</t>
  </si>
  <si>
    <t>220211131021, 220211130949, 220211131004, 220211130926</t>
  </si>
  <si>
    <t>ах 001002100168</t>
  </si>
  <si>
    <t>211 от 14.04.22</t>
  </si>
  <si>
    <t>Мини КИТ Alex Diezel</t>
  </si>
  <si>
    <t>220211130637, 220211130650, 220211130708, 220211130622</t>
  </si>
  <si>
    <t>ах 0010021002100126</t>
  </si>
  <si>
    <t>ООО АВТОГБО</t>
  </si>
  <si>
    <t>Вентиль баллонный автоматический EMER MCR110, М12*1, 12V с AMP разъемо</t>
  </si>
  <si>
    <t>297 от 17.05.22</t>
  </si>
  <si>
    <t>ип мещеряков</t>
  </si>
  <si>
    <t>баллон тор внутренний 54л(630*220) НЗГА</t>
  </si>
  <si>
    <t>181 от 18.05.22</t>
  </si>
  <si>
    <t>метан сервис</t>
  </si>
  <si>
    <t>баллон высокого давления 100л диам 406мм</t>
  </si>
  <si>
    <t>аа008188</t>
  </si>
  <si>
    <t>79 от 2.06.22</t>
  </si>
  <si>
    <t>тк европа</t>
  </si>
  <si>
    <t>газовый баллон высокого давления спг-1 150л 356</t>
  </si>
  <si>
    <t>ii001015</t>
  </si>
  <si>
    <t>ii001011</t>
  </si>
  <si>
    <t>ii001013</t>
  </si>
  <si>
    <t>ii001003</t>
  </si>
  <si>
    <t>ii000985</t>
  </si>
  <si>
    <t>ii000999</t>
  </si>
  <si>
    <t>iii001003</t>
  </si>
  <si>
    <t>ii000978</t>
  </si>
  <si>
    <t>ii001017</t>
  </si>
  <si>
    <t>ii000990</t>
  </si>
  <si>
    <t>ii000992</t>
  </si>
  <si>
    <t>ii000993</t>
  </si>
  <si>
    <t>ii000958</t>
  </si>
  <si>
    <t>ii000984</t>
  </si>
  <si>
    <t>ii001007</t>
  </si>
  <si>
    <t>382 от 7.06.22</t>
  </si>
  <si>
    <t>баллон 35л</t>
  </si>
  <si>
    <t>main_sheet</t>
  </si>
  <si>
    <t xml:space="preserve">Березовский алексей </t>
  </si>
  <si>
    <t xml:space="preserve">Березовский Алексей </t>
  </si>
  <si>
    <t>Найден в листе: Приход БЛОКИ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</si>
</sst>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164" formatCode="dd\.mm\.yyyy"/>
    <numFmt numFmtId="165" formatCode="dd\.mm"/>
    <numFmt numFmtId="166" formatCode="dd\.mm\.yy"/>
    <numFmt numFmtId="167" formatCode="d\.m\.yyyy"/>
  </numFmts>
  <fonts count="33"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10"/>
      <name val="Arial"/>
      <family val="2"/>
      <charset val="204"/>
    </font>
    <font>
      <b/>
      <sz val="10"/>
      <name val="Arial"/>
      <family val="2"/>
      <charset val="204"/>
    </font>
    <font>
      <sz val="10"/>
      <name val="Times New Roman"/>
      <family val="1"/>
      <charset val="204"/>
    </font>
    <font>
      <sz val="9"/>
      <name val="Arial"/>
      <family val="2"/>
      <charset val="204"/>
    </font>
    <font>
      <sz val="10"/>
      <name val="Arial"/>
    </font>
    <font>
      <sz val="8"/>
      <name val="&quot;Times New Roman&quot;"/>
    </font>
    <font>
      <sz val="10"/>
      <name val="&quot;Times New Roman&quot;"/>
    </font>
    <font>
      <b/>
      <sz val="10"/>
      <name val="Calibri"/>
      <family val="2"/>
      <charset val="204"/>
      <scheme val="minor"/>
    </font>
    <font>
      <sz val="10"/>
      <color theme="1"/>
      <name val="Calibri"/>
      <family val="2"/>
      <charset val="204"/>
      <scheme val="minor"/>
    </font>
    <font>
      <b/>
      <sz val="10"/>
      <color rgb="FF000000"/>
      <name val="Calibri"/>
      <family val="2"/>
      <charset val="204"/>
      <scheme val="minor"/>
    </font>
    <font>
      <b/>
      <sz val="10"/>
      <color theme="1"/>
      <name val="Calibri"/>
      <family val="2"/>
      <charset val="204"/>
      <scheme val="minor"/>
    </font>
    <font>
      <b/>
      <sz val="11"/>
      <color theme="0"/>
      <name val="Calibri"/>
      <family val="2"/>
      <charset val="204"/>
      <scheme val="minor"/>
    </font>
    <font>
      <b/>
      <i/>
      <sz val="11"/>
      <color theme="1"/>
      <name val="Calibri"/>
      <family val="2"/>
      <charset val="204"/>
      <scheme val="minor"/>
    </font>
    <font>
      <i/>
      <sz val="11"/>
      <color theme="1"/>
      <name val="Calibri"/>
      <family val="2"/>
      <charset val="204"/>
      <scheme val="minor"/>
    </font>
    <font>
      <b/>
      <sz val="24"/>
      <color theme="1"/>
      <name val="Calibri Light"/>
      <family val="2"/>
      <charset val="204"/>
      <scheme val="major"/>
    </font>
    <font>
      <b/>
      <sz val="10"/>
      <name val="Arial"/>
    </font>
    <font>
      <sz val="10"/>
      <color rgb="FF000000"/>
      <name val="Arial"/>
    </font>
    <font>
      <sz val="12"/>
      <color rgb="FF000000"/>
      <name val="&quot;Times New Roman&quot;"/>
    </font>
    <font>
      <b/>
      <sz val="9"/>
      <color rgb="FF636363"/>
      <name val="Arial"/>
    </font>
    <font>
      <sz val="10"/>
      <color rgb="FF000000"/>
      <name val="&quot;Helvetica Neue&quot;"/>
    </font>
    <font>
      <sz val="9"/>
      <color rgb="FF363636"/>
      <name val="Arial"/>
    </font>
    <font>
      <sz val="10"/>
      <color rgb="FFFF0000"/>
      <name val="Arial"/>
    </font>
    <font>
      <sz val="9"/>
      <name val="Times New Roman"/>
    </font>
    <font>
      <sz val="10"/>
      <color rgb="FF000000"/>
      <name val="Roboto"/>
    </font>
    <font>
      <sz val="10"/>
      <name val="Calibri"/>
      <family val="2"/>
      <charset val="204"/>
      <scheme val="minor"/>
    </font>
    <font>
      <sz val="10"/>
      <color rgb="FF000000"/>
      <name val="Arial"/>
      <family val="2"/>
      <charset val="204"/>
    </font>
    <font>
      <sz val="10"/>
      <color rgb="FF000000"/>
      <name val="Helvetica"/>
      <family val="2"/>
    </font>
    <font>
      <u/>
      <sz val="11"/>
      <color theme="10"/>
      <name val="Calibri"/>
      <family val="2"/>
      <scheme val="minor"/>
    </font>
    <font>
      <sz val="11"/>
      <color rgb="FF17E503"/>
      <name val="Calibri"/>
      <family val="2"/>
      <scheme val="minor"/>
    </font>
  </fonts>
  <fills count="42">
    <fill>
      <patternFill patternType="none"/>
    </fill>
    <fill>
      <patternFill patternType="gray125"/>
    </fill>
    <fill>
      <patternFill patternType="solid">
        <fgColor rgb="FF00FFFF"/>
        <bgColor rgb="FF00FFFF"/>
      </patternFill>
    </fill>
    <fill>
      <patternFill patternType="solid">
        <fgColor rgb="FF00FFFF"/>
        <bgColor indexed="64"/>
      </patternFill>
    </fill>
    <fill>
      <patternFill patternType="solid">
        <fgColor rgb="FF00FF00"/>
        <bgColor rgb="FF00FFFF"/>
      </patternFill>
    </fill>
    <fill>
      <patternFill patternType="solid">
        <fgColor rgb="FF00FF00"/>
        <bgColor indexed="64"/>
      </patternFill>
    </fill>
    <fill>
      <patternFill patternType="solid">
        <fgColor theme="2" tint="-9.9978637043366805E-2"/>
        <bgColor rgb="FF00FFFF"/>
      </patternFill>
    </fill>
    <fill>
      <patternFill patternType="solid">
        <fgColor rgb="FFFFFFFF"/>
        <bgColor rgb="FFFFFFFF"/>
      </patternFill>
    </fill>
    <fill>
      <patternFill patternType="solid">
        <fgColor rgb="FFFFFF00"/>
        <bgColor rgb="FFFFFF00"/>
      </patternFill>
    </fill>
    <fill>
      <patternFill patternType="solid">
        <fgColor rgb="FFFFFF00"/>
        <bgColor indexed="64"/>
      </patternFill>
    </fill>
    <fill>
      <patternFill patternType="solid">
        <fgColor rgb="FFFFFF00"/>
        <bgColor rgb="FF00FFFF"/>
      </patternFill>
    </fill>
    <fill>
      <patternFill patternType="solid">
        <fgColor rgb="FF00FFFF"/>
        <bgColor rgb="FFFFFFFF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17E503"/>
        <bgColor indexed="64"/>
      </patternFill>
    </fill>
    <fill>
      <patternFill patternType="solid">
        <fgColor rgb="FFF60900"/>
        <bgColor indexed="64"/>
      </patternFill>
    </fill>
    <fill>
      <patternFill patternType="solid">
        <fgColor theme="2" tint="-0.749992370372631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rgb="FFD6D4D4"/>
        <bgColor indexed="64"/>
      </patternFill>
    </fill>
    <fill>
      <patternFill patternType="solid">
        <fgColor rgb="FFE1DFDF"/>
        <bgColor indexed="64"/>
      </patternFill>
    </fill>
    <fill>
      <patternFill patternType="solid">
        <fgColor rgb="FFE9E7E7"/>
        <bgColor indexed="64"/>
      </patternFill>
    </fill>
    <fill>
      <patternFill patternType="solid">
        <fgColor rgb="FFF1EFEF"/>
        <bgColor indexed="64"/>
      </patternFill>
    </fill>
    <fill>
      <patternFill patternType="solid">
        <fgColor rgb="FFF8F6F6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rgb="FF797575"/>
        <bgColor indexed="64"/>
      </patternFill>
    </fill>
    <fill>
      <patternFill patternType="solid">
        <fgColor rgb="FF817D7D"/>
        <bgColor indexed="64"/>
      </patternFill>
    </fill>
    <fill>
      <patternFill patternType="solid">
        <fgColor rgb="FF8C8888"/>
        <bgColor indexed="64"/>
      </patternFill>
    </fill>
    <fill>
      <patternFill patternType="solid">
        <fgColor rgb="FF928E8E"/>
        <bgColor indexed="64"/>
      </patternFill>
    </fill>
    <fill>
      <patternFill patternType="solid">
        <fgColor rgb="FF999595"/>
        <bgColor indexed="64"/>
      </patternFill>
    </fill>
    <fill>
      <patternFill patternType="solid">
        <fgColor rgb="FFA5A1A1"/>
        <bgColor indexed="64"/>
      </patternFill>
    </fill>
    <fill>
      <patternFill patternType="solid">
        <fgColor rgb="FFAFABAB"/>
        <bgColor indexed="64"/>
      </patternFill>
    </fill>
    <fill>
      <patternFill patternType="solid">
        <fgColor rgb="FFBCB8B8"/>
        <bgColor indexed="64"/>
      </patternFill>
    </fill>
    <fill>
      <patternFill patternType="solid">
        <fgColor rgb="FFC6C2C2"/>
        <bgColor indexed="64"/>
      </patternFill>
    </fill>
    <fill>
      <patternFill patternType="solid">
        <fgColor rgb="FFD1CDCD"/>
        <bgColor indexed="64"/>
      </patternFill>
    </fill>
    <fill>
      <patternFill patternType="solid">
        <fgColor rgb="FFDBD7D7"/>
        <bgColor indexed="64"/>
      </patternFill>
    </fill>
    <fill>
      <patternFill patternType="solid">
        <fgColor rgb="FFE3E1E1"/>
        <bgColor indexed="64"/>
      </patternFill>
    </fill>
    <fill>
      <patternFill patternType="solid">
        <fgColor rgb="FFEDEBEB"/>
        <bgColor indexed="64"/>
      </patternFill>
    </fill>
    <fill>
      <patternFill patternType="solid">
        <fgColor rgb="FFF3F1F1"/>
        <bgColor indexed="64"/>
      </patternFill>
    </fill>
    <fill>
      <patternFill patternType="solid">
        <fgColor rgb="FFFFFF00"/>
        <bgColor rgb="FFFFFFFF"/>
      </patternFill>
    </fill>
    <fill>
      <patternFill patternType="solid">
        <fgColor rgb="FF00FF00"/>
        <bgColor rgb="FF00FF00"/>
      </patternFill>
    </fill>
    <fill>
      <patternFill patternType="solid">
        <fgColor rgb="FFF7F8F8"/>
        <bgColor rgb="FFF7F8F8"/>
      </patternFill>
    </fill>
    <fill>
      <patternFill patternType="solid">
        <fgColor rgb="FF00FFFF"/>
        <bgColor rgb="FFFFFF00"/>
      </patternFill>
    </fill>
  </fills>
  <borders count="2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0"/>
      </bottom>
      <diagonal/>
    </border>
    <border>
      <left style="thin">
        <color rgb="FF000000"/>
      </left>
      <right style="thin">
        <color rgb="FF000000"/>
      </right>
      <top style="thin">
        <color indexed="64"/>
      </top>
      <bottom style="thin">
        <color rgb="FF000000"/>
      </bottom>
      <diagonal/>
    </border>
  </borders>
  <cellStyleXfs count="2">
    <xf numFmtId="0" fontId="0" fillId="0" borderId="0"/>
    <xf numFmtId="0" fontId="31" fillId="0" borderId="0" applyNumberFormat="0" applyFill="0" applyBorder="0" applyAlignment="0" applyProtection="0"/>
  </cellStyleXfs>
  <cellXfs count="264">
    <xf numFmtId="0" fontId="0" fillId="0" borderId="0" xfId="0"/>
    <xf numFmtId="0" fontId="0" fillId="0" borderId="1" xfId="0" applyBorder="1"/>
    <xf numFmtId="0" fontId="0" fillId="3" borderId="1" xfId="0" applyFill="1" applyBorder="1"/>
    <xf numFmtId="0" fontId="3" fillId="0" borderId="2" xfId="0" applyFont="1" applyBorder="1"/>
    <xf numFmtId="0" fontId="0" fillId="0" borderId="1" xfId="0" applyFill="1" applyBorder="1"/>
    <xf numFmtId="0" fontId="0" fillId="5" borderId="1" xfId="0" applyFill="1" applyBorder="1"/>
    <xf numFmtId="1" fontId="0" fillId="0" borderId="1" xfId="0" applyNumberFormat="1" applyBorder="1"/>
    <xf numFmtId="164" fontId="4" fillId="0" borderId="3" xfId="0" applyNumberFormat="1" applyFont="1" applyBorder="1" applyAlignment="1">
      <alignment horizontal="center" vertical="center" wrapText="1"/>
    </xf>
    <xf numFmtId="0" fontId="0" fillId="9" borderId="1" xfId="0" applyFill="1" applyBorder="1"/>
    <xf numFmtId="1" fontId="0" fillId="9" borderId="1" xfId="0" applyNumberFormat="1" applyFill="1" applyBorder="1"/>
    <xf numFmtId="14" fontId="6" fillId="8" borderId="1" xfId="0" applyNumberFormat="1" applyFont="1" applyFill="1" applyBorder="1" applyAlignment="1">
      <alignment vertical="center" wrapText="1"/>
    </xf>
    <xf numFmtId="14" fontId="0" fillId="0" borderId="1" xfId="0" applyNumberFormat="1" applyBorder="1"/>
    <xf numFmtId="14" fontId="6" fillId="2" borderId="3" xfId="0" applyNumberFormat="1" applyFont="1" applyFill="1" applyBorder="1" applyAlignment="1">
      <alignment horizontal="center" vertical="center" wrapText="1"/>
    </xf>
    <xf numFmtId="14" fontId="9" fillId="11" borderId="3" xfId="0" applyNumberFormat="1" applyFont="1" applyFill="1" applyBorder="1" applyAlignment="1">
      <alignment horizontal="center" vertical="center" wrapText="1"/>
    </xf>
    <xf numFmtId="14" fontId="10" fillId="2" borderId="3" xfId="0" applyNumberFormat="1" applyFont="1" applyFill="1" applyBorder="1" applyAlignment="1">
      <alignment horizontal="center"/>
    </xf>
    <xf numFmtId="14" fontId="6" fillId="8" borderId="3" xfId="0" applyNumberFormat="1" applyFont="1" applyFill="1" applyBorder="1" applyAlignment="1">
      <alignment horizontal="center" vertical="center" wrapText="1"/>
    </xf>
    <xf numFmtId="14" fontId="10" fillId="2" borderId="4" xfId="0" applyNumberFormat="1" applyFont="1" applyFill="1" applyBorder="1" applyAlignment="1">
      <alignment horizontal="center"/>
    </xf>
    <xf numFmtId="14" fontId="10" fillId="2" borderId="5" xfId="0" applyNumberFormat="1" applyFont="1" applyFill="1" applyBorder="1" applyAlignment="1">
      <alignment horizontal="center"/>
    </xf>
    <xf numFmtId="14" fontId="0" fillId="3" borderId="1" xfId="0" applyNumberFormat="1" applyFill="1" applyBorder="1"/>
    <xf numFmtId="0" fontId="7" fillId="7" borderId="3" xfId="0" applyFont="1" applyFill="1" applyBorder="1" applyAlignment="1">
      <alignment horizontal="center" vertical="center" wrapText="1"/>
    </xf>
    <xf numFmtId="0" fontId="7" fillId="7" borderId="3" xfId="0" applyFont="1" applyFill="1" applyBorder="1" applyAlignment="1">
      <alignment vertical="center" wrapText="1"/>
    </xf>
    <xf numFmtId="0" fontId="7" fillId="2" borderId="3" xfId="0" applyFont="1" applyFill="1" applyBorder="1" applyAlignment="1">
      <alignment horizontal="center" vertical="center" wrapText="1"/>
    </xf>
    <xf numFmtId="1" fontId="0" fillId="3" borderId="1" xfId="0" applyNumberFormat="1" applyFill="1" applyBorder="1"/>
    <xf numFmtId="14" fontId="6" fillId="0" borderId="1" xfId="0" applyNumberFormat="1" applyFont="1" applyFill="1" applyBorder="1" applyAlignment="1">
      <alignment vertical="center" wrapText="1"/>
    </xf>
    <xf numFmtId="14" fontId="0" fillId="0" borderId="1" xfId="0" applyNumberFormat="1" applyFill="1" applyBorder="1"/>
    <xf numFmtId="0" fontId="7" fillId="10" borderId="3" xfId="0" applyFont="1" applyFill="1" applyBorder="1" applyAlignment="1">
      <alignment horizontal="center" vertical="center" wrapText="1"/>
    </xf>
    <xf numFmtId="0" fontId="4" fillId="0" borderId="3" xfId="0" applyFont="1" applyBorder="1" applyAlignment="1">
      <alignment horizontal="center" vertical="center"/>
    </xf>
    <xf numFmtId="0" fontId="4" fillId="0" borderId="3" xfId="0" applyFont="1" applyBorder="1" applyAlignment="1">
      <alignment vertical="center"/>
    </xf>
    <xf numFmtId="0" fontId="4" fillId="0" borderId="3" xfId="0" applyFont="1" applyBorder="1" applyAlignment="1">
      <alignment wrapText="1"/>
    </xf>
    <xf numFmtId="0" fontId="4" fillId="0" borderId="3" xfId="0" applyFont="1" applyBorder="1" applyAlignment="1">
      <alignment horizontal="left" vertical="center" wrapText="1"/>
    </xf>
    <xf numFmtId="0" fontId="4" fillId="2" borderId="3" xfId="0" applyFont="1" applyFill="1" applyBorder="1" applyAlignment="1">
      <alignment horizontal="left" vertical="center" wrapText="1"/>
    </xf>
    <xf numFmtId="0" fontId="4" fillId="2" borderId="3" xfId="0" applyFont="1" applyFill="1" applyBorder="1" applyAlignment="1">
      <alignment horizontal="center" vertical="center" wrapText="1"/>
    </xf>
    <xf numFmtId="14" fontId="4" fillId="2" borderId="3" xfId="0" applyNumberFormat="1" applyFont="1" applyFill="1" applyBorder="1" applyAlignment="1">
      <alignment horizontal="center"/>
    </xf>
    <xf numFmtId="0" fontId="4" fillId="0" borderId="3" xfId="0" applyFont="1" applyBorder="1" applyAlignment="1">
      <alignment horizontal="center" vertical="center" wrapText="1"/>
    </xf>
    <xf numFmtId="0" fontId="4" fillId="0" borderId="3" xfId="0" applyFont="1" applyBorder="1"/>
    <xf numFmtId="14" fontId="4" fillId="2" borderId="3" xfId="0" applyNumberFormat="1" applyFont="1" applyFill="1" applyBorder="1" applyAlignment="1">
      <alignment horizontal="center" vertical="center" wrapText="1"/>
    </xf>
    <xf numFmtId="0" fontId="0" fillId="13" borderId="1" xfId="0" applyFill="1" applyBorder="1"/>
    <xf numFmtId="0" fontId="0" fillId="14" borderId="1" xfId="0" applyFill="1" applyBorder="1"/>
    <xf numFmtId="0" fontId="11" fillId="6" borderId="1" xfId="0" applyFont="1" applyFill="1" applyBorder="1" applyAlignment="1">
      <alignment horizontal="center" vertical="center" wrapText="1"/>
    </xf>
    <xf numFmtId="0" fontId="11" fillId="12" borderId="1" xfId="0" applyFont="1" applyFill="1" applyBorder="1" applyAlignment="1">
      <alignment horizontal="center" vertical="center" wrapText="1"/>
    </xf>
    <xf numFmtId="0" fontId="11" fillId="3" borderId="1" xfId="0" applyFont="1" applyFill="1" applyBorder="1" applyAlignment="1">
      <alignment horizontal="center" vertical="center" wrapText="1"/>
    </xf>
    <xf numFmtId="0" fontId="12" fillId="0" borderId="0" xfId="0" applyFont="1"/>
    <xf numFmtId="14" fontId="11" fillId="6" borderId="1" xfId="0" applyNumberFormat="1" applyFont="1" applyFill="1" applyBorder="1" applyAlignment="1">
      <alignment horizontal="center" vertical="center" wrapText="1"/>
    </xf>
    <xf numFmtId="0" fontId="11" fillId="2" borderId="1" xfId="0" applyFont="1" applyFill="1" applyBorder="1" applyAlignment="1">
      <alignment horizontal="center" vertical="center" wrapText="1"/>
    </xf>
    <xf numFmtId="0" fontId="13" fillId="6" borderId="1" xfId="0" applyFont="1" applyFill="1" applyBorder="1" applyAlignment="1">
      <alignment horizontal="center" vertical="center"/>
    </xf>
    <xf numFmtId="14" fontId="11" fillId="2" borderId="1" xfId="0" applyNumberFormat="1" applyFont="1" applyFill="1" applyBorder="1" applyAlignment="1">
      <alignment horizontal="center" vertical="center" wrapText="1"/>
    </xf>
    <xf numFmtId="164" fontId="11" fillId="6" borderId="1" xfId="0" applyNumberFormat="1" applyFont="1" applyFill="1" applyBorder="1" applyAlignment="1">
      <alignment horizontal="center" vertical="center" wrapText="1"/>
    </xf>
    <xf numFmtId="0" fontId="14" fillId="0" borderId="0" xfId="0" applyFont="1" applyAlignment="1">
      <alignment horizontal="center" vertical="center"/>
    </xf>
    <xf numFmtId="1" fontId="11" fillId="2" borderId="1" xfId="0" applyNumberFormat="1" applyFont="1" applyFill="1" applyBorder="1" applyAlignment="1">
      <alignment horizontal="center" vertical="center" wrapText="1"/>
    </xf>
    <xf numFmtId="1" fontId="7" fillId="11" borderId="3" xfId="0" applyNumberFormat="1" applyFont="1" applyFill="1" applyBorder="1" applyAlignment="1">
      <alignment horizontal="left" vertical="center" wrapText="1"/>
    </xf>
    <xf numFmtId="0" fontId="7" fillId="11" borderId="3" xfId="0" applyFont="1" applyFill="1" applyBorder="1" applyAlignment="1">
      <alignment vertical="center" wrapText="1"/>
    </xf>
    <xf numFmtId="0" fontId="11" fillId="2" borderId="7" xfId="0" applyFont="1" applyFill="1" applyBorder="1" applyAlignment="1">
      <alignment horizontal="center" vertical="center" wrapText="1"/>
    </xf>
    <xf numFmtId="0" fontId="7" fillId="2" borderId="4" xfId="0" applyFont="1" applyFill="1" applyBorder="1" applyAlignment="1">
      <alignment horizontal="left" vertical="center" wrapText="1"/>
    </xf>
    <xf numFmtId="0" fontId="7" fillId="10" borderId="4" xfId="0" applyFont="1" applyFill="1" applyBorder="1" applyAlignment="1">
      <alignment horizontal="left" vertical="center" wrapText="1"/>
    </xf>
    <xf numFmtId="0" fontId="0" fillId="3" borderId="7" xfId="0" applyFill="1" applyBorder="1"/>
    <xf numFmtId="0" fontId="14" fillId="0" borderId="0" xfId="0" applyFont="1" applyAlignment="1">
      <alignment horizontal="center"/>
    </xf>
    <xf numFmtId="0" fontId="11" fillId="6" borderId="1" xfId="0" applyFont="1" applyFill="1" applyBorder="1" applyAlignment="1">
      <alignment vertical="center"/>
    </xf>
    <xf numFmtId="164" fontId="11" fillId="2" borderId="1" xfId="0" applyNumberFormat="1" applyFont="1" applyFill="1" applyBorder="1" applyAlignment="1">
      <alignment horizontal="center" vertical="center" wrapText="1"/>
    </xf>
    <xf numFmtId="14" fontId="0" fillId="9" borderId="1" xfId="0" applyNumberFormat="1" applyFill="1" applyBorder="1"/>
    <xf numFmtId="14" fontId="11" fillId="6" borderId="6" xfId="0" applyNumberFormat="1" applyFont="1" applyFill="1" applyBorder="1" applyAlignment="1">
      <alignment horizontal="center" vertical="center" wrapText="1"/>
    </xf>
    <xf numFmtId="14" fontId="7" fillId="7" borderId="9" xfId="0" applyNumberFormat="1" applyFont="1" applyFill="1" applyBorder="1" applyAlignment="1">
      <alignment vertical="center" wrapText="1"/>
    </xf>
    <xf numFmtId="14" fontId="0" fillId="0" borderId="6" xfId="0" applyNumberFormat="1" applyBorder="1"/>
    <xf numFmtId="14" fontId="4" fillId="0" borderId="3" xfId="0" applyNumberFormat="1" applyFont="1" applyBorder="1" applyAlignment="1">
      <alignment horizontal="left" vertical="center" wrapText="1"/>
    </xf>
    <xf numFmtId="14" fontId="4" fillId="0" borderId="3" xfId="0" applyNumberFormat="1" applyFont="1" applyBorder="1" applyAlignment="1">
      <alignment horizontal="center" vertical="center" wrapText="1"/>
    </xf>
    <xf numFmtId="0" fontId="0" fillId="0" borderId="0" xfId="0" applyBorder="1"/>
    <xf numFmtId="0" fontId="14" fillId="12" borderId="1" xfId="0" applyFont="1" applyFill="1" applyBorder="1" applyAlignment="1">
      <alignment horizontal="center" vertical="center" wrapText="1"/>
    </xf>
    <xf numFmtId="0" fontId="14" fillId="3" borderId="1" xfId="0" applyFont="1" applyFill="1" applyBorder="1" applyAlignment="1">
      <alignment horizontal="center" vertical="center" wrapText="1"/>
    </xf>
    <xf numFmtId="0" fontId="12" fillId="0" borderId="0" xfId="0" applyFont="1" applyAlignment="1">
      <alignment horizontal="center" vertical="center" wrapText="1"/>
    </xf>
    <xf numFmtId="0" fontId="0" fillId="0" borderId="0" xfId="0" applyFill="1"/>
    <xf numFmtId="14" fontId="0" fillId="0" borderId="6" xfId="0" applyNumberFormat="1" applyFill="1" applyBorder="1"/>
    <xf numFmtId="14" fontId="7" fillId="7" borderId="3" xfId="0" applyNumberFormat="1" applyFont="1" applyFill="1" applyBorder="1" applyAlignment="1">
      <alignment vertical="center" wrapText="1"/>
    </xf>
    <xf numFmtId="14" fontId="4" fillId="0" borderId="3" xfId="0" applyNumberFormat="1" applyFont="1" applyBorder="1" applyAlignment="1">
      <alignment vertical="center"/>
    </xf>
    <xf numFmtId="0" fontId="4" fillId="3" borderId="3" xfId="0" applyFont="1" applyFill="1" applyBorder="1" applyAlignment="1">
      <alignment horizontal="left" vertical="center"/>
    </xf>
    <xf numFmtId="0" fontId="4" fillId="3" borderId="3" xfId="0" applyFont="1" applyFill="1" applyBorder="1" applyAlignment="1">
      <alignment horizontal="center"/>
    </xf>
    <xf numFmtId="0" fontId="3" fillId="0" borderId="6" xfId="0" applyFont="1" applyFill="1" applyBorder="1" applyAlignment="1">
      <alignment horizontal="centerContinuous"/>
    </xf>
    <xf numFmtId="0" fontId="3" fillId="0" borderId="8" xfId="0" applyFont="1" applyFill="1" applyBorder="1" applyAlignment="1">
      <alignment horizontal="centerContinuous"/>
    </xf>
    <xf numFmtId="0" fontId="0" fillId="0" borderId="7" xfId="0" applyFill="1" applyBorder="1" applyAlignment="1">
      <alignment horizontal="centerContinuous"/>
    </xf>
    <xf numFmtId="0" fontId="0" fillId="16" borderId="0" xfId="0" applyFill="1"/>
    <xf numFmtId="0" fontId="0" fillId="12" borderId="0" xfId="0" applyFill="1"/>
    <xf numFmtId="0" fontId="0" fillId="12" borderId="0" xfId="0" applyFont="1" applyFill="1"/>
    <xf numFmtId="0" fontId="0" fillId="17" borderId="0" xfId="0" applyFont="1" applyFill="1"/>
    <xf numFmtId="0" fontId="0" fillId="18" borderId="0" xfId="0" applyFill="1"/>
    <xf numFmtId="0" fontId="0" fillId="19" borderId="0" xfId="0" applyFill="1"/>
    <xf numFmtId="0" fontId="0" fillId="20" borderId="0" xfId="0" applyFill="1"/>
    <xf numFmtId="0" fontId="0" fillId="21" borderId="0" xfId="0" applyFill="1"/>
    <xf numFmtId="0" fontId="0" fillId="22" borderId="0" xfId="0" applyFill="1"/>
    <xf numFmtId="0" fontId="15" fillId="23" borderId="18" xfId="0" applyFont="1" applyFill="1" applyBorder="1" applyAlignment="1">
      <alignment horizontal="left"/>
    </xf>
    <xf numFmtId="0" fontId="16" fillId="12" borderId="6" xfId="0" applyFont="1" applyFill="1" applyBorder="1" applyAlignment="1">
      <alignment vertical="top"/>
    </xf>
    <xf numFmtId="0" fontId="0" fillId="12" borderId="8" xfId="0" applyFill="1" applyBorder="1" applyAlignment="1">
      <alignment vertical="top" wrapText="1"/>
    </xf>
    <xf numFmtId="0" fontId="16" fillId="12" borderId="1" xfId="0" applyFont="1" applyFill="1" applyBorder="1" applyAlignment="1">
      <alignment horizontal="center" vertical="top" wrapText="1"/>
    </xf>
    <xf numFmtId="0" fontId="3" fillId="12" borderId="6" xfId="0" applyFont="1" applyFill="1" applyBorder="1" applyAlignment="1">
      <alignment horizontal="centerContinuous"/>
    </xf>
    <xf numFmtId="0" fontId="0" fillId="12" borderId="8" xfId="0" applyFill="1" applyBorder="1" applyAlignment="1">
      <alignment horizontal="centerContinuous"/>
    </xf>
    <xf numFmtId="0" fontId="0" fillId="12" borderId="7" xfId="0" applyFill="1" applyBorder="1" applyAlignment="1">
      <alignment horizontal="centerContinuous"/>
    </xf>
    <xf numFmtId="0" fontId="0" fillId="0" borderId="11" xfId="0" applyFill="1" applyBorder="1" applyAlignment="1">
      <alignment horizontal="center" vertical="center" wrapText="1"/>
    </xf>
    <xf numFmtId="0" fontId="0" fillId="0" borderId="1" xfId="0" applyFill="1" applyBorder="1" applyAlignment="1">
      <alignment horizontal="center" vertical="center"/>
    </xf>
    <xf numFmtId="0" fontId="0" fillId="0" borderId="1" xfId="0" applyFill="1" applyBorder="1" applyAlignment="1">
      <alignment horizontal="center" vertical="center" wrapText="1"/>
    </xf>
    <xf numFmtId="0" fontId="0" fillId="24" borderId="0" xfId="0" applyFill="1"/>
    <xf numFmtId="0" fontId="0" fillId="24" borderId="0" xfId="0" applyFont="1" applyFill="1"/>
    <xf numFmtId="0" fontId="0" fillId="25" borderId="0" xfId="0" applyFont="1" applyFill="1"/>
    <xf numFmtId="0" fontId="0" fillId="26" borderId="0" xfId="0" applyFont="1" applyFill="1"/>
    <xf numFmtId="0" fontId="0" fillId="27" borderId="0" xfId="0" applyFont="1" applyFill="1"/>
    <xf numFmtId="0" fontId="0" fillId="28" borderId="0" xfId="0" applyFill="1"/>
    <xf numFmtId="0" fontId="0" fillId="29" borderId="0" xfId="0" applyFill="1"/>
    <xf numFmtId="0" fontId="0" fillId="30" borderId="0" xfId="0" applyFill="1"/>
    <xf numFmtId="0" fontId="0" fillId="31" borderId="0" xfId="0" applyFill="1"/>
    <xf numFmtId="0" fontId="0" fillId="32" borderId="0" xfId="0" applyFill="1"/>
    <xf numFmtId="0" fontId="0" fillId="33" borderId="0" xfId="0" applyFill="1"/>
    <xf numFmtId="0" fontId="0" fillId="34" borderId="0" xfId="0" applyFill="1"/>
    <xf numFmtId="0" fontId="0" fillId="35" borderId="0" xfId="0" applyFill="1"/>
    <xf numFmtId="0" fontId="0" fillId="36" borderId="0" xfId="0" applyFill="1"/>
    <xf numFmtId="0" fontId="0" fillId="37" borderId="0" xfId="0" applyFill="1"/>
    <xf numFmtId="0" fontId="3" fillId="12" borderId="1" xfId="0" applyFont="1" applyFill="1" applyBorder="1" applyAlignment="1">
      <alignment horizontal="center"/>
    </xf>
    <xf numFmtId="14" fontId="0" fillId="0" borderId="1" xfId="0" applyNumberFormat="1" applyFill="1" applyBorder="1" applyAlignment="1">
      <alignment horizontal="center"/>
    </xf>
    <xf numFmtId="1" fontId="0" fillId="3" borderId="1" xfId="0" applyNumberFormat="1" applyFont="1" applyFill="1" applyBorder="1"/>
    <xf numFmtId="14" fontId="6" fillId="3" borderId="3" xfId="0" applyNumberFormat="1" applyFont="1" applyFill="1" applyBorder="1" applyAlignment="1">
      <alignment horizontal="center" vertical="center" wrapText="1"/>
    </xf>
    <xf numFmtId="14" fontId="6" fillId="9" borderId="1" xfId="0" applyNumberFormat="1" applyFont="1" applyFill="1" applyBorder="1" applyAlignment="1">
      <alignment vertical="center" wrapText="1"/>
    </xf>
    <xf numFmtId="14" fontId="9" fillId="38" borderId="3" xfId="0" applyNumberFormat="1" applyFont="1" applyFill="1" applyBorder="1" applyAlignment="1">
      <alignment horizontal="center" vertical="center" wrapText="1"/>
    </xf>
    <xf numFmtId="14" fontId="6" fillId="10" borderId="3" xfId="0" applyNumberFormat="1" applyFont="1" applyFill="1" applyBorder="1" applyAlignment="1">
      <alignment horizontal="center" vertical="center" wrapText="1"/>
    </xf>
    <xf numFmtId="14" fontId="10" fillId="10" borderId="5" xfId="0" applyNumberFormat="1" applyFont="1" applyFill="1" applyBorder="1" applyAlignment="1">
      <alignment horizontal="center"/>
    </xf>
    <xf numFmtId="0" fontId="7" fillId="38" borderId="3" xfId="0" applyFont="1" applyFill="1" applyBorder="1" applyAlignment="1">
      <alignment horizontal="center" vertical="center" wrapText="1"/>
    </xf>
    <xf numFmtId="14" fontId="7" fillId="38" borderId="3" xfId="0" applyNumberFormat="1" applyFont="1" applyFill="1" applyBorder="1" applyAlignment="1">
      <alignment vertical="center" wrapText="1"/>
    </xf>
    <xf numFmtId="0" fontId="7" fillId="38" borderId="3" xfId="0" applyFont="1" applyFill="1" applyBorder="1" applyAlignment="1">
      <alignment vertical="center" wrapText="1"/>
    </xf>
    <xf numFmtId="1" fontId="7" fillId="38" borderId="3" xfId="0" applyNumberFormat="1" applyFont="1" applyFill="1" applyBorder="1" applyAlignment="1">
      <alignment horizontal="left" vertical="center" wrapText="1"/>
    </xf>
    <xf numFmtId="14" fontId="7" fillId="38" borderId="9" xfId="0" applyNumberFormat="1" applyFont="1" applyFill="1" applyBorder="1" applyAlignment="1">
      <alignment vertical="center" wrapText="1"/>
    </xf>
    <xf numFmtId="0" fontId="7" fillId="0" borderId="3" xfId="0" applyFont="1" applyFill="1" applyBorder="1" applyAlignment="1">
      <alignment horizontal="center" vertical="center" wrapText="1"/>
    </xf>
    <xf numFmtId="14" fontId="7" fillId="0" borderId="3" xfId="0" applyNumberFormat="1" applyFont="1" applyFill="1" applyBorder="1" applyAlignment="1">
      <alignment vertical="center" wrapText="1"/>
    </xf>
    <xf numFmtId="0" fontId="7" fillId="0" borderId="3" xfId="0" applyFont="1" applyFill="1" applyBorder="1" applyAlignment="1">
      <alignment vertical="center" wrapText="1"/>
    </xf>
    <xf numFmtId="14" fontId="7" fillId="0" borderId="9" xfId="0" applyNumberFormat="1" applyFont="1" applyFill="1" applyBorder="1" applyAlignment="1">
      <alignment vertical="center" wrapText="1"/>
    </xf>
    <xf numFmtId="1" fontId="7" fillId="3" borderId="3" xfId="0" applyNumberFormat="1" applyFont="1" applyFill="1" applyBorder="1" applyAlignment="1">
      <alignment horizontal="left" vertical="center" wrapText="1"/>
    </xf>
    <xf numFmtId="0" fontId="7" fillId="3" borderId="3" xfId="0" applyFont="1" applyFill="1" applyBorder="1" applyAlignment="1">
      <alignment vertical="center" wrapText="1"/>
    </xf>
    <xf numFmtId="0" fontId="7" fillId="3" borderId="3" xfId="0" applyFont="1" applyFill="1" applyBorder="1" applyAlignment="1">
      <alignment horizontal="center" vertical="center" wrapText="1"/>
    </xf>
    <xf numFmtId="0" fontId="7" fillId="3" borderId="4" xfId="0" applyFont="1" applyFill="1" applyBorder="1" applyAlignment="1">
      <alignment horizontal="left" vertical="center" wrapText="1"/>
    </xf>
    <xf numFmtId="14" fontId="0" fillId="9" borderId="6" xfId="0" applyNumberFormat="1" applyFill="1" applyBorder="1"/>
    <xf numFmtId="0" fontId="0" fillId="9" borderId="7" xfId="0" applyFill="1" applyBorder="1"/>
    <xf numFmtId="0" fontId="4" fillId="9" borderId="3" xfId="0" applyFont="1" applyFill="1" applyBorder="1" applyAlignment="1">
      <alignment horizontal="center" vertical="center"/>
    </xf>
    <xf numFmtId="14" fontId="4" fillId="9" borderId="3" xfId="0" applyNumberFormat="1" applyFont="1" applyFill="1" applyBorder="1" applyAlignment="1">
      <alignment vertical="center"/>
    </xf>
    <xf numFmtId="0" fontId="4" fillId="9" borderId="3" xfId="0" applyFont="1" applyFill="1" applyBorder="1" applyAlignment="1">
      <alignment vertical="center"/>
    </xf>
    <xf numFmtId="0" fontId="4" fillId="9" borderId="3" xfId="0" applyFont="1" applyFill="1" applyBorder="1" applyAlignment="1">
      <alignment horizontal="left" vertical="center"/>
    </xf>
    <xf numFmtId="0" fontId="4" fillId="9" borderId="3" xfId="0" applyFont="1" applyFill="1" applyBorder="1" applyAlignment="1">
      <alignment wrapText="1"/>
    </xf>
    <xf numFmtId="0" fontId="4" fillId="9" borderId="3" xfId="0" applyFont="1" applyFill="1" applyBorder="1" applyAlignment="1">
      <alignment horizontal="center"/>
    </xf>
    <xf numFmtId="14" fontId="4" fillId="9" borderId="3" xfId="0" applyNumberFormat="1" applyFont="1" applyFill="1" applyBorder="1" applyAlignment="1">
      <alignment horizontal="left" vertical="center" wrapText="1"/>
    </xf>
    <xf numFmtId="0" fontId="4" fillId="9" borderId="3" xfId="0" applyFont="1" applyFill="1" applyBorder="1" applyAlignment="1">
      <alignment horizontal="left" vertical="center" wrapText="1"/>
    </xf>
    <xf numFmtId="0" fontId="4" fillId="10" borderId="3" xfId="0" applyFont="1" applyFill="1" applyBorder="1" applyAlignment="1">
      <alignment horizontal="center" vertical="center" wrapText="1"/>
    </xf>
    <xf numFmtId="0" fontId="4" fillId="10" borderId="3" xfId="0" applyFont="1" applyFill="1" applyBorder="1" applyAlignment="1">
      <alignment horizontal="left" vertical="center" wrapText="1"/>
    </xf>
    <xf numFmtId="14" fontId="4" fillId="10" borderId="3" xfId="0" applyNumberFormat="1" applyFont="1" applyFill="1" applyBorder="1" applyAlignment="1">
      <alignment horizontal="center"/>
    </xf>
    <xf numFmtId="0" fontId="4" fillId="9" borderId="3" xfId="0" applyFont="1" applyFill="1" applyBorder="1" applyAlignment="1">
      <alignment horizontal="center" vertical="center" wrapText="1"/>
    </xf>
    <xf numFmtId="14" fontId="4" fillId="9" borderId="3" xfId="0" applyNumberFormat="1" applyFont="1" applyFill="1" applyBorder="1" applyAlignment="1">
      <alignment horizontal="center" vertical="center" wrapText="1"/>
    </xf>
    <xf numFmtId="14" fontId="4" fillId="10" borderId="3" xfId="0" applyNumberFormat="1" applyFont="1" applyFill="1" applyBorder="1" applyAlignment="1">
      <alignment horizontal="center" vertical="center" wrapText="1"/>
    </xf>
    <xf numFmtId="0" fontId="4" fillId="9" borderId="3" xfId="0" applyFont="1" applyFill="1" applyBorder="1"/>
    <xf numFmtId="0" fontId="4" fillId="0" borderId="3" xfId="0" applyFont="1" applyFill="1" applyBorder="1" applyAlignment="1">
      <alignment horizontal="center" vertical="center" wrapText="1"/>
    </xf>
    <xf numFmtId="14" fontId="4" fillId="0" borderId="3" xfId="0" applyNumberFormat="1" applyFont="1" applyFill="1" applyBorder="1" applyAlignment="1">
      <alignment horizontal="center" vertical="center" wrapText="1"/>
    </xf>
    <xf numFmtId="0" fontId="4" fillId="0" borderId="3" xfId="0" applyFont="1" applyFill="1" applyBorder="1"/>
    <xf numFmtId="0" fontId="4" fillId="3" borderId="3" xfId="0" applyFont="1" applyFill="1" applyBorder="1" applyAlignment="1">
      <alignment horizontal="center" vertical="center" wrapText="1"/>
    </xf>
    <xf numFmtId="14" fontId="4" fillId="3" borderId="3" xfId="0" applyNumberFormat="1" applyFont="1" applyFill="1" applyBorder="1" applyAlignment="1">
      <alignment horizontal="center" vertical="center" wrapText="1"/>
    </xf>
    <xf numFmtId="0" fontId="11" fillId="6" borderId="1" xfId="0" applyNumberFormat="1" applyFont="1" applyFill="1" applyBorder="1" applyAlignment="1">
      <alignment horizontal="center" vertical="center" wrapText="1"/>
    </xf>
    <xf numFmtId="0" fontId="6" fillId="0" borderId="1" xfId="0" applyNumberFormat="1" applyFont="1" applyFill="1" applyBorder="1" applyAlignment="1">
      <alignment vertical="center" wrapText="1"/>
    </xf>
    <xf numFmtId="0" fontId="6" fillId="9" borderId="1" xfId="0" applyNumberFormat="1" applyFont="1" applyFill="1" applyBorder="1" applyAlignment="1">
      <alignment vertical="center" wrapText="1"/>
    </xf>
    <xf numFmtId="0" fontId="6" fillId="8" borderId="1" xfId="0" applyNumberFormat="1" applyFont="1" applyFill="1" applyBorder="1" applyAlignment="1">
      <alignment vertical="center" wrapText="1"/>
    </xf>
    <xf numFmtId="0" fontId="0" fillId="0" borderId="1" xfId="0" applyNumberFormat="1" applyFill="1" applyBorder="1"/>
    <xf numFmtId="0" fontId="0" fillId="9" borderId="1" xfId="0" applyNumberFormat="1" applyFill="1" applyBorder="1"/>
    <xf numFmtId="0" fontId="0" fillId="0" borderId="1" xfId="0" applyNumberFormat="1" applyBorder="1"/>
    <xf numFmtId="0" fontId="7" fillId="38" borderId="3" xfId="0" applyNumberFormat="1" applyFont="1" applyFill="1" applyBorder="1" applyAlignment="1">
      <alignment vertical="center" wrapText="1"/>
    </xf>
    <xf numFmtId="0" fontId="7" fillId="7" borderId="3" xfId="0" applyNumberFormat="1" applyFont="1" applyFill="1" applyBorder="1" applyAlignment="1">
      <alignment vertical="center" wrapText="1"/>
    </xf>
    <xf numFmtId="0" fontId="7" fillId="0" borderId="3" xfId="0" applyNumberFormat="1" applyFont="1" applyFill="1" applyBorder="1" applyAlignment="1">
      <alignment vertical="center" wrapText="1"/>
    </xf>
    <xf numFmtId="0" fontId="4" fillId="9" borderId="3" xfId="0" applyNumberFormat="1" applyFont="1" applyFill="1" applyBorder="1" applyAlignment="1">
      <alignment vertical="center"/>
    </xf>
    <xf numFmtId="0" fontId="4" fillId="0" borderId="3" xfId="0" applyNumberFormat="1" applyFont="1" applyBorder="1" applyAlignment="1">
      <alignment vertical="center"/>
    </xf>
    <xf numFmtId="0" fontId="4" fillId="0" borderId="3" xfId="0" applyNumberFormat="1" applyFont="1" applyBorder="1" applyAlignment="1">
      <alignment horizontal="center" vertical="center" wrapText="1"/>
    </xf>
    <xf numFmtId="0" fontId="4" fillId="9" borderId="3" xfId="0" applyNumberFormat="1" applyFont="1" applyFill="1" applyBorder="1" applyAlignment="1">
      <alignment horizontal="center" vertical="center" wrapText="1"/>
    </xf>
    <xf numFmtId="0" fontId="4" fillId="0" borderId="3" xfId="0" applyNumberFormat="1" applyFont="1" applyFill="1" applyBorder="1" applyAlignment="1">
      <alignment horizontal="center" vertical="center" wrapText="1"/>
    </xf>
    <xf numFmtId="0" fontId="4" fillId="3" borderId="3" xfId="0" applyFont="1" applyFill="1" applyBorder="1" applyAlignment="1">
      <alignment horizontal="center" vertical="center"/>
    </xf>
    <xf numFmtId="0" fontId="0" fillId="3" borderId="1" xfId="0" applyFill="1" applyBorder="1" applyAlignment="1"/>
    <xf numFmtId="0" fontId="0" fillId="9" borderId="1" xfId="0" applyFill="1" applyBorder="1" applyAlignment="1"/>
    <xf numFmtId="0" fontId="0" fillId="0" borderId="0" xfId="0" applyFont="1" applyAlignment="1"/>
    <xf numFmtId="0" fontId="19" fillId="2" borderId="1" xfId="0" applyFont="1" applyFill="1" applyBorder="1" applyAlignment="1">
      <alignment horizontal="center" vertical="center" wrapText="1"/>
    </xf>
    <xf numFmtId="0" fontId="8" fillId="2" borderId="1" xfId="0" applyFont="1" applyFill="1" applyBorder="1" applyAlignment="1">
      <alignment horizontal="center" vertical="center" wrapText="1"/>
    </xf>
    <xf numFmtId="0" fontId="8" fillId="8" borderId="1" xfId="0" applyFont="1" applyFill="1" applyBorder="1" applyAlignment="1">
      <alignment horizontal="center" vertical="center" wrapText="1"/>
    </xf>
    <xf numFmtId="0" fontId="19" fillId="8" borderId="1" xfId="0" applyFont="1" applyFill="1" applyBorder="1" applyAlignment="1">
      <alignment horizontal="center" vertical="center" wrapText="1"/>
    </xf>
    <xf numFmtId="0" fontId="8" fillId="8" borderId="1" xfId="0" applyFont="1" applyFill="1" applyBorder="1" applyAlignment="1">
      <alignment horizontal="left" vertical="center" wrapText="1"/>
    </xf>
    <xf numFmtId="164" fontId="8" fillId="8" borderId="1" xfId="0" applyNumberFormat="1" applyFont="1" applyFill="1" applyBorder="1" applyAlignment="1">
      <alignment horizontal="center" vertical="center" wrapText="1"/>
    </xf>
    <xf numFmtId="164" fontId="8" fillId="7" borderId="1" xfId="0" applyNumberFormat="1" applyFont="1" applyFill="1" applyBorder="1" applyAlignment="1">
      <alignment horizontal="center" vertical="center" wrapText="1"/>
    </xf>
    <xf numFmtId="0" fontId="8" fillId="7" borderId="1" xfId="0" applyFont="1" applyFill="1" applyBorder="1" applyAlignment="1">
      <alignment horizontal="center" vertical="center" wrapText="1"/>
    </xf>
    <xf numFmtId="0" fontId="8" fillId="7" borderId="1" xfId="0" applyFont="1" applyFill="1" applyBorder="1" applyAlignment="1">
      <alignment horizontal="left" vertical="center" wrapText="1"/>
    </xf>
    <xf numFmtId="0" fontId="8" fillId="39" borderId="1" xfId="0" applyFont="1" applyFill="1" applyBorder="1" applyAlignment="1">
      <alignment horizontal="center" vertical="center" wrapText="1"/>
    </xf>
    <xf numFmtId="0" fontId="20" fillId="7" borderId="1" xfId="0" applyFont="1" applyFill="1" applyBorder="1" applyAlignment="1">
      <alignment horizontal="left" vertical="center" wrapText="1"/>
    </xf>
    <xf numFmtId="0" fontId="21" fillId="7" borderId="1" xfId="0" applyFont="1" applyFill="1" applyBorder="1" applyAlignment="1">
      <alignment horizontal="center" vertical="center" wrapText="1"/>
    </xf>
    <xf numFmtId="0" fontId="20" fillId="7" borderId="1" xfId="0" applyFont="1" applyFill="1" applyBorder="1" applyAlignment="1">
      <alignment horizontal="center" vertical="center" wrapText="1"/>
    </xf>
    <xf numFmtId="0" fontId="22" fillId="7" borderId="1" xfId="0" applyFont="1" applyFill="1" applyBorder="1" applyAlignment="1">
      <alignment horizontal="center" vertical="center" wrapText="1"/>
    </xf>
    <xf numFmtId="0" fontId="24" fillId="7" borderId="1" xfId="0" applyFont="1" applyFill="1" applyBorder="1" applyAlignment="1">
      <alignment horizontal="center" vertical="center" wrapText="1"/>
    </xf>
    <xf numFmtId="164" fontId="8" fillId="0" borderId="1" xfId="0" applyNumberFormat="1" applyFont="1" applyBorder="1" applyAlignment="1">
      <alignment horizontal="center" vertical="center" wrapText="1"/>
    </xf>
    <xf numFmtId="0" fontId="8" fillId="0" borderId="1" xfId="0" applyFont="1" applyBorder="1" applyAlignment="1">
      <alignment horizontal="center" vertical="center" wrapText="1"/>
    </xf>
    <xf numFmtId="166" fontId="8" fillId="0" borderId="1" xfId="0" applyNumberFormat="1" applyFont="1" applyBorder="1" applyAlignment="1">
      <alignment horizontal="center" vertical="center" wrapText="1"/>
    </xf>
    <xf numFmtId="0" fontId="8" fillId="0" borderId="1" xfId="0" applyFont="1" applyBorder="1" applyAlignment="1">
      <alignment horizontal="left" vertical="center" wrapText="1"/>
    </xf>
    <xf numFmtId="0" fontId="24" fillId="40" borderId="1" xfId="0" applyFont="1" applyFill="1" applyBorder="1" applyAlignment="1">
      <alignment horizontal="center" vertical="center" wrapText="1"/>
    </xf>
    <xf numFmtId="167" fontId="8" fillId="0" borderId="1" xfId="0" applyNumberFormat="1" applyFont="1" applyBorder="1" applyAlignment="1">
      <alignment horizontal="center" vertical="center" wrapText="1"/>
    </xf>
    <xf numFmtId="0" fontId="8" fillId="0" borderId="1" xfId="0" applyFont="1" applyBorder="1" applyAlignment="1">
      <alignment horizontal="left" vertical="center"/>
    </xf>
    <xf numFmtId="0" fontId="25" fillId="0" borderId="1" xfId="0" applyFont="1" applyBorder="1" applyAlignment="1">
      <alignment horizontal="center" vertical="center" wrapText="1"/>
    </xf>
    <xf numFmtId="0" fontId="8" fillId="39" borderId="1" xfId="0" applyFont="1" applyFill="1" applyBorder="1" applyAlignment="1"/>
    <xf numFmtId="0" fontId="26" fillId="2" borderId="1" xfId="0" applyFont="1" applyFill="1" applyBorder="1" applyAlignment="1">
      <alignment horizontal="center" vertical="center" wrapText="1"/>
    </xf>
    <xf numFmtId="0" fontId="27" fillId="2" borderId="1" xfId="0" applyFont="1" applyFill="1" applyBorder="1" applyAlignment="1"/>
    <xf numFmtId="0" fontId="8" fillId="0" borderId="1" xfId="0" applyFont="1" applyBorder="1"/>
    <xf numFmtId="0" fontId="8" fillId="0" borderId="1" xfId="0" applyFont="1" applyBorder="1" applyAlignment="1">
      <alignment horizontal="left"/>
    </xf>
    <xf numFmtId="0" fontId="9" fillId="2" borderId="1" xfId="0" applyFont="1" applyFill="1" applyBorder="1" applyAlignment="1">
      <alignment horizontal="center" vertical="center" wrapText="1"/>
    </xf>
    <xf numFmtId="165" fontId="8" fillId="0" borderId="1" xfId="0" applyNumberFormat="1" applyFont="1" applyBorder="1" applyAlignment="1">
      <alignment horizontal="center" vertical="center" wrapText="1"/>
    </xf>
    <xf numFmtId="0" fontId="13" fillId="6" borderId="1" xfId="0" applyFont="1" applyFill="1" applyBorder="1" applyAlignment="1">
      <alignment horizontal="center" vertical="center" wrapText="1"/>
    </xf>
    <xf numFmtId="0" fontId="2" fillId="0" borderId="0" xfId="0" applyFont="1" applyAlignment="1">
      <alignment horizontal="center" vertical="center"/>
    </xf>
    <xf numFmtId="0" fontId="28" fillId="6" borderId="1" xfId="0" applyFont="1" applyFill="1" applyBorder="1" applyAlignment="1">
      <alignment horizontal="center" vertical="center" wrapText="1"/>
    </xf>
    <xf numFmtId="0" fontId="11" fillId="4" borderId="1" xfId="0" applyFont="1" applyFill="1" applyBorder="1" applyAlignment="1">
      <alignment horizontal="center" vertical="center" wrapText="1"/>
    </xf>
    <xf numFmtId="0" fontId="8" fillId="11" borderId="1" xfId="0" applyFont="1" applyFill="1" applyBorder="1" applyAlignment="1">
      <alignment horizontal="center" vertical="center" wrapText="1"/>
    </xf>
    <xf numFmtId="0" fontId="20" fillId="11" borderId="1" xfId="0" applyFont="1" applyFill="1" applyBorder="1" applyAlignment="1">
      <alignment horizontal="center" vertical="center" wrapText="1"/>
    </xf>
    <xf numFmtId="0" fontId="23" fillId="11" borderId="1" xfId="0" applyFont="1" applyFill="1" applyBorder="1" applyAlignment="1">
      <alignment horizontal="center" vertical="center" wrapText="1"/>
    </xf>
    <xf numFmtId="0" fontId="8" fillId="3" borderId="1" xfId="0" applyFont="1" applyFill="1" applyBorder="1" applyAlignment="1">
      <alignment horizontal="center" vertical="center" wrapText="1"/>
    </xf>
    <xf numFmtId="0" fontId="5" fillId="2" borderId="3" xfId="0" applyFont="1" applyFill="1" applyBorder="1" applyAlignment="1">
      <alignment horizontal="center" vertical="center" wrapText="1"/>
    </xf>
    <xf numFmtId="0" fontId="4" fillId="0" borderId="3" xfId="0" applyFont="1" applyBorder="1" applyAlignment="1">
      <alignment vertical="center" wrapText="1"/>
    </xf>
    <xf numFmtId="0" fontId="4" fillId="2" borderId="3" xfId="0" applyFont="1" applyFill="1" applyBorder="1" applyAlignment="1">
      <alignment vertical="center"/>
    </xf>
    <xf numFmtId="164" fontId="4" fillId="2" borderId="3" xfId="0" applyNumberFormat="1" applyFont="1" applyFill="1" applyBorder="1" applyAlignment="1">
      <alignment horizontal="center" vertical="center"/>
    </xf>
    <xf numFmtId="0" fontId="29" fillId="7" borderId="3" xfId="0" applyFont="1" applyFill="1" applyBorder="1" applyAlignment="1">
      <alignment horizontal="left" vertical="center"/>
    </xf>
    <xf numFmtId="0" fontId="5" fillId="2" borderId="3" xfId="0" applyFont="1" applyFill="1" applyBorder="1" applyAlignment="1">
      <alignment vertical="center" wrapText="1"/>
    </xf>
    <xf numFmtId="0" fontId="29" fillId="7" borderId="0" xfId="0" applyFont="1" applyFill="1" applyAlignment="1">
      <alignment horizontal="left"/>
    </xf>
    <xf numFmtId="0" fontId="11" fillId="2" borderId="3" xfId="0" applyFont="1" applyFill="1" applyBorder="1" applyAlignment="1">
      <alignment horizontal="center" vertical="center" wrapText="1"/>
    </xf>
    <xf numFmtId="164" fontId="11" fillId="2" borderId="3" xfId="0" applyNumberFormat="1" applyFont="1" applyFill="1" applyBorder="1" applyAlignment="1">
      <alignment horizontal="center" vertical="center" wrapText="1"/>
    </xf>
    <xf numFmtId="0" fontId="4" fillId="2" borderId="3" xfId="0" applyFont="1" applyFill="1" applyBorder="1" applyAlignment="1">
      <alignment vertical="center" wrapText="1"/>
    </xf>
    <xf numFmtId="164" fontId="4" fillId="2" borderId="3" xfId="0" applyNumberFormat="1" applyFont="1" applyFill="1" applyBorder="1" applyAlignment="1">
      <alignment vertical="center"/>
    </xf>
    <xf numFmtId="164" fontId="29" fillId="7" borderId="3" xfId="0" applyNumberFormat="1" applyFont="1" applyFill="1" applyBorder="1" applyAlignment="1">
      <alignment horizontal="center" vertical="center"/>
    </xf>
    <xf numFmtId="0" fontId="29" fillId="7" borderId="3" xfId="0" applyFont="1" applyFill="1" applyBorder="1" applyAlignment="1">
      <alignment horizontal="center" vertical="center"/>
    </xf>
    <xf numFmtId="0" fontId="4" fillId="0" borderId="4" xfId="0" applyFont="1" applyBorder="1" applyAlignment="1">
      <alignment vertical="center"/>
    </xf>
    <xf numFmtId="0" fontId="4" fillId="0" borderId="4" xfId="0" applyFont="1" applyBorder="1" applyAlignment="1">
      <alignment vertical="center" wrapText="1"/>
    </xf>
    <xf numFmtId="0" fontId="4" fillId="0" borderId="4" xfId="0" applyFont="1" applyBorder="1" applyAlignment="1">
      <alignment horizontal="left" vertical="center"/>
    </xf>
    <xf numFmtId="164" fontId="4" fillId="0" borderId="4" xfId="0" applyNumberFormat="1" applyFont="1" applyBorder="1" applyAlignment="1">
      <alignment horizontal="center" vertical="center"/>
    </xf>
    <xf numFmtId="0" fontId="4" fillId="2" borderId="4" xfId="0" applyFont="1" applyFill="1" applyBorder="1" applyAlignment="1">
      <alignment vertical="center"/>
    </xf>
    <xf numFmtId="164" fontId="4" fillId="2" borderId="4" xfId="0" applyNumberFormat="1" applyFont="1" applyFill="1" applyBorder="1" applyAlignment="1">
      <alignment vertical="center"/>
    </xf>
    <xf numFmtId="0" fontId="4" fillId="0" borderId="5" xfId="0" applyFont="1" applyBorder="1" applyAlignment="1">
      <alignment vertical="center"/>
    </xf>
    <xf numFmtId="0" fontId="4" fillId="0" borderId="5" xfId="0" applyFont="1" applyBorder="1" applyAlignment="1">
      <alignment vertical="center" wrapText="1"/>
    </xf>
    <xf numFmtId="0" fontId="4" fillId="0" borderId="5" xfId="0" applyFont="1" applyBorder="1" applyAlignment="1">
      <alignment horizontal="left" vertical="center"/>
    </xf>
    <xf numFmtId="0" fontId="4" fillId="0" borderId="5" xfId="0" applyFont="1" applyBorder="1" applyAlignment="1">
      <alignment horizontal="center" vertical="center"/>
    </xf>
    <xf numFmtId="0" fontId="4" fillId="2" borderId="5" xfId="0" applyFont="1" applyFill="1" applyBorder="1" applyAlignment="1">
      <alignment vertical="center"/>
    </xf>
    <xf numFmtId="164" fontId="4" fillId="2" borderId="5" xfId="0" applyNumberFormat="1" applyFont="1" applyFill="1" applyBorder="1" applyAlignment="1">
      <alignment vertical="center"/>
    </xf>
    <xf numFmtId="164" fontId="4" fillId="2" borderId="3" xfId="0" applyNumberFormat="1" applyFont="1" applyFill="1" applyBorder="1" applyAlignment="1">
      <alignment horizontal="center" vertical="center" wrapText="1"/>
    </xf>
    <xf numFmtId="0" fontId="4" fillId="8" borderId="3" xfId="0" applyFont="1" applyFill="1" applyBorder="1" applyAlignment="1">
      <alignment horizontal="center" vertical="center" wrapText="1"/>
    </xf>
    <xf numFmtId="0" fontId="4" fillId="8" borderId="3" xfId="0" applyFont="1" applyFill="1" applyBorder="1" applyAlignment="1">
      <alignment vertical="center" wrapText="1"/>
    </xf>
    <xf numFmtId="0" fontId="4" fillId="8" borderId="3" xfId="0" applyFont="1" applyFill="1" applyBorder="1" applyAlignment="1">
      <alignment horizontal="left" vertical="center" wrapText="1"/>
    </xf>
    <xf numFmtId="164" fontId="4" fillId="8" borderId="3" xfId="0" applyNumberFormat="1" applyFont="1" applyFill="1" applyBorder="1" applyAlignment="1">
      <alignment horizontal="center" vertical="center" wrapText="1"/>
    </xf>
    <xf numFmtId="166" fontId="4" fillId="0" borderId="3" xfId="0" applyNumberFormat="1" applyFont="1" applyBorder="1" applyAlignment="1">
      <alignment horizontal="center" vertical="center" wrapText="1"/>
    </xf>
    <xf numFmtId="14" fontId="7" fillId="10" borderId="3" xfId="0" applyNumberFormat="1" applyFont="1" applyFill="1" applyBorder="1" applyAlignment="1">
      <alignment horizontal="center" vertical="center" wrapText="1"/>
    </xf>
    <xf numFmtId="14" fontId="7" fillId="2" borderId="3" xfId="0" applyNumberFormat="1" applyFont="1" applyFill="1" applyBorder="1" applyAlignment="1">
      <alignment horizontal="center" vertical="center" wrapText="1"/>
    </xf>
    <xf numFmtId="14" fontId="7" fillId="3" borderId="3" xfId="0" applyNumberFormat="1" applyFont="1" applyFill="1" applyBorder="1" applyAlignment="1">
      <alignment horizontal="center" vertical="center" wrapText="1"/>
    </xf>
    <xf numFmtId="14" fontId="11" fillId="12" borderId="1" xfId="0" applyNumberFormat="1" applyFont="1" applyFill="1" applyBorder="1" applyAlignment="1">
      <alignment horizontal="center" vertical="center" wrapText="1"/>
    </xf>
    <xf numFmtId="0" fontId="4" fillId="41" borderId="3" xfId="0" applyFont="1" applyFill="1" applyBorder="1" applyAlignment="1">
      <alignment vertical="center" wrapText="1"/>
    </xf>
    <xf numFmtId="0" fontId="4" fillId="41" borderId="3" xfId="0" applyFont="1" applyFill="1" applyBorder="1" applyAlignment="1">
      <alignment vertical="center"/>
    </xf>
    <xf numFmtId="164" fontId="4" fillId="41" borderId="3" xfId="0" applyNumberFormat="1" applyFont="1" applyFill="1" applyBorder="1" applyAlignment="1">
      <alignment vertical="center"/>
    </xf>
    <xf numFmtId="0" fontId="30" fillId="0" borderId="0" xfId="0" applyFont="1"/>
    <xf numFmtId="0" fontId="31" fillId="0" borderId="19" xfId="1" applyFill="1" applyBorder="1" applyAlignment="1">
      <alignment horizontal="center" vertical="center"/>
    </xf>
    <xf numFmtId="0" fontId="18" fillId="12" borderId="12" xfId="0" applyFont="1" applyFill="1" applyBorder="1" applyAlignment="1">
      <alignment horizontal="center" vertical="center"/>
    </xf>
    <xf numFmtId="0" fontId="18" fillId="12" borderId="13" xfId="0" applyFont="1" applyFill="1" applyBorder="1" applyAlignment="1">
      <alignment horizontal="center" vertical="center"/>
    </xf>
    <xf numFmtId="0" fontId="18" fillId="12" borderId="14" xfId="0" applyFont="1" applyFill="1" applyBorder="1" applyAlignment="1">
      <alignment horizontal="center" vertical="center"/>
    </xf>
    <xf numFmtId="0" fontId="18" fillId="12" borderId="15" xfId="0" applyFont="1" applyFill="1" applyBorder="1" applyAlignment="1">
      <alignment horizontal="center" vertical="center"/>
    </xf>
    <xf numFmtId="0" fontId="18" fillId="12" borderId="2" xfId="0" applyFont="1" applyFill="1" applyBorder="1" applyAlignment="1">
      <alignment horizontal="center" vertical="center"/>
    </xf>
    <xf numFmtId="0" fontId="18" fillId="12" borderId="16" xfId="0" applyFont="1" applyFill="1" applyBorder="1" applyAlignment="1">
      <alignment horizontal="center" vertical="center"/>
    </xf>
    <xf numFmtId="0" fontId="17" fillId="0" borderId="10" xfId="0" applyFont="1" applyFill="1" applyBorder="1" applyAlignment="1">
      <alignment horizontal="left" vertical="top" wrapText="1"/>
    </xf>
    <xf numFmtId="0" fontId="17" fillId="0" borderId="0" xfId="0" applyFont="1" applyFill="1" applyBorder="1" applyAlignment="1">
      <alignment horizontal="left" vertical="top" wrapText="1"/>
    </xf>
    <xf numFmtId="0" fontId="17" fillId="0" borderId="17" xfId="0" applyFont="1" applyFill="1" applyBorder="1" applyAlignment="1">
      <alignment horizontal="left" vertical="top" wrapText="1"/>
    </xf>
    <xf numFmtId="0" fontId="17" fillId="0" borderId="15" xfId="0" applyFont="1" applyFill="1" applyBorder="1" applyAlignment="1">
      <alignment horizontal="left" vertical="top" wrapText="1"/>
    </xf>
    <xf numFmtId="0" fontId="17" fillId="0" borderId="2" xfId="0" applyFont="1" applyFill="1" applyBorder="1" applyAlignment="1">
      <alignment horizontal="left" vertical="top" wrapText="1"/>
    </xf>
    <xf numFmtId="0" fontId="17" fillId="0" borderId="16" xfId="0" applyFont="1" applyFill="1" applyBorder="1" applyAlignment="1">
      <alignment horizontal="left" vertical="top" wrapText="1"/>
    </xf>
    <xf numFmtId="0" fontId="32" fillId="15" borderId="11" xfId="0" applyFont="1" applyFill="1" applyBorder="1" applyAlignment="1">
      <alignment vertical="top" wrapText="1"/>
    </xf>
  </cellXfs>
  <cellStyles count="2">
    <cellStyle name="Гиперссылка" xfId="1" builtinId="8"/>
    <cellStyle name="Обычный" xfId="0" builtinId="0"/>
  </cellStyles>
  <dxfs count="0"/>
  <tableStyles count="0" defaultTableStyle="TableStyleMedium2" defaultPivotStyle="PivotStyleLight16"/>
  <colors>
    <mruColors>
      <color rgb="FF00FFFF"/>
      <color rgb="FF00FF00"/>
      <color rgb="FF00CC00"/>
      <color rgb="FFFFFFFF"/>
      <color rgb="FFF3F1F1"/>
      <color rgb="FFEDEBEB"/>
      <color rgb="FFE3E1E1"/>
      <color rgb="FFDBD7D7"/>
      <color rgb="FFD1CDCD"/>
      <color rgb="FFC6C2C2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/>
  <dimension ref="A1:Z58"/>
  <sheetViews>
    <sheetView tabSelected="1" zoomScaleNormal="100" workbookViewId="0">
      <selection activeCell="B3" sqref="B3"/>
    </sheetView>
  </sheetViews>
  <sheetFormatPr defaultRowHeight="15"/>
  <cols>
    <col min="2" max="2" width="29.140625" customWidth="1"/>
    <col min="8" max="8" width="9.140625" customWidth="1"/>
    <col min="26" max="26" width="9.140625" hidden="1" customWidth="1"/>
  </cols>
  <sheetData>
    <row r="1" spans="1:26">
      <c r="A1" s="77"/>
      <c r="B1" s="77"/>
      <c r="C1" s="77"/>
      <c r="D1" s="77"/>
      <c r="E1" s="77"/>
      <c r="F1" s="77"/>
      <c r="G1" s="77"/>
      <c r="H1" s="77"/>
      <c r="I1" s="77"/>
      <c r="J1" s="77"/>
      <c r="K1" s="77"/>
      <c r="L1" s="77"/>
      <c r="M1" s="77"/>
      <c r="N1" s="77"/>
      <c r="O1" s="77"/>
      <c r="P1" s="77"/>
      <c r="Q1" s="77"/>
      <c r="R1" s="77"/>
      <c r="S1" s="77"/>
      <c r="T1" s="77"/>
      <c r="U1" s="77"/>
      <c r="V1" s="77"/>
      <c r="W1" s="77"/>
      <c r="X1" s="77"/>
      <c r="Y1" s="77"/>
      <c r="Z1" s="78"/>
    </row>
    <row r="2" spans="1:26">
      <c r="A2" s="77"/>
      <c r="B2" s="111" t="s">
        <v>0</v>
      </c>
      <c r="C2" s="77"/>
      <c r="D2" s="251" t="s">
        <v>491</v>
      </c>
      <c r="E2" s="252"/>
      <c r="F2" s="252"/>
      <c r="G2" s="252"/>
      <c r="H2" s="252"/>
      <c r="I2" s="252"/>
      <c r="J2" s="253"/>
      <c r="K2" s="77"/>
      <c r="L2" s="77"/>
      <c r="M2" s="77"/>
      <c r="N2" s="77"/>
      <c r="O2" s="77"/>
      <c r="P2" s="77"/>
      <c r="Q2" s="77"/>
      <c r="R2" s="77"/>
      <c r="S2" s="77"/>
      <c r="T2" s="77"/>
      <c r="U2" s="77"/>
      <c r="V2" s="77"/>
      <c r="W2" s="77"/>
      <c r="X2" s="77"/>
      <c r="Y2" s="77"/>
      <c r="Z2" s="78"/>
    </row>
    <row r="3" spans="1:26">
      <c r="A3" s="77"/>
      <c r="B3" s="250">
        <v>866854056295390</v>
      </c>
      <c r="C3" s="77"/>
      <c r="D3" s="254"/>
      <c r="E3" s="255"/>
      <c r="F3" s="255"/>
      <c r="G3" s="255"/>
      <c r="H3" s="255"/>
      <c r="I3" s="255"/>
      <c r="J3" s="256"/>
      <c r="K3" s="77"/>
      <c r="L3" s="77"/>
      <c r="M3" s="77"/>
      <c r="N3" s="77"/>
      <c r="O3" s="77"/>
      <c r="P3" s="77"/>
      <c r="Q3" s="77"/>
      <c r="R3" s="77"/>
      <c r="S3" s="77"/>
      <c r="T3" s="77"/>
      <c r="U3" s="77"/>
      <c r="V3" s="77"/>
      <c r="W3" s="77"/>
      <c r="X3" s="77"/>
      <c r="Y3" s="77"/>
      <c r="Z3" s="78"/>
    </row>
    <row r="4" spans="1:26">
      <c r="A4" s="77"/>
      <c r="B4" s="77"/>
      <c r="C4" s="77"/>
      <c r="D4" s="77"/>
      <c r="E4" s="77"/>
      <c r="F4" s="77"/>
      <c r="G4" s="77"/>
      <c r="H4" s="77"/>
      <c r="I4" s="77"/>
      <c r="J4" s="77"/>
      <c r="K4" s="77"/>
      <c r="L4" s="77"/>
      <c r="M4" s="77"/>
      <c r="N4" s="77"/>
      <c r="O4" s="77"/>
      <c r="P4" s="77"/>
      <c r="Q4" s="77"/>
      <c r="R4" s="77"/>
      <c r="S4" s="77"/>
      <c r="T4" s="77"/>
      <c r="U4" s="77"/>
      <c r="V4" s="77"/>
      <c r="W4" s="77"/>
      <c r="X4" s="77"/>
      <c r="Y4" s="77"/>
      <c r="Z4" s="78"/>
    </row>
    <row r="5" spans="1:26" ht="15" customHeight="1">
      <c r="A5" s="77"/>
      <c r="B5" s="86" t="s">
        <v>463</v>
      </c>
      <c r="C5" s="77"/>
      <c r="D5" s="90" t="s">
        <v>457</v>
      </c>
      <c r="E5" s="91"/>
      <c r="F5" s="92"/>
      <c r="G5" s="77"/>
      <c r="H5" s="87" t="s">
        <v>490</v>
      </c>
      <c r="I5" s="88"/>
      <c r="J5" s="89" t="s">
        <v>492</v>
      </c>
      <c r="K5" s="77"/>
      <c r="L5" s="77"/>
      <c r="M5" s="77"/>
      <c r="N5" s="77"/>
      <c r="O5" s="77"/>
      <c r="P5" s="77"/>
      <c r="Q5" s="77"/>
      <c r="R5" s="77"/>
      <c r="S5" s="77"/>
      <c r="T5" s="77"/>
      <c r="U5" s="77"/>
      <c r="V5" s="77"/>
      <c r="W5" s="77"/>
      <c r="X5" s="77"/>
      <c r="Y5" s="77"/>
      <c r="Z5" s="78" t="s">
        <v>467</v>
      </c>
    </row>
    <row r="6" spans="1:26" ht="30">
      <c r="A6" s="77"/>
      <c r="B6" s="263" t="s">
        <v>8741</v>
      </c>
      <c r="C6" s="77"/>
      <c r="D6" s="94" t="s">
        <v>458</v>
      </c>
      <c r="E6" s="94" t="s">
        <v>459</v>
      </c>
      <c r="F6" s="95" t="s">
        <v>462</v>
      </c>
      <c r="G6" s="77"/>
      <c r="H6" s="257" t="s">
        <v>489</v>
      </c>
      <c r="I6" s="258"/>
      <c r="J6" s="259"/>
      <c r="K6" s="77"/>
      <c r="L6" s="77"/>
      <c r="M6" s="77"/>
      <c r="N6" s="77"/>
      <c r="O6" s="77"/>
      <c r="P6" s="77"/>
      <c r="Q6" s="77"/>
      <c r="R6" s="77"/>
      <c r="S6" s="77"/>
      <c r="T6" s="77"/>
      <c r="U6" s="77"/>
      <c r="V6" s="77"/>
      <c r="W6" s="77"/>
      <c r="X6" s="77"/>
      <c r="Y6" s="77"/>
      <c r="Z6" s="78" t="s">
        <v>493</v>
      </c>
    </row>
    <row r="7" spans="1:26">
      <c r="A7" s="77"/>
      <c r="B7" s="77"/>
      <c r="C7" s="77"/>
      <c r="D7" s="37"/>
      <c r="E7" s="36"/>
      <c r="F7" s="37"/>
      <c r="G7" s="77"/>
      <c r="H7" s="260"/>
      <c r="I7" s="261"/>
      <c r="J7" s="262"/>
      <c r="K7" s="77"/>
      <c r="L7" s="77"/>
      <c r="M7" s="77"/>
      <c r="N7" s="77"/>
      <c r="O7" s="77"/>
      <c r="P7" s="77"/>
      <c r="Q7" s="77"/>
      <c r="R7" s="77"/>
      <c r="S7" s="77"/>
      <c r="T7" s="77"/>
      <c r="U7" s="77"/>
      <c r="V7" s="77"/>
      <c r="W7" s="77"/>
      <c r="X7" s="77"/>
      <c r="Y7" s="77"/>
      <c r="Z7" s="78"/>
    </row>
    <row r="8" spans="1:26">
      <c r="A8" s="77"/>
      <c r="B8" s="111" t="s">
        <v>480</v>
      </c>
      <c r="C8" s="77"/>
      <c r="D8" s="77"/>
      <c r="E8" s="77"/>
      <c r="F8" s="77"/>
      <c r="G8" s="77"/>
      <c r="H8" s="77"/>
      <c r="I8" s="77"/>
      <c r="J8" s="77"/>
      <c r="K8" s="77"/>
      <c r="L8" s="77"/>
      <c r="M8" s="77"/>
      <c r="N8" s="77"/>
      <c r="O8" s="77"/>
      <c r="P8" s="77"/>
      <c r="Q8" s="77"/>
      <c r="R8" s="77"/>
      <c r="S8" s="77"/>
      <c r="T8" s="77"/>
      <c r="U8" s="77"/>
      <c r="V8" s="77"/>
      <c r="W8" s="77"/>
      <c r="X8" s="77"/>
      <c r="Y8" s="77"/>
      <c r="Z8" s="78"/>
    </row>
    <row r="9" spans="1:26">
      <c r="A9" s="77"/>
      <c r="B9" s="112">
        <v>44635</v>
      </c>
      <c r="C9" s="77"/>
      <c r="D9" s="90" t="s">
        <v>460</v>
      </c>
      <c r="E9" s="91"/>
      <c r="F9" s="91"/>
      <c r="G9" s="91"/>
      <c r="H9" s="91"/>
      <c r="I9" s="91"/>
      <c r="J9" s="92"/>
      <c r="K9" s="77"/>
      <c r="L9" s="77"/>
      <c r="M9" s="77"/>
      <c r="N9" s="77"/>
      <c r="O9" s="77"/>
      <c r="P9" s="77"/>
      <c r="Q9" s="77"/>
      <c r="R9" s="77"/>
      <c r="S9" s="77"/>
      <c r="T9" s="77"/>
      <c r="U9" s="77"/>
      <c r="V9" s="77"/>
      <c r="W9" s="77"/>
      <c r="X9" s="77"/>
      <c r="Y9" s="77"/>
      <c r="Z9" s="78" t="s">
        <v>468</v>
      </c>
    </row>
    <row r="10" spans="1:26" ht="30">
      <c r="A10" s="77"/>
      <c r="B10" s="77"/>
      <c r="C10" s="77"/>
      <c r="D10" s="93" t="s">
        <v>465</v>
      </c>
      <c r="E10" s="93" t="s">
        <v>13</v>
      </c>
      <c r="F10" s="93" t="s">
        <v>14</v>
      </c>
      <c r="G10" s="93" t="s">
        <v>466</v>
      </c>
      <c r="H10" s="93" t="s">
        <v>461</v>
      </c>
      <c r="I10" s="93" t="s">
        <v>479</v>
      </c>
      <c r="J10" s="93"/>
      <c r="K10" s="77"/>
      <c r="L10" s="77"/>
      <c r="M10" s="77"/>
      <c r="N10" s="77"/>
      <c r="O10" s="77"/>
      <c r="P10" s="77"/>
      <c r="Q10" s="77"/>
      <c r="R10" s="77"/>
      <c r="S10" s="77"/>
      <c r="T10" s="77"/>
      <c r="U10" s="77"/>
      <c r="V10" s="77"/>
      <c r="W10" s="77"/>
      <c r="X10" s="77"/>
      <c r="Y10" s="77"/>
      <c r="Z10" s="78"/>
    </row>
    <row r="11" spans="1:26">
      <c r="A11" s="77"/>
      <c r="B11" s="77"/>
      <c r="C11" s="77"/>
      <c r="D11" s="37"/>
      <c r="E11" s="37"/>
      <c r="F11" s="37"/>
      <c r="G11" s="37"/>
      <c r="H11" s="37"/>
      <c r="I11" s="37"/>
      <c r="J11" s="37"/>
      <c r="K11" s="77"/>
      <c r="L11" s="77"/>
      <c r="M11" s="77"/>
      <c r="N11" s="77"/>
      <c r="O11" s="77"/>
      <c r="P11" s="77"/>
      <c r="Q11" s="77"/>
      <c r="R11" s="77"/>
      <c r="S11" s="77"/>
      <c r="T11" s="77"/>
      <c r="U11" s="77"/>
      <c r="V11" s="77"/>
      <c r="W11" s="77"/>
      <c r="X11" s="77"/>
      <c r="Y11" s="77"/>
      <c r="Z11" s="78"/>
    </row>
    <row r="12" spans="1:26">
      <c r="A12" s="77"/>
      <c r="B12" s="77"/>
      <c r="C12" s="77"/>
      <c r="D12" s="77"/>
      <c r="E12" s="77"/>
      <c r="F12" s="77"/>
      <c r="G12" s="77"/>
      <c r="H12" s="77"/>
      <c r="I12" s="77"/>
      <c r="J12" s="77"/>
      <c r="K12" s="77"/>
      <c r="L12" s="77"/>
      <c r="M12" s="77"/>
      <c r="N12" s="77"/>
      <c r="O12" s="77"/>
      <c r="P12" s="77"/>
      <c r="Q12" s="77"/>
      <c r="R12" s="77"/>
      <c r="S12" s="77"/>
      <c r="T12" s="77"/>
      <c r="U12" s="77"/>
      <c r="V12" s="77"/>
      <c r="W12" s="77"/>
      <c r="X12" s="77"/>
      <c r="Y12" s="77"/>
      <c r="Z12" s="78"/>
    </row>
    <row r="13" spans="1:26">
      <c r="A13" s="77"/>
      <c r="B13" s="77"/>
      <c r="C13" s="77"/>
      <c r="D13" s="74" t="s">
        <v>470</v>
      </c>
      <c r="E13" s="75"/>
      <c r="F13" s="75"/>
      <c r="G13" s="76"/>
      <c r="H13" s="77"/>
      <c r="I13" s="77"/>
      <c r="J13" s="77"/>
      <c r="K13" s="77"/>
      <c r="L13" s="77"/>
      <c r="M13" s="77"/>
      <c r="N13" s="77"/>
      <c r="O13" s="77"/>
      <c r="P13" s="77"/>
      <c r="Q13" s="77"/>
      <c r="R13" s="77"/>
      <c r="S13" s="77"/>
      <c r="T13" s="77"/>
      <c r="U13" s="77"/>
      <c r="V13" s="77"/>
      <c r="W13" s="77"/>
      <c r="X13" s="77"/>
      <c r="Y13" s="77"/>
      <c r="Z13" s="78"/>
    </row>
    <row r="14" spans="1:26">
      <c r="A14" s="96"/>
      <c r="B14" s="96"/>
      <c r="C14" s="97"/>
      <c r="D14" s="64" t="s">
        <v>471</v>
      </c>
      <c r="E14" s="64" t="s">
        <v>486</v>
      </c>
      <c r="F14" s="68"/>
      <c r="G14" s="68"/>
      <c r="H14" s="96"/>
      <c r="I14" s="96"/>
      <c r="J14" s="97"/>
      <c r="K14" s="97"/>
      <c r="L14" s="97"/>
      <c r="M14" s="97"/>
      <c r="N14" s="97"/>
      <c r="O14" s="97"/>
      <c r="P14" s="97"/>
      <c r="Q14" s="97"/>
      <c r="R14" s="97"/>
      <c r="S14" s="97"/>
      <c r="T14" s="97"/>
      <c r="U14" s="97"/>
      <c r="V14" s="97"/>
      <c r="W14" s="97"/>
      <c r="X14" s="97"/>
      <c r="Y14" s="97"/>
      <c r="Z14" s="79"/>
    </row>
    <row r="15" spans="1:26">
      <c r="A15" s="98"/>
      <c r="B15" s="98"/>
      <c r="C15" s="98"/>
      <c r="D15" s="64" t="s">
        <v>472</v>
      </c>
      <c r="E15" s="64" t="s">
        <v>8443</v>
      </c>
      <c r="F15" s="68"/>
      <c r="G15" s="68"/>
      <c r="H15" s="98"/>
      <c r="I15" s="98"/>
      <c r="J15" s="98"/>
      <c r="K15" s="98"/>
      <c r="L15" s="98"/>
      <c r="M15" s="98"/>
      <c r="N15" s="98"/>
      <c r="O15" s="98"/>
      <c r="P15" s="98"/>
      <c r="Q15" s="98"/>
      <c r="R15" s="98"/>
      <c r="S15" s="98"/>
      <c r="T15" s="98"/>
      <c r="U15" s="98"/>
      <c r="V15" s="98"/>
      <c r="W15" s="98"/>
      <c r="X15" s="98"/>
      <c r="Y15" s="98"/>
      <c r="Z15" s="79"/>
    </row>
    <row r="16" spans="1:26">
      <c r="A16" s="99"/>
      <c r="B16" s="99"/>
      <c r="C16" s="99"/>
      <c r="D16" s="64" t="s">
        <v>473</v>
      </c>
      <c r="E16" s="64" t="s">
        <v>8444</v>
      </c>
      <c r="F16" s="68"/>
      <c r="G16" s="68"/>
      <c r="H16" s="99"/>
      <c r="I16" s="99"/>
      <c r="J16" s="99"/>
      <c r="K16" s="99"/>
      <c r="L16" s="99"/>
      <c r="M16" s="99"/>
      <c r="N16" s="99"/>
      <c r="O16" s="99"/>
      <c r="P16" s="99"/>
      <c r="Q16" s="99"/>
      <c r="R16" s="99"/>
      <c r="S16" s="99"/>
      <c r="T16" s="99"/>
      <c r="U16" s="99"/>
      <c r="V16" s="99"/>
      <c r="W16" s="99"/>
      <c r="X16" s="99"/>
      <c r="Y16" s="99"/>
      <c r="Z16" s="79"/>
    </row>
    <row r="17" spans="1:26">
      <c r="A17" s="100"/>
      <c r="B17" s="100"/>
      <c r="C17" s="100"/>
      <c r="D17" s="64" t="s">
        <v>474</v>
      </c>
      <c r="E17" s="64" t="s">
        <v>8445</v>
      </c>
      <c r="F17" s="68"/>
      <c r="G17" s="68"/>
      <c r="H17" s="100"/>
      <c r="I17" s="100"/>
      <c r="J17" s="100"/>
      <c r="K17" s="100"/>
      <c r="L17" s="100"/>
      <c r="M17" s="100"/>
      <c r="N17" s="100"/>
      <c r="O17" s="100"/>
      <c r="P17" s="100"/>
      <c r="Q17" s="100"/>
      <c r="R17" s="100"/>
      <c r="S17" s="100"/>
      <c r="T17" s="100"/>
      <c r="U17" s="100"/>
      <c r="V17" s="100"/>
      <c r="W17" s="100"/>
      <c r="X17" s="100"/>
      <c r="Y17" s="100"/>
      <c r="Z17" s="80"/>
    </row>
    <row r="18" spans="1:26">
      <c r="A18" s="101"/>
      <c r="B18" s="101"/>
      <c r="C18" s="101"/>
      <c r="D18" s="64" t="s">
        <v>475</v>
      </c>
      <c r="E18" s="64" t="s">
        <v>8446</v>
      </c>
      <c r="F18" s="68"/>
      <c r="G18" s="68"/>
      <c r="H18" s="101"/>
      <c r="I18" s="101"/>
      <c r="J18" s="101"/>
      <c r="K18" s="101"/>
      <c r="L18" s="101"/>
      <c r="M18" s="101"/>
      <c r="N18" s="101"/>
      <c r="O18" s="101"/>
      <c r="P18" s="101"/>
      <c r="Q18" s="101"/>
      <c r="R18" s="101"/>
      <c r="S18" s="101"/>
      <c r="T18" s="101"/>
      <c r="U18" s="101"/>
      <c r="V18" s="101"/>
      <c r="W18" s="101"/>
      <c r="X18" s="101"/>
      <c r="Y18" s="101"/>
      <c r="Z18" s="81"/>
    </row>
    <row r="19" spans="1:26">
      <c r="A19" s="102"/>
      <c r="B19" s="102"/>
      <c r="C19" s="102"/>
      <c r="D19" s="64" t="s">
        <v>481</v>
      </c>
      <c r="E19" t="s">
        <v>8447</v>
      </c>
      <c r="F19" s="68"/>
      <c r="G19" s="68"/>
      <c r="H19" s="102"/>
      <c r="I19" s="102"/>
      <c r="J19" s="102"/>
      <c r="K19" s="102"/>
      <c r="L19" s="102"/>
      <c r="M19" s="102"/>
      <c r="N19" s="102"/>
      <c r="O19" s="102"/>
      <c r="P19" s="102"/>
      <c r="Q19" s="102"/>
      <c r="R19" s="102"/>
      <c r="S19" s="102"/>
      <c r="T19" s="102"/>
      <c r="U19" s="102"/>
      <c r="V19" s="102"/>
      <c r="W19" s="102"/>
      <c r="X19" s="102"/>
      <c r="Y19" s="102"/>
      <c r="Z19" s="82"/>
    </row>
    <row r="20" spans="1:26">
      <c r="A20" s="103"/>
      <c r="B20" s="103"/>
      <c r="C20" s="103"/>
      <c r="D20" s="64" t="s">
        <v>482</v>
      </c>
      <c r="E20" t="s">
        <v>8448</v>
      </c>
      <c r="F20" s="68"/>
      <c r="G20" s="68"/>
      <c r="H20" s="103"/>
      <c r="I20" s="103"/>
      <c r="J20" s="103"/>
      <c r="K20" s="103"/>
      <c r="L20" s="103"/>
      <c r="M20" s="103"/>
      <c r="N20" s="103"/>
      <c r="O20" s="103"/>
      <c r="P20" s="103"/>
      <c r="Q20" s="103"/>
      <c r="R20" s="103"/>
      <c r="S20" s="103"/>
      <c r="T20" s="103"/>
      <c r="U20" s="103"/>
      <c r="V20" s="103"/>
      <c r="W20" s="103"/>
      <c r="X20" s="103"/>
      <c r="Y20" s="103"/>
      <c r="Z20" s="83"/>
    </row>
    <row r="21" spans="1:26">
      <c r="A21" s="104"/>
      <c r="B21" s="104"/>
      <c r="C21" s="104"/>
      <c r="D21" s="64" t="s">
        <v>483</v>
      </c>
      <c r="E21" s="64" t="s">
        <v>8449</v>
      </c>
      <c r="F21" s="68"/>
      <c r="G21" s="68"/>
      <c r="H21" s="104"/>
      <c r="I21" s="104"/>
      <c r="J21" s="104"/>
      <c r="K21" s="104"/>
      <c r="L21" s="104"/>
      <c r="M21" s="104"/>
      <c r="N21" s="104"/>
      <c r="O21" s="104"/>
      <c r="P21" s="104"/>
      <c r="Q21" s="104"/>
      <c r="R21" s="104"/>
      <c r="S21" s="104"/>
      <c r="T21" s="104"/>
      <c r="U21" s="104"/>
      <c r="V21" s="104"/>
      <c r="W21" s="104"/>
      <c r="X21" s="104"/>
      <c r="Y21" s="104"/>
      <c r="Z21" s="84"/>
    </row>
    <row r="22" spans="1:26">
      <c r="A22" s="105"/>
      <c r="B22" s="105"/>
      <c r="C22" s="105"/>
      <c r="D22" s="64" t="s">
        <v>484</v>
      </c>
      <c r="E22" t="s">
        <v>8450</v>
      </c>
      <c r="F22" s="68"/>
      <c r="G22" s="68"/>
      <c r="H22" s="105"/>
      <c r="I22" s="105"/>
      <c r="J22" s="105"/>
      <c r="K22" s="105"/>
      <c r="L22" s="105"/>
      <c r="M22" s="105"/>
      <c r="N22" s="105"/>
      <c r="O22" s="105"/>
      <c r="P22" s="105"/>
      <c r="Q22" s="105"/>
      <c r="R22" s="105"/>
      <c r="S22" s="105"/>
      <c r="T22" s="105"/>
      <c r="U22" s="105"/>
      <c r="V22" s="105"/>
      <c r="W22" s="105"/>
      <c r="X22" s="105"/>
      <c r="Y22" s="105"/>
      <c r="Z22" s="85"/>
    </row>
    <row r="23" spans="1:26">
      <c r="A23" s="106"/>
      <c r="B23" s="106"/>
      <c r="C23" s="106"/>
      <c r="D23" s="64" t="s">
        <v>485</v>
      </c>
      <c r="E23" t="s">
        <v>8740</v>
      </c>
      <c r="F23" s="68"/>
      <c r="G23" s="68"/>
      <c r="H23" s="106"/>
      <c r="I23" s="106"/>
      <c r="J23" s="106"/>
      <c r="K23" s="106"/>
      <c r="L23" s="106"/>
      <c r="M23" s="106"/>
      <c r="N23" s="106"/>
      <c r="O23" s="106"/>
      <c r="P23" s="106"/>
      <c r="Q23" s="106"/>
      <c r="R23" s="106"/>
      <c r="S23" s="106"/>
      <c r="T23" s="106"/>
      <c r="U23" s="106"/>
      <c r="V23" s="106"/>
      <c r="W23" s="106"/>
      <c r="X23" s="106"/>
      <c r="Y23" s="106"/>
    </row>
    <row r="24" spans="1:26">
      <c r="A24" s="107"/>
      <c r="B24" s="107"/>
      <c r="C24" s="107"/>
      <c r="D24" s="64"/>
      <c r="E24" s="64"/>
      <c r="H24" s="107"/>
      <c r="I24" s="107"/>
      <c r="J24" s="107"/>
      <c r="K24" s="107"/>
      <c r="L24" s="107"/>
      <c r="M24" s="107"/>
      <c r="N24" s="107"/>
      <c r="O24" s="107"/>
      <c r="P24" s="107"/>
      <c r="Q24" s="107"/>
      <c r="R24" s="107"/>
      <c r="S24" s="107"/>
      <c r="T24" s="107"/>
      <c r="U24" s="107"/>
      <c r="V24" s="107"/>
      <c r="W24" s="107"/>
      <c r="X24" s="107"/>
      <c r="Y24" s="107"/>
    </row>
    <row r="25" spans="1:26">
      <c r="A25" s="108"/>
      <c r="B25" s="108"/>
      <c r="C25" s="108"/>
      <c r="D25" s="64"/>
      <c r="H25" s="108"/>
      <c r="I25" s="108"/>
      <c r="J25" s="108"/>
      <c r="K25" s="108"/>
      <c r="L25" s="108"/>
      <c r="M25" s="108"/>
      <c r="N25" s="108"/>
      <c r="O25" s="108"/>
      <c r="P25" s="108"/>
      <c r="Q25" s="108"/>
      <c r="R25" s="108"/>
      <c r="S25" s="108"/>
      <c r="T25" s="108"/>
      <c r="U25" s="108"/>
      <c r="V25" s="108"/>
      <c r="W25" s="108"/>
      <c r="X25" s="108"/>
      <c r="Y25" s="108"/>
    </row>
    <row r="26" spans="1:26">
      <c r="A26" s="109"/>
      <c r="B26" s="109"/>
      <c r="C26" s="109"/>
      <c r="D26" s="64"/>
      <c r="H26" s="109"/>
      <c r="I26" s="109"/>
      <c r="J26" s="109"/>
      <c r="K26" s="109"/>
      <c r="L26" s="109"/>
      <c r="M26" s="109"/>
      <c r="N26" s="109"/>
      <c r="O26" s="109"/>
      <c r="P26" s="109"/>
      <c r="Q26" s="109"/>
      <c r="R26" s="109"/>
      <c r="S26" s="109"/>
      <c r="T26" s="109"/>
      <c r="U26" s="109"/>
      <c r="V26" s="109"/>
      <c r="W26" s="109"/>
      <c r="X26" s="109"/>
      <c r="Y26" s="109"/>
    </row>
    <row r="27" spans="1:26">
      <c r="A27" s="110"/>
      <c r="B27" s="110"/>
      <c r="C27" s="110"/>
      <c r="D27" s="64"/>
      <c r="E27" s="64"/>
      <c r="H27" s="110"/>
      <c r="I27" s="110"/>
      <c r="J27" s="110"/>
      <c r="K27" s="110"/>
      <c r="L27" s="110"/>
      <c r="M27" s="110"/>
      <c r="N27" s="110"/>
      <c r="O27" s="110"/>
      <c r="P27" s="110"/>
      <c r="Q27" s="110"/>
      <c r="R27" s="110"/>
      <c r="S27" s="110"/>
      <c r="T27" s="110"/>
      <c r="U27" s="110"/>
      <c r="V27" s="110"/>
      <c r="W27" s="110"/>
      <c r="X27" s="110"/>
      <c r="Y27" s="110"/>
    </row>
    <row r="28" spans="1:26">
      <c r="A28" s="85"/>
      <c r="B28" s="85"/>
      <c r="C28" s="85"/>
      <c r="D28" s="64"/>
      <c r="H28" s="85"/>
      <c r="I28" s="85"/>
      <c r="J28" s="85"/>
      <c r="K28" s="85"/>
      <c r="L28" s="85"/>
      <c r="M28" s="85"/>
      <c r="N28" s="85"/>
      <c r="O28" s="85"/>
      <c r="P28" s="85"/>
      <c r="Q28" s="85"/>
      <c r="R28" s="85"/>
      <c r="S28" s="85"/>
      <c r="T28" s="85"/>
      <c r="U28" s="85"/>
      <c r="V28" s="85"/>
      <c r="W28" s="85"/>
      <c r="X28" s="85"/>
      <c r="Y28" s="85"/>
    </row>
    <row r="29" spans="1:26">
      <c r="A29" s="85"/>
      <c r="B29" s="85"/>
      <c r="C29" s="85"/>
      <c r="D29" s="64"/>
      <c r="H29" s="85"/>
      <c r="I29" s="85"/>
      <c r="J29" s="85"/>
      <c r="K29" s="85"/>
      <c r="L29" s="85"/>
      <c r="M29" s="85"/>
      <c r="N29" s="85"/>
      <c r="O29" s="85"/>
      <c r="P29" s="85"/>
      <c r="Q29" s="85"/>
      <c r="R29" s="85"/>
      <c r="S29" s="85"/>
      <c r="T29" s="85"/>
      <c r="U29" s="85"/>
      <c r="V29" s="85"/>
      <c r="W29" s="85"/>
      <c r="X29" s="85"/>
      <c r="Y29" s="85"/>
    </row>
    <row r="30" spans="1:26">
      <c r="A30" s="85"/>
      <c r="B30" s="85"/>
      <c r="C30" s="85"/>
      <c r="D30" s="64"/>
      <c r="H30" s="85"/>
      <c r="I30" s="85"/>
      <c r="J30" s="85"/>
      <c r="K30" s="85"/>
      <c r="L30" s="85"/>
      <c r="M30" s="85"/>
      <c r="N30" s="85"/>
      <c r="O30" s="85"/>
      <c r="P30" s="85"/>
      <c r="Q30" s="85"/>
      <c r="R30" s="85"/>
      <c r="S30" s="85"/>
      <c r="T30" s="85"/>
      <c r="U30" s="85"/>
      <c r="V30" s="85"/>
      <c r="W30" s="85"/>
      <c r="X30" s="85"/>
      <c r="Y30" s="85"/>
    </row>
    <row r="31" spans="1:26">
      <c r="A31" s="85"/>
      <c r="B31" s="85"/>
      <c r="C31" s="85"/>
      <c r="D31" s="64"/>
      <c r="H31" s="85"/>
      <c r="I31" s="85"/>
      <c r="J31" s="85"/>
      <c r="K31" s="85"/>
      <c r="L31" s="85"/>
      <c r="M31" s="85"/>
      <c r="N31" s="85"/>
      <c r="O31" s="85"/>
      <c r="P31" s="85"/>
      <c r="Q31" s="85"/>
      <c r="R31" s="85"/>
      <c r="S31" s="85"/>
      <c r="T31" s="85"/>
      <c r="U31" s="85"/>
      <c r="V31" s="85"/>
      <c r="W31" s="85"/>
      <c r="X31" s="85"/>
      <c r="Y31" s="85"/>
    </row>
    <row r="32" spans="1:26">
      <c r="A32" s="85"/>
      <c r="B32" s="85"/>
      <c r="C32" s="85"/>
      <c r="D32" s="64"/>
      <c r="H32" s="85"/>
      <c r="I32" s="85"/>
      <c r="J32" s="85"/>
      <c r="K32" s="85"/>
      <c r="L32" s="85"/>
      <c r="M32" s="85"/>
      <c r="N32" s="85"/>
      <c r="O32" s="85"/>
      <c r="P32" s="85"/>
      <c r="Q32" s="85"/>
      <c r="R32" s="85"/>
      <c r="S32" s="85"/>
      <c r="T32" s="85"/>
      <c r="U32" s="85"/>
      <c r="V32" s="85"/>
      <c r="W32" s="85"/>
      <c r="X32" s="85"/>
      <c r="Y32" s="85"/>
    </row>
    <row r="33" spans="1:25">
      <c r="A33" s="85"/>
      <c r="B33" s="85"/>
      <c r="C33" s="85"/>
      <c r="D33" s="64"/>
      <c r="H33" s="85"/>
      <c r="I33" s="85"/>
      <c r="J33" s="85"/>
      <c r="K33" s="85"/>
      <c r="L33" s="85"/>
      <c r="M33" s="85"/>
      <c r="N33" s="85"/>
      <c r="O33" s="85"/>
      <c r="P33" s="85"/>
      <c r="Q33" s="85"/>
      <c r="R33" s="85"/>
      <c r="S33" s="85"/>
      <c r="T33" s="85"/>
      <c r="U33" s="85"/>
      <c r="V33" s="85"/>
      <c r="W33" s="85"/>
      <c r="X33" s="85"/>
      <c r="Y33" s="85"/>
    </row>
    <row r="34" spans="1:25">
      <c r="A34" s="85"/>
      <c r="B34" s="85"/>
      <c r="C34" s="85"/>
      <c r="D34" s="64"/>
      <c r="H34" s="85"/>
      <c r="I34" s="85"/>
      <c r="J34" s="85"/>
      <c r="K34" s="85"/>
      <c r="L34" s="85"/>
      <c r="M34" s="85"/>
      <c r="N34" s="85"/>
      <c r="O34" s="85"/>
      <c r="P34" s="85"/>
      <c r="Q34" s="85"/>
      <c r="R34" s="85"/>
      <c r="S34" s="85"/>
      <c r="T34" s="85"/>
      <c r="U34" s="85"/>
      <c r="V34" s="85"/>
      <c r="W34" s="85"/>
      <c r="X34" s="85"/>
      <c r="Y34" s="85"/>
    </row>
    <row r="35" spans="1:25">
      <c r="A35" s="85"/>
      <c r="B35" s="85"/>
      <c r="C35" s="85"/>
      <c r="D35" s="64"/>
      <c r="H35" s="85"/>
      <c r="I35" s="85"/>
      <c r="J35" s="85"/>
      <c r="K35" s="85"/>
      <c r="L35" s="85"/>
      <c r="M35" s="85"/>
      <c r="N35" s="85"/>
      <c r="O35" s="85"/>
      <c r="P35" s="85"/>
      <c r="Q35" s="85"/>
      <c r="R35" s="85"/>
      <c r="S35" s="85"/>
      <c r="T35" s="85"/>
      <c r="U35" s="85"/>
      <c r="V35" s="85"/>
      <c r="W35" s="85"/>
      <c r="X35" s="85"/>
      <c r="Y35" s="85"/>
    </row>
    <row r="36" spans="1:25">
      <c r="A36" s="85"/>
      <c r="B36" s="85"/>
      <c r="C36" s="85"/>
      <c r="D36" s="64"/>
      <c r="H36" s="85"/>
      <c r="I36" s="85"/>
      <c r="J36" s="85"/>
      <c r="K36" s="85"/>
      <c r="L36" s="85"/>
      <c r="M36" s="85"/>
      <c r="N36" s="85"/>
      <c r="O36" s="85"/>
      <c r="P36" s="85"/>
      <c r="Q36" s="85"/>
      <c r="R36" s="85"/>
      <c r="S36" s="85"/>
      <c r="T36" s="85"/>
      <c r="U36" s="85"/>
      <c r="V36" s="85"/>
      <c r="W36" s="85"/>
      <c r="X36" s="85"/>
      <c r="Y36" s="85"/>
    </row>
    <row r="37" spans="1:25">
      <c r="A37" s="85"/>
      <c r="B37" s="85"/>
      <c r="C37" s="85"/>
      <c r="D37" s="64"/>
      <c r="H37" s="85"/>
      <c r="I37" s="85"/>
      <c r="J37" s="85"/>
      <c r="K37" s="85"/>
      <c r="L37" s="85"/>
      <c r="M37" s="85"/>
      <c r="N37" s="85"/>
      <c r="O37" s="85"/>
      <c r="P37" s="85"/>
      <c r="Q37" s="85"/>
      <c r="R37" s="85"/>
      <c r="S37" s="85"/>
      <c r="T37" s="85"/>
      <c r="U37" s="85"/>
      <c r="V37" s="85"/>
      <c r="W37" s="85"/>
      <c r="X37" s="85"/>
      <c r="Y37" s="85"/>
    </row>
    <row r="38" spans="1:25">
      <c r="A38" s="85"/>
      <c r="B38" s="85"/>
      <c r="C38" s="85"/>
      <c r="D38" s="64"/>
      <c r="H38" s="85"/>
      <c r="I38" s="85"/>
      <c r="J38" s="85"/>
      <c r="K38" s="85"/>
      <c r="L38" s="85"/>
      <c r="M38" s="85"/>
      <c r="N38" s="85"/>
      <c r="O38" s="85"/>
      <c r="P38" s="85"/>
      <c r="Q38" s="85"/>
      <c r="R38" s="85"/>
      <c r="S38" s="85"/>
      <c r="T38" s="85"/>
      <c r="U38" s="85"/>
      <c r="V38" s="85"/>
      <c r="W38" s="85"/>
      <c r="X38" s="85"/>
      <c r="Y38" s="85"/>
    </row>
    <row r="39" spans="1:25">
      <c r="A39" s="85"/>
      <c r="B39" s="85"/>
      <c r="C39" s="85"/>
      <c r="D39" s="64"/>
      <c r="H39" s="85"/>
      <c r="I39" s="85"/>
      <c r="J39" s="85"/>
      <c r="K39" s="85"/>
      <c r="L39" s="85"/>
      <c r="M39" s="85"/>
      <c r="N39" s="85"/>
      <c r="O39" s="85"/>
      <c r="P39" s="85"/>
      <c r="Q39" s="85"/>
      <c r="R39" s="85"/>
      <c r="S39" s="85"/>
      <c r="T39" s="85"/>
      <c r="U39" s="85"/>
      <c r="V39" s="85"/>
      <c r="W39" s="85"/>
      <c r="X39" s="85"/>
      <c r="Y39" s="85"/>
    </row>
    <row r="40" spans="1:25">
      <c r="A40" s="85"/>
      <c r="B40" s="85"/>
      <c r="C40" s="85"/>
      <c r="D40" s="64"/>
      <c r="H40" s="85"/>
      <c r="I40" s="85"/>
      <c r="J40" s="85"/>
      <c r="K40" s="85"/>
      <c r="L40" s="85"/>
      <c r="M40" s="85"/>
      <c r="N40" s="85"/>
      <c r="O40" s="85"/>
      <c r="P40" s="85"/>
      <c r="Q40" s="85"/>
      <c r="R40" s="85"/>
      <c r="S40" s="85"/>
      <c r="T40" s="85"/>
      <c r="U40" s="85"/>
      <c r="V40" s="85"/>
      <c r="W40" s="85"/>
      <c r="X40" s="85"/>
      <c r="Y40" s="85"/>
    </row>
    <row r="41" spans="1:25">
      <c r="A41" s="85"/>
      <c r="B41" s="85"/>
      <c r="C41" s="85"/>
      <c r="D41" s="64"/>
      <c r="H41" s="85"/>
      <c r="I41" s="85"/>
      <c r="J41" s="85"/>
      <c r="K41" s="85"/>
      <c r="L41" s="85"/>
      <c r="M41" s="85"/>
      <c r="N41" s="85"/>
      <c r="O41" s="85"/>
      <c r="P41" s="85"/>
      <c r="Q41" s="85"/>
      <c r="R41" s="85"/>
      <c r="S41" s="85"/>
      <c r="T41" s="85"/>
      <c r="U41" s="85"/>
      <c r="V41" s="85"/>
      <c r="W41" s="85"/>
      <c r="X41" s="85"/>
      <c r="Y41" s="85"/>
    </row>
    <row r="42" spans="1:25">
      <c r="A42" s="85"/>
      <c r="B42" s="85"/>
      <c r="C42" s="85"/>
      <c r="D42" s="64"/>
      <c r="H42" s="85"/>
      <c r="I42" s="85"/>
      <c r="J42" s="85"/>
      <c r="K42" s="85"/>
      <c r="L42" s="85"/>
      <c r="M42" s="85"/>
      <c r="N42" s="85"/>
      <c r="O42" s="85"/>
      <c r="P42" s="85"/>
      <c r="Q42" s="85"/>
      <c r="R42" s="85"/>
      <c r="S42" s="85"/>
      <c r="T42" s="85"/>
      <c r="U42" s="85"/>
      <c r="V42" s="85"/>
      <c r="W42" s="85"/>
      <c r="X42" s="85"/>
      <c r="Y42" s="85"/>
    </row>
    <row r="43" spans="1:25">
      <c r="A43" s="85"/>
      <c r="B43" s="85"/>
      <c r="C43" s="85"/>
      <c r="D43" s="64"/>
      <c r="H43" s="85"/>
      <c r="I43" s="85"/>
      <c r="J43" s="85"/>
      <c r="K43" s="85"/>
      <c r="L43" s="85"/>
      <c r="M43" s="85"/>
      <c r="N43" s="85"/>
      <c r="O43" s="85"/>
      <c r="P43" s="85"/>
      <c r="Q43" s="85"/>
      <c r="R43" s="85"/>
      <c r="S43" s="85"/>
      <c r="T43" s="85"/>
      <c r="U43" s="85"/>
      <c r="V43" s="85"/>
      <c r="W43" s="85"/>
      <c r="X43" s="85"/>
      <c r="Y43" s="85"/>
    </row>
    <row r="44" spans="1:25">
      <c r="A44" s="85"/>
      <c r="B44" s="85"/>
      <c r="C44" s="85"/>
      <c r="D44" s="64"/>
      <c r="H44" s="85"/>
      <c r="I44" s="85"/>
      <c r="J44" s="85"/>
      <c r="K44" s="85"/>
      <c r="L44" s="85"/>
      <c r="M44" s="85"/>
      <c r="N44" s="85"/>
      <c r="O44" s="85"/>
      <c r="P44" s="85"/>
      <c r="Q44" s="85"/>
      <c r="R44" s="85"/>
      <c r="S44" s="85"/>
      <c r="T44" s="85"/>
      <c r="U44" s="85"/>
      <c r="V44" s="85"/>
      <c r="W44" s="85"/>
      <c r="X44" s="85"/>
      <c r="Y44" s="85"/>
    </row>
    <row r="45" spans="1:25">
      <c r="A45" s="85"/>
      <c r="B45" s="85"/>
      <c r="C45" s="85"/>
      <c r="D45" s="64"/>
      <c r="H45" s="85"/>
      <c r="I45" s="85"/>
      <c r="J45" s="85"/>
      <c r="K45" s="85"/>
      <c r="L45" s="85"/>
      <c r="M45" s="85"/>
      <c r="N45" s="85"/>
      <c r="O45" s="85"/>
      <c r="P45" s="85"/>
      <c r="Q45" s="85"/>
      <c r="R45" s="85"/>
      <c r="S45" s="85"/>
      <c r="T45" s="85"/>
      <c r="U45" s="85"/>
      <c r="V45" s="85"/>
      <c r="W45" s="85"/>
      <c r="X45" s="85"/>
      <c r="Y45" s="85"/>
    </row>
    <row r="46" spans="1:25">
      <c r="A46" s="85"/>
      <c r="B46" s="85"/>
      <c r="C46" s="85"/>
      <c r="D46" s="64"/>
      <c r="H46" s="85"/>
      <c r="I46" s="85"/>
      <c r="J46" s="85"/>
      <c r="K46" s="85"/>
      <c r="L46" s="85"/>
      <c r="M46" s="85"/>
      <c r="N46" s="85"/>
      <c r="O46" s="85"/>
      <c r="P46" s="85"/>
      <c r="Q46" s="85"/>
      <c r="R46" s="85"/>
      <c r="S46" s="85"/>
      <c r="T46" s="85"/>
      <c r="U46" s="85"/>
      <c r="V46" s="85"/>
      <c r="W46" s="85"/>
      <c r="X46" s="85"/>
      <c r="Y46" s="85"/>
    </row>
    <row r="47" spans="1:25">
      <c r="A47" s="85"/>
      <c r="B47" s="85"/>
      <c r="C47" s="85"/>
      <c r="D47" s="64"/>
      <c r="H47" s="85"/>
      <c r="I47" s="85"/>
      <c r="J47" s="85"/>
      <c r="K47" s="85"/>
      <c r="L47" s="85"/>
      <c r="M47" s="85"/>
      <c r="N47" s="85"/>
      <c r="O47" s="85"/>
      <c r="P47" s="85"/>
      <c r="Q47" s="85"/>
      <c r="R47" s="85"/>
      <c r="S47" s="85"/>
      <c r="T47" s="85"/>
      <c r="U47" s="85"/>
      <c r="V47" s="85"/>
      <c r="W47" s="85"/>
      <c r="X47" s="85"/>
      <c r="Y47" s="85"/>
    </row>
    <row r="48" spans="1:25">
      <c r="A48" s="85"/>
      <c r="B48" s="85"/>
      <c r="C48" s="85"/>
      <c r="D48" s="64"/>
      <c r="H48" s="85"/>
      <c r="I48" s="85"/>
      <c r="J48" s="85"/>
      <c r="K48" s="85"/>
      <c r="L48" s="85"/>
      <c r="M48" s="85"/>
      <c r="N48" s="85"/>
      <c r="O48" s="85"/>
      <c r="P48" s="85"/>
      <c r="Q48" s="85"/>
      <c r="R48" s="85"/>
      <c r="S48" s="85"/>
      <c r="T48" s="85"/>
      <c r="U48" s="85"/>
      <c r="V48" s="85"/>
      <c r="W48" s="85"/>
      <c r="X48" s="85"/>
      <c r="Y48" s="85"/>
    </row>
    <row r="49" spans="1:25">
      <c r="A49" s="85"/>
      <c r="B49" s="85"/>
      <c r="C49" s="85"/>
      <c r="D49" s="64"/>
      <c r="H49" s="85"/>
      <c r="I49" s="85"/>
      <c r="J49" s="85"/>
      <c r="K49" s="85"/>
      <c r="L49" s="85"/>
      <c r="M49" s="85"/>
      <c r="N49" s="85"/>
      <c r="O49" s="85"/>
      <c r="P49" s="85"/>
      <c r="Q49" s="85"/>
      <c r="R49" s="85"/>
      <c r="S49" s="85"/>
      <c r="T49" s="85"/>
      <c r="U49" s="85"/>
      <c r="V49" s="85"/>
      <c r="W49" s="85"/>
      <c r="X49" s="85"/>
      <c r="Y49" s="85"/>
    </row>
    <row r="50" spans="1:25">
      <c r="A50" s="85"/>
      <c r="B50" s="85"/>
      <c r="C50" s="85"/>
      <c r="D50" s="64"/>
      <c r="H50" s="85"/>
      <c r="I50" s="85"/>
      <c r="J50" s="85"/>
      <c r="K50" s="85"/>
      <c r="L50" s="85"/>
      <c r="M50" s="85"/>
      <c r="N50" s="85"/>
      <c r="O50" s="85"/>
      <c r="P50" s="85"/>
      <c r="Q50" s="85"/>
      <c r="R50" s="85"/>
      <c r="S50" s="85"/>
      <c r="T50" s="85"/>
      <c r="U50" s="85"/>
      <c r="V50" s="85"/>
      <c r="W50" s="85"/>
      <c r="X50" s="85"/>
      <c r="Y50" s="85"/>
    </row>
    <row r="51" spans="1:25">
      <c r="A51" s="85"/>
      <c r="B51" s="85"/>
      <c r="C51" s="85"/>
      <c r="D51" s="64"/>
      <c r="H51" s="85"/>
      <c r="I51" s="85"/>
      <c r="J51" s="85"/>
      <c r="K51" s="85"/>
      <c r="L51" s="85"/>
      <c r="M51" s="85"/>
      <c r="N51" s="85"/>
      <c r="O51" s="85"/>
      <c r="P51" s="85"/>
      <c r="Q51" s="85"/>
      <c r="R51" s="85"/>
      <c r="S51" s="85"/>
      <c r="T51" s="85"/>
      <c r="U51" s="85"/>
      <c r="V51" s="85"/>
      <c r="W51" s="85"/>
      <c r="X51" s="85"/>
      <c r="Y51" s="85"/>
    </row>
    <row r="52" spans="1:25">
      <c r="A52" s="85"/>
      <c r="B52" s="85"/>
      <c r="C52" s="85"/>
      <c r="D52" s="64"/>
      <c r="H52" s="85"/>
      <c r="I52" s="85"/>
      <c r="J52" s="85"/>
      <c r="K52" s="85"/>
      <c r="L52" s="85"/>
      <c r="M52" s="85"/>
      <c r="N52" s="85"/>
      <c r="O52" s="85"/>
      <c r="P52" s="85"/>
      <c r="Q52" s="85"/>
      <c r="R52" s="85"/>
      <c r="S52" s="85"/>
      <c r="T52" s="85"/>
      <c r="U52" s="85"/>
      <c r="V52" s="85"/>
      <c r="W52" s="85"/>
      <c r="X52" s="85"/>
      <c r="Y52" s="85"/>
    </row>
    <row r="53" spans="1:25">
      <c r="A53" s="85"/>
      <c r="B53" s="85"/>
      <c r="C53" s="85"/>
      <c r="D53" s="64"/>
      <c r="H53" s="85"/>
      <c r="I53" s="85"/>
      <c r="J53" s="85"/>
      <c r="K53" s="85"/>
      <c r="L53" s="85"/>
      <c r="M53" s="85"/>
      <c r="N53" s="85"/>
      <c r="O53" s="85"/>
      <c r="P53" s="85"/>
      <c r="Q53" s="85"/>
      <c r="R53" s="85"/>
      <c r="S53" s="85"/>
      <c r="T53" s="85"/>
      <c r="U53" s="85"/>
      <c r="V53" s="85"/>
      <c r="W53" s="85"/>
      <c r="X53" s="85"/>
      <c r="Y53" s="85"/>
    </row>
    <row r="54" spans="1:25">
      <c r="A54" s="85"/>
      <c r="B54" s="85"/>
      <c r="C54" s="85"/>
      <c r="D54" s="64"/>
      <c r="H54" s="85"/>
      <c r="I54" s="85"/>
      <c r="J54" s="85"/>
      <c r="K54" s="85"/>
      <c r="L54" s="85"/>
      <c r="M54" s="85"/>
      <c r="N54" s="85"/>
      <c r="O54" s="85"/>
      <c r="P54" s="85"/>
      <c r="Q54" s="85"/>
      <c r="R54" s="85"/>
      <c r="S54" s="85"/>
      <c r="T54" s="85"/>
      <c r="U54" s="85"/>
      <c r="V54" s="85"/>
      <c r="W54" s="85"/>
      <c r="X54" s="85"/>
      <c r="Y54" s="85"/>
    </row>
    <row r="55" spans="1:25">
      <c r="A55" s="85"/>
      <c r="B55" s="85"/>
      <c r="C55" s="85"/>
      <c r="D55" s="64"/>
      <c r="H55" s="85"/>
      <c r="I55" s="85"/>
      <c r="J55" s="85"/>
      <c r="K55" s="85"/>
      <c r="L55" s="85"/>
      <c r="M55" s="85"/>
      <c r="N55" s="85"/>
      <c r="O55" s="85"/>
      <c r="P55" s="85"/>
      <c r="Q55" s="85"/>
      <c r="R55" s="85"/>
      <c r="S55" s="85"/>
      <c r="T55" s="85"/>
      <c r="U55" s="85"/>
      <c r="V55" s="85"/>
      <c r="W55" s="85"/>
      <c r="X55" s="85"/>
      <c r="Y55" s="85"/>
    </row>
    <row r="56" spans="1:25">
      <c r="A56" s="85"/>
      <c r="B56" s="85"/>
      <c r="C56" s="85"/>
      <c r="D56" s="64"/>
      <c r="H56" s="85"/>
      <c r="I56" s="85"/>
      <c r="J56" s="85"/>
      <c r="K56" s="85"/>
      <c r="L56" s="85"/>
      <c r="M56" s="85"/>
      <c r="N56" s="85"/>
      <c r="O56" s="85"/>
      <c r="P56" s="85"/>
      <c r="Q56" s="85"/>
      <c r="R56" s="85"/>
      <c r="S56" s="85"/>
      <c r="T56" s="85"/>
      <c r="U56" s="85"/>
      <c r="V56" s="85"/>
      <c r="W56" s="85"/>
      <c r="X56" s="85"/>
      <c r="Y56" s="85"/>
    </row>
    <row r="57" spans="1:25">
      <c r="A57" s="85"/>
      <c r="B57" s="85"/>
      <c r="C57" s="85"/>
      <c r="D57" s="64"/>
      <c r="H57" s="85"/>
      <c r="I57" s="85"/>
      <c r="J57" s="85"/>
      <c r="K57" s="85"/>
      <c r="L57" s="85"/>
      <c r="M57" s="85"/>
      <c r="N57" s="85"/>
      <c r="O57" s="85"/>
      <c r="P57" s="85"/>
      <c r="Q57" s="85"/>
      <c r="R57" s="85"/>
      <c r="S57" s="85"/>
      <c r="T57" s="85"/>
      <c r="U57" s="85"/>
      <c r="V57" s="85"/>
      <c r="W57" s="85"/>
      <c r="X57" s="85"/>
      <c r="Y57" s="85"/>
    </row>
    <row r="58" spans="1:25">
      <c r="A58" s="85"/>
      <c r="B58" s="85"/>
      <c r="C58" s="85"/>
      <c r="D58" s="64"/>
      <c r="H58" s="85"/>
      <c r="I58" s="85"/>
      <c r="J58" s="85"/>
      <c r="K58" s="85"/>
      <c r="L58" s="85"/>
      <c r="M58" s="85"/>
      <c r="N58" s="85"/>
      <c r="O58" s="85"/>
      <c r="P58" s="85"/>
      <c r="Q58" s="85"/>
      <c r="R58" s="85"/>
      <c r="S58" s="85"/>
      <c r="T58" s="85"/>
      <c r="U58" s="85"/>
      <c r="V58" s="85"/>
      <c r="W58" s="85"/>
      <c r="X58" s="85"/>
      <c r="Y58" s="85"/>
    </row>
  </sheetData>
  <protectedRanges>
    <protectedRange sqref="B3" name="Ввод"/>
    <protectedRange sqref="B9" name="Дата прихода"/>
    <protectedRange sqref="D13:E13 D24:E58 D14:D22 D23" name="Установщики"/>
    <protectedRange sqref="E14:E22" name="Установщики_1"/>
    <protectedRange sqref="E23" name="Установщики_2"/>
  </protectedRanges>
  <mergeCells count="2">
    <mergeCell ref="D2:J3"/>
    <mergeCell ref="H6:J7"/>
  </mergeCell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/>
  <dimension ref="A1:F10"/>
  <sheetViews>
    <sheetView workbookViewId="0">
      <selection activeCell="J26" sqref="J26"/>
    </sheetView>
  </sheetViews>
  <sheetFormatPr defaultRowHeight="15"/>
  <cols>
    <col min="1" max="1" width="13.42578125" bestFit="1" customWidth="1"/>
    <col min="2" max="2" width="15" bestFit="1" customWidth="1"/>
    <col min="3" max="4" width="27.7109375" bestFit="1" customWidth="1"/>
    <col min="5" max="5" width="17.5703125" bestFit="1" customWidth="1"/>
  </cols>
  <sheetData>
    <row r="1" spans="1:6">
      <c r="A1" s="3" t="s">
        <v>36</v>
      </c>
      <c r="B1" s="3" t="s">
        <v>34</v>
      </c>
      <c r="C1" s="3" t="s">
        <v>6</v>
      </c>
      <c r="D1" s="3" t="s">
        <v>51</v>
      </c>
      <c r="E1" s="3" t="s">
        <v>18</v>
      </c>
      <c r="F1" s="3" t="s">
        <v>59</v>
      </c>
    </row>
    <row r="2" spans="1:6">
      <c r="A2" t="s">
        <v>23</v>
      </c>
      <c r="B2" t="s">
        <v>37</v>
      </c>
      <c r="C2" t="s">
        <v>44</v>
      </c>
      <c r="D2" t="s">
        <v>52</v>
      </c>
      <c r="E2" t="s">
        <v>54</v>
      </c>
      <c r="F2" t="s">
        <v>57</v>
      </c>
    </row>
    <row r="3" spans="1:6">
      <c r="A3" t="s">
        <v>39</v>
      </c>
      <c r="B3" t="s">
        <v>38</v>
      </c>
      <c r="C3" t="s">
        <v>45</v>
      </c>
      <c r="D3" t="s">
        <v>53</v>
      </c>
      <c r="E3" t="s">
        <v>55</v>
      </c>
      <c r="F3" t="s">
        <v>58</v>
      </c>
    </row>
    <row r="4" spans="1:6">
      <c r="A4" t="s">
        <v>40</v>
      </c>
      <c r="C4" t="s">
        <v>49</v>
      </c>
      <c r="D4" t="s">
        <v>45</v>
      </c>
      <c r="E4" t="s">
        <v>56</v>
      </c>
    </row>
    <row r="5" spans="1:6">
      <c r="A5" t="s">
        <v>41</v>
      </c>
      <c r="C5" t="s">
        <v>50</v>
      </c>
      <c r="D5" t="s">
        <v>49</v>
      </c>
    </row>
    <row r="6" spans="1:6">
      <c r="A6" t="s">
        <v>42</v>
      </c>
      <c r="C6" t="s">
        <v>46</v>
      </c>
      <c r="D6" t="s">
        <v>50</v>
      </c>
    </row>
    <row r="7" spans="1:6">
      <c r="A7" t="s">
        <v>43</v>
      </c>
      <c r="C7" t="s">
        <v>47</v>
      </c>
      <c r="D7" t="s">
        <v>46</v>
      </c>
    </row>
    <row r="8" spans="1:6">
      <c r="C8" t="s">
        <v>48</v>
      </c>
      <c r="D8" t="s">
        <v>47</v>
      </c>
    </row>
    <row r="9" spans="1:6">
      <c r="C9" t="s">
        <v>487</v>
      </c>
      <c r="D9" t="s">
        <v>48</v>
      </c>
    </row>
    <row r="10" spans="1:6">
      <c r="D10" t="s">
        <v>487</v>
      </c>
    </row>
  </sheetData>
  <sheetProtection algorithmName="SHA-512" hashValue="EKtOchlrqvQtw+AUwYqNDSccRKVSXLo3xDl5aVnOBDYKY7vxOyTlBEs5N9Ff80NUzDGhAupuMweDXKJjLvvbJQ==" saltValue="180RGjqyOJ6e1Jb8/XpRjg==" spinCount="100000" sheet="1" objects="1" scenarios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1"/>
  <dimension ref="A1:M1"/>
  <sheetViews>
    <sheetView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D18" sqref="D18"/>
    </sheetView>
  </sheetViews>
  <sheetFormatPr defaultRowHeight="15"/>
  <cols>
    <col min="1" max="1" width="9.140625" style="1"/>
    <col min="2" max="3" width="18.28515625" style="1" customWidth="1"/>
    <col min="4" max="4" width="11.42578125" style="1" customWidth="1"/>
    <col min="5" max="5" width="13.28515625" style="1" customWidth="1"/>
    <col min="6" max="6" width="22.42578125" style="2" bestFit="1" customWidth="1"/>
    <col min="7" max="7" width="15.140625" style="1" customWidth="1"/>
    <col min="8" max="8" width="13.85546875" style="1" customWidth="1"/>
    <col min="9" max="9" width="15.140625" style="2" bestFit="1" customWidth="1"/>
    <col min="10" max="10" width="21.7109375" style="1" customWidth="1"/>
    <col min="11" max="11" width="19.85546875" style="1" bestFit="1" customWidth="1"/>
    <col min="12" max="12" width="26.42578125" style="1" bestFit="1" customWidth="1"/>
    <col min="13" max="13" width="16.85546875" style="1" customWidth="1"/>
  </cols>
  <sheetData>
    <row r="1" spans="1:13" s="67" customFormat="1" ht="36" customHeight="1">
      <c r="A1" s="65" t="s">
        <v>1</v>
      </c>
      <c r="B1" s="65" t="s">
        <v>469</v>
      </c>
      <c r="C1" s="65" t="s">
        <v>488</v>
      </c>
      <c r="D1" s="65" t="s">
        <v>3</v>
      </c>
      <c r="E1" s="65" t="s">
        <v>4</v>
      </c>
      <c r="F1" s="66" t="s">
        <v>5</v>
      </c>
      <c r="G1" s="65" t="s">
        <v>476</v>
      </c>
      <c r="H1" s="65" t="s">
        <v>320</v>
      </c>
      <c r="I1" s="66" t="s">
        <v>6</v>
      </c>
      <c r="J1" s="65" t="s">
        <v>7</v>
      </c>
      <c r="K1" s="65" t="s">
        <v>478</v>
      </c>
      <c r="L1" s="65" t="s">
        <v>477</v>
      </c>
      <c r="M1" s="65" t="s">
        <v>464</v>
      </c>
    </row>
  </sheetData>
  <dataValidations count="1">
    <dataValidation type="list" allowBlank="1" showInputMessage="1" showErrorMessage="1" sqref="I2:I1048576">
      <formula1>Текущий_статус</formula1>
    </dataValidation>
  </dataValidations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"/>
  <dimension ref="A1:W474"/>
  <sheetViews>
    <sheetView workbookViewId="0">
      <pane xSplit="2" ySplit="1" topLeftCell="P456" activePane="bottomRight" state="frozen"/>
      <selection pane="topRight" activeCell="B1" sqref="B1"/>
      <selection pane="bottomLeft" activeCell="A2" sqref="A2"/>
      <selection pane="bottomRight" activeCell="S474" sqref="S474"/>
    </sheetView>
  </sheetViews>
  <sheetFormatPr defaultRowHeight="15" outlineLevelRow="1"/>
  <cols>
    <col min="1" max="1" width="9.140625" style="1"/>
    <col min="2" max="2" width="15.7109375" style="1" customWidth="1"/>
    <col min="3" max="3" width="18.140625" style="1" bestFit="1" customWidth="1"/>
    <col min="4" max="4" width="11.7109375" style="2" bestFit="1" customWidth="1"/>
    <col min="5" max="5" width="13.7109375" style="2" customWidth="1"/>
    <col min="6" max="6" width="17" style="2" customWidth="1"/>
    <col min="7" max="7" width="17.7109375" style="1" customWidth="1"/>
    <col min="8" max="8" width="14.5703125" style="1" customWidth="1"/>
    <col min="9" max="9" width="12.28515625" style="2" bestFit="1" customWidth="1"/>
    <col min="10" max="12" width="16.7109375" style="1" customWidth="1"/>
    <col min="13" max="13" width="17.85546875" style="2" bestFit="1" customWidth="1"/>
    <col min="14" max="14" width="24" style="2" bestFit="1" customWidth="1"/>
    <col min="15" max="15" width="73.28515625" style="1" bestFit="1" customWidth="1"/>
    <col min="16" max="16" width="49.5703125" style="1" bestFit="1" customWidth="1"/>
    <col min="17" max="17" width="15" style="1" customWidth="1"/>
    <col min="18" max="18" width="23.7109375" style="1" customWidth="1"/>
    <col min="19" max="19" width="9.140625" style="5"/>
    <col min="20" max="20" width="18" style="5" customWidth="1"/>
    <col min="21" max="21" width="9.140625" style="1"/>
    <col min="22" max="22" width="21.140625" style="1" customWidth="1"/>
    <col min="23" max="23" width="16.5703125" style="6" customWidth="1"/>
  </cols>
  <sheetData>
    <row r="1" spans="1:23" s="204" customFormat="1" ht="38.25">
      <c r="A1" s="44" t="s">
        <v>1</v>
      </c>
      <c r="B1" s="203" t="s">
        <v>22</v>
      </c>
      <c r="C1" s="38" t="s">
        <v>24</v>
      </c>
      <c r="D1" s="43" t="s">
        <v>34</v>
      </c>
      <c r="E1" s="43" t="s">
        <v>36</v>
      </c>
      <c r="F1" s="43" t="s">
        <v>5</v>
      </c>
      <c r="G1" s="38" t="s">
        <v>476</v>
      </c>
      <c r="H1" s="38" t="s">
        <v>320</v>
      </c>
      <c r="I1" s="43" t="s">
        <v>28</v>
      </c>
      <c r="J1" s="42" t="s">
        <v>7</v>
      </c>
      <c r="K1" s="39" t="s">
        <v>478</v>
      </c>
      <c r="L1" s="42" t="s">
        <v>477</v>
      </c>
      <c r="M1" s="43" t="s">
        <v>26</v>
      </c>
      <c r="N1" s="43" t="s">
        <v>8</v>
      </c>
      <c r="O1" s="38" t="s">
        <v>29</v>
      </c>
      <c r="P1" s="205" t="s">
        <v>8218</v>
      </c>
      <c r="Q1" s="46" t="s">
        <v>30</v>
      </c>
      <c r="R1" s="46" t="s">
        <v>31</v>
      </c>
      <c r="S1" s="206" t="s">
        <v>32</v>
      </c>
      <c r="T1" s="206" t="s">
        <v>33</v>
      </c>
      <c r="U1" s="38" t="s">
        <v>27</v>
      </c>
      <c r="V1" s="38" t="s">
        <v>35</v>
      </c>
      <c r="W1" s="38" t="s">
        <v>25</v>
      </c>
    </row>
    <row r="2" spans="1:23">
      <c r="A2" s="8">
        <v>2018</v>
      </c>
      <c r="B2" s="175"/>
      <c r="C2" s="175"/>
      <c r="D2" s="175"/>
      <c r="E2" s="176"/>
      <c r="F2" s="175"/>
      <c r="G2" s="175"/>
      <c r="H2" s="175"/>
      <c r="I2" s="175"/>
      <c r="J2" s="8"/>
      <c r="K2" s="8"/>
      <c r="L2" s="8"/>
      <c r="M2" s="175"/>
      <c r="N2" s="175"/>
      <c r="O2" s="177"/>
      <c r="P2" s="175"/>
      <c r="Q2" s="178"/>
      <c r="R2" s="178"/>
      <c r="S2" s="175"/>
      <c r="T2" s="175"/>
      <c r="U2" s="175"/>
      <c r="V2" s="175"/>
      <c r="W2" s="175"/>
    </row>
    <row r="3" spans="1:23" ht="25.5" hidden="1" outlineLevel="1">
      <c r="A3" s="1">
        <v>1</v>
      </c>
      <c r="B3" s="179">
        <v>43322</v>
      </c>
      <c r="C3" s="180" t="s">
        <v>7160</v>
      </c>
      <c r="D3" s="207"/>
      <c r="E3" s="173" t="s">
        <v>23</v>
      </c>
      <c r="F3" s="207">
        <v>4377346</v>
      </c>
      <c r="G3" s="180" t="s">
        <v>7166</v>
      </c>
      <c r="H3" s="180" t="s">
        <v>7164</v>
      </c>
      <c r="I3" s="207" t="s">
        <v>7165</v>
      </c>
      <c r="M3" s="174" t="s">
        <v>7162</v>
      </c>
      <c r="N3" s="174" t="s">
        <v>7161</v>
      </c>
      <c r="O3" s="181" t="s">
        <v>7167</v>
      </c>
      <c r="P3" s="180"/>
      <c r="Q3" s="179"/>
      <c r="R3" s="179"/>
      <c r="S3" s="182"/>
      <c r="T3" s="182"/>
      <c r="U3" s="180" t="s">
        <v>7163</v>
      </c>
      <c r="V3" s="180"/>
      <c r="W3" s="180">
        <f>79023559072</f>
        <v>79023559072</v>
      </c>
    </row>
    <row r="4" spans="1:23" hidden="1" outlineLevel="1">
      <c r="A4" s="1">
        <v>2</v>
      </c>
      <c r="B4" s="179">
        <v>43322</v>
      </c>
      <c r="C4" s="180" t="s">
        <v>7168</v>
      </c>
      <c r="D4" s="207"/>
      <c r="E4" s="173" t="s">
        <v>23</v>
      </c>
      <c r="F4" s="207">
        <v>356307041277582</v>
      </c>
      <c r="G4" s="180" t="s">
        <v>7172</v>
      </c>
      <c r="H4" s="180" t="s">
        <v>7170</v>
      </c>
      <c r="I4" s="207" t="s">
        <v>7171</v>
      </c>
      <c r="M4" s="174" t="s">
        <v>836</v>
      </c>
      <c r="N4" s="174" t="s">
        <v>7169</v>
      </c>
      <c r="O4" s="181" t="s">
        <v>7173</v>
      </c>
      <c r="P4" s="180" t="s">
        <v>7174</v>
      </c>
      <c r="Q4" s="179"/>
      <c r="R4" s="179"/>
      <c r="S4" s="182"/>
      <c r="T4" s="182"/>
      <c r="U4" s="180" t="s">
        <v>7163</v>
      </c>
      <c r="V4" s="180"/>
      <c r="W4" s="180">
        <v>102464302</v>
      </c>
    </row>
    <row r="5" spans="1:23" ht="25.5" hidden="1" outlineLevel="1">
      <c r="A5" s="1">
        <v>3</v>
      </c>
      <c r="B5" s="179">
        <v>43322</v>
      </c>
      <c r="C5" s="180" t="s">
        <v>7175</v>
      </c>
      <c r="D5" s="207"/>
      <c r="E5" s="173" t="s">
        <v>23</v>
      </c>
      <c r="F5" s="207">
        <v>865733023833262</v>
      </c>
      <c r="G5" s="180" t="s">
        <v>7172</v>
      </c>
      <c r="H5" s="180" t="s">
        <v>7170</v>
      </c>
      <c r="I5" s="207" t="s">
        <v>7171</v>
      </c>
      <c r="M5" s="174" t="s">
        <v>836</v>
      </c>
      <c r="N5" s="174" t="s">
        <v>7169</v>
      </c>
      <c r="O5" s="181" t="s">
        <v>836</v>
      </c>
      <c r="P5" s="180" t="s">
        <v>7176</v>
      </c>
      <c r="Q5" s="179"/>
      <c r="R5" s="179"/>
      <c r="S5" s="182"/>
      <c r="T5" s="182"/>
      <c r="U5" s="180" t="s">
        <v>7163</v>
      </c>
      <c r="V5" s="180"/>
      <c r="W5" s="180">
        <v>160101941184</v>
      </c>
    </row>
    <row r="6" spans="1:23" hidden="1" outlineLevel="1">
      <c r="A6" s="1">
        <v>4</v>
      </c>
      <c r="B6" s="179">
        <v>43325</v>
      </c>
      <c r="C6" s="180" t="s">
        <v>7175</v>
      </c>
      <c r="D6" s="207"/>
      <c r="E6" s="173" t="s">
        <v>23</v>
      </c>
      <c r="F6" s="207">
        <v>868324021024505</v>
      </c>
      <c r="G6" s="180" t="s">
        <v>7172</v>
      </c>
      <c r="H6" s="180" t="s">
        <v>7164</v>
      </c>
      <c r="I6" s="207" t="s">
        <v>7165</v>
      </c>
      <c r="M6" s="174" t="s">
        <v>7178</v>
      </c>
      <c r="N6" s="174" t="s">
        <v>7177</v>
      </c>
      <c r="O6" s="183" t="s">
        <v>7179</v>
      </c>
      <c r="P6" s="180" t="s">
        <v>7174</v>
      </c>
      <c r="Q6" s="179"/>
      <c r="R6" s="179"/>
      <c r="S6" s="182"/>
      <c r="T6" s="182"/>
      <c r="U6" s="180" t="s">
        <v>7163</v>
      </c>
      <c r="V6" s="180"/>
      <c r="W6" s="180">
        <f>79370341983</f>
        <v>79370341983</v>
      </c>
    </row>
    <row r="7" spans="1:23" hidden="1" outlineLevel="1">
      <c r="A7" s="1">
        <v>5</v>
      </c>
      <c r="B7" s="179">
        <v>43325</v>
      </c>
      <c r="C7" s="180" t="s">
        <v>7180</v>
      </c>
      <c r="D7" s="207"/>
      <c r="E7" s="173" t="s">
        <v>23</v>
      </c>
      <c r="F7" s="207">
        <v>231065</v>
      </c>
      <c r="G7" s="180" t="s">
        <v>7172</v>
      </c>
      <c r="H7" s="180" t="s">
        <v>7170</v>
      </c>
      <c r="I7" s="207" t="s">
        <v>7182</v>
      </c>
      <c r="M7" s="174" t="s">
        <v>7181</v>
      </c>
      <c r="N7" s="174" t="s">
        <v>1931</v>
      </c>
      <c r="O7" s="181" t="s">
        <v>836</v>
      </c>
      <c r="P7" s="180" t="s">
        <v>7174</v>
      </c>
      <c r="Q7" s="179"/>
      <c r="R7" s="179"/>
      <c r="S7" s="182"/>
      <c r="T7" s="182"/>
      <c r="U7" s="180" t="s">
        <v>7163</v>
      </c>
      <c r="V7" s="180"/>
      <c r="W7" s="180">
        <f>79022135710</f>
        <v>79022135710</v>
      </c>
    </row>
    <row r="8" spans="1:23" ht="25.5" hidden="1" outlineLevel="1">
      <c r="A8" s="1">
        <v>6</v>
      </c>
      <c r="B8" s="179">
        <v>43325</v>
      </c>
      <c r="C8" s="180" t="s">
        <v>7183</v>
      </c>
      <c r="D8" s="207"/>
      <c r="E8" s="173" t="s">
        <v>23</v>
      </c>
      <c r="F8" s="207">
        <v>868204004188305</v>
      </c>
      <c r="G8" s="180" t="s">
        <v>7172</v>
      </c>
      <c r="H8" s="180" t="s">
        <v>7170</v>
      </c>
      <c r="I8" s="207" t="s">
        <v>7165</v>
      </c>
      <c r="M8" s="174" t="s">
        <v>7185</v>
      </c>
      <c r="N8" s="174" t="s">
        <v>7184</v>
      </c>
      <c r="O8" s="181" t="s">
        <v>7186</v>
      </c>
      <c r="P8" s="180" t="s">
        <v>7174</v>
      </c>
      <c r="Q8" s="179"/>
      <c r="R8" s="179"/>
      <c r="S8" s="182"/>
      <c r="T8" s="182"/>
      <c r="U8" s="180" t="s">
        <v>7163</v>
      </c>
      <c r="V8" s="180"/>
      <c r="W8" s="180" t="s">
        <v>836</v>
      </c>
    </row>
    <row r="9" spans="1:23" hidden="1" outlineLevel="1">
      <c r="A9" s="1">
        <v>7</v>
      </c>
      <c r="B9" s="179">
        <v>43325</v>
      </c>
      <c r="C9" s="180" t="s">
        <v>7187</v>
      </c>
      <c r="D9" s="207"/>
      <c r="E9" s="173" t="s">
        <v>23</v>
      </c>
      <c r="F9" s="207">
        <v>16091041</v>
      </c>
      <c r="G9" s="180" t="s">
        <v>64</v>
      </c>
      <c r="H9" s="180" t="s">
        <v>7170</v>
      </c>
      <c r="I9" s="207" t="s">
        <v>7165</v>
      </c>
      <c r="M9" s="174" t="s">
        <v>7188</v>
      </c>
      <c r="N9" s="174" t="s">
        <v>1588</v>
      </c>
      <c r="O9" s="181" t="s">
        <v>7189</v>
      </c>
      <c r="P9" s="180" t="s">
        <v>7190</v>
      </c>
      <c r="Q9" s="179"/>
      <c r="R9" s="179"/>
      <c r="S9" s="182"/>
      <c r="T9" s="182"/>
      <c r="U9" s="180" t="s">
        <v>7163</v>
      </c>
      <c r="V9" s="180"/>
      <c r="W9" s="180" t="s">
        <v>836</v>
      </c>
    </row>
    <row r="10" spans="1:23" hidden="1" outlineLevel="1">
      <c r="A10" s="1">
        <v>8</v>
      </c>
      <c r="B10" s="179">
        <v>43326</v>
      </c>
      <c r="C10" s="180" t="s">
        <v>7191</v>
      </c>
      <c r="D10" s="207"/>
      <c r="E10" s="173" t="s">
        <v>23</v>
      </c>
      <c r="F10" s="207">
        <v>211099</v>
      </c>
      <c r="G10" s="180" t="s">
        <v>7194</v>
      </c>
      <c r="H10" s="180" t="s">
        <v>7164</v>
      </c>
      <c r="I10" s="207" t="s">
        <v>7193</v>
      </c>
      <c r="M10" s="174" t="s">
        <v>7192</v>
      </c>
      <c r="N10" s="174" t="s">
        <v>7161</v>
      </c>
      <c r="O10" s="181" t="s">
        <v>7195</v>
      </c>
      <c r="P10" s="180" t="s">
        <v>7174</v>
      </c>
      <c r="Q10" s="179"/>
      <c r="R10" s="179"/>
      <c r="S10" s="182"/>
      <c r="T10" s="182"/>
      <c r="U10" s="180" t="s">
        <v>7163</v>
      </c>
      <c r="V10" s="180"/>
      <c r="W10" s="180">
        <f>79021257275</f>
        <v>79021257275</v>
      </c>
    </row>
    <row r="11" spans="1:23" hidden="1" outlineLevel="1">
      <c r="A11" s="1">
        <v>9</v>
      </c>
      <c r="B11" s="179">
        <v>43326</v>
      </c>
      <c r="C11" s="180" t="s">
        <v>7196</v>
      </c>
      <c r="D11" s="207"/>
      <c r="E11" s="173" t="s">
        <v>23</v>
      </c>
      <c r="F11" s="207">
        <v>518550</v>
      </c>
      <c r="G11" s="180" t="s">
        <v>500</v>
      </c>
      <c r="H11" s="180" t="s">
        <v>7164</v>
      </c>
      <c r="I11" s="207" t="s">
        <v>836</v>
      </c>
      <c r="M11" s="174" t="s">
        <v>7197</v>
      </c>
      <c r="N11" s="174"/>
      <c r="O11" s="181" t="s">
        <v>7198</v>
      </c>
      <c r="P11" s="180" t="s">
        <v>7174</v>
      </c>
      <c r="Q11" s="179"/>
      <c r="R11" s="179"/>
      <c r="S11" s="182"/>
      <c r="T11" s="182"/>
      <c r="U11" s="180" t="s">
        <v>836</v>
      </c>
      <c r="V11" s="180"/>
      <c r="W11" s="180" t="s">
        <v>836</v>
      </c>
    </row>
    <row r="12" spans="1:23" hidden="1" outlineLevel="1">
      <c r="A12" s="1">
        <v>10</v>
      </c>
      <c r="B12" s="179">
        <v>43326</v>
      </c>
      <c r="C12" s="180" t="s">
        <v>7180</v>
      </c>
      <c r="D12" s="207"/>
      <c r="E12" s="173" t="s">
        <v>23</v>
      </c>
      <c r="F12" s="207">
        <v>299838</v>
      </c>
      <c r="G12" s="180" t="s">
        <v>7172</v>
      </c>
      <c r="H12" s="180" t="s">
        <v>7170</v>
      </c>
      <c r="I12" s="207" t="s">
        <v>7201</v>
      </c>
      <c r="M12" s="174" t="s">
        <v>7200</v>
      </c>
      <c r="N12" s="174" t="s">
        <v>7199</v>
      </c>
      <c r="O12" s="181" t="s">
        <v>7202</v>
      </c>
      <c r="P12" s="180" t="s">
        <v>7203</v>
      </c>
      <c r="Q12" s="179"/>
      <c r="R12" s="179"/>
      <c r="S12" s="182"/>
      <c r="T12" s="182"/>
      <c r="U12" s="180" t="s">
        <v>836</v>
      </c>
      <c r="V12" s="180"/>
      <c r="W12" s="180" t="s">
        <v>836</v>
      </c>
    </row>
    <row r="13" spans="1:23" ht="25.5" hidden="1" outlineLevel="1">
      <c r="A13" s="1">
        <v>11</v>
      </c>
      <c r="B13" s="179">
        <v>43326</v>
      </c>
      <c r="C13" s="180" t="s">
        <v>7204</v>
      </c>
      <c r="D13" s="207"/>
      <c r="E13" s="173" t="s">
        <v>23</v>
      </c>
      <c r="F13" s="207">
        <v>863591028415796</v>
      </c>
      <c r="G13" s="180" t="s">
        <v>7206</v>
      </c>
      <c r="H13" s="180" t="s">
        <v>7170</v>
      </c>
      <c r="I13" s="207" t="s">
        <v>7201</v>
      </c>
      <c r="M13" s="174" t="s">
        <v>836</v>
      </c>
      <c r="N13" s="174" t="s">
        <v>7205</v>
      </c>
      <c r="O13" s="181" t="s">
        <v>836</v>
      </c>
      <c r="P13" s="180"/>
      <c r="Q13" s="179"/>
      <c r="R13" s="179"/>
      <c r="S13" s="182"/>
      <c r="T13" s="182"/>
      <c r="U13" s="180" t="s">
        <v>836</v>
      </c>
      <c r="V13" s="180"/>
      <c r="W13" s="184">
        <v>79041817314</v>
      </c>
    </row>
    <row r="14" spans="1:23" ht="25.5" hidden="1" outlineLevel="1">
      <c r="A14" s="1">
        <v>12</v>
      </c>
      <c r="B14" s="179">
        <v>43326</v>
      </c>
      <c r="C14" s="180" t="s">
        <v>7207</v>
      </c>
      <c r="D14" s="207"/>
      <c r="E14" s="173" t="s">
        <v>23</v>
      </c>
      <c r="F14" s="207">
        <v>356895036240201</v>
      </c>
      <c r="G14" s="180" t="s">
        <v>7206</v>
      </c>
      <c r="H14" s="180" t="s">
        <v>7170</v>
      </c>
      <c r="I14" s="207" t="s">
        <v>7201</v>
      </c>
      <c r="M14" s="174" t="s">
        <v>836</v>
      </c>
      <c r="N14" s="174" t="s">
        <v>836</v>
      </c>
      <c r="O14" s="181" t="s">
        <v>7208</v>
      </c>
      <c r="P14" s="180"/>
      <c r="Q14" s="179"/>
      <c r="R14" s="179"/>
      <c r="S14" s="182"/>
      <c r="T14" s="182"/>
      <c r="U14" s="180" t="s">
        <v>836</v>
      </c>
      <c r="V14" s="180"/>
      <c r="W14" s="180">
        <v>9370342184</v>
      </c>
    </row>
    <row r="15" spans="1:23" hidden="1" outlineLevel="1">
      <c r="A15" s="1">
        <v>13</v>
      </c>
      <c r="B15" s="179">
        <v>43327</v>
      </c>
      <c r="C15" s="180" t="s">
        <v>7209</v>
      </c>
      <c r="D15" s="207"/>
      <c r="E15" s="173" t="s">
        <v>23</v>
      </c>
      <c r="F15" s="207">
        <v>203100045768</v>
      </c>
      <c r="G15" s="180" t="s">
        <v>64</v>
      </c>
      <c r="H15" s="180" t="s">
        <v>7170</v>
      </c>
      <c r="I15" s="207" t="s">
        <v>7165</v>
      </c>
      <c r="M15" s="174" t="s">
        <v>7210</v>
      </c>
      <c r="N15" s="174" t="s">
        <v>7169</v>
      </c>
      <c r="O15" s="181" t="s">
        <v>7211</v>
      </c>
      <c r="P15" s="185" t="s">
        <v>7212</v>
      </c>
      <c r="Q15" s="179"/>
      <c r="R15" s="179"/>
      <c r="S15" s="182"/>
      <c r="T15" s="182"/>
      <c r="U15" s="180" t="s">
        <v>836</v>
      </c>
      <c r="V15" s="180"/>
      <c r="W15" s="180" t="s">
        <v>836</v>
      </c>
    </row>
    <row r="16" spans="1:23" ht="25.5" hidden="1" outlineLevel="1">
      <c r="A16" s="1">
        <v>14</v>
      </c>
      <c r="B16" s="179">
        <v>43327</v>
      </c>
      <c r="C16" s="180" t="s">
        <v>7213</v>
      </c>
      <c r="D16" s="207"/>
      <c r="E16" s="173" t="s">
        <v>23</v>
      </c>
      <c r="F16" s="207">
        <v>206680</v>
      </c>
      <c r="G16" s="180" t="s">
        <v>7172</v>
      </c>
      <c r="H16" s="180" t="s">
        <v>836</v>
      </c>
      <c r="I16" s="207" t="s">
        <v>7171</v>
      </c>
      <c r="M16" s="174" t="s">
        <v>1330</v>
      </c>
      <c r="N16" s="174" t="s">
        <v>1322</v>
      </c>
      <c r="O16" s="181" t="s">
        <v>7214</v>
      </c>
      <c r="P16" s="180" t="s">
        <v>7215</v>
      </c>
      <c r="Q16" s="179"/>
      <c r="R16" s="179"/>
      <c r="S16" s="182"/>
      <c r="T16" s="182"/>
      <c r="U16" s="180" t="s">
        <v>836</v>
      </c>
      <c r="V16" s="180"/>
      <c r="W16" s="180" t="s">
        <v>836</v>
      </c>
    </row>
    <row r="17" spans="1:23" ht="25.5" hidden="1" outlineLevel="1">
      <c r="A17" s="1">
        <v>15</v>
      </c>
      <c r="B17" s="179">
        <v>43332</v>
      </c>
      <c r="C17" s="180" t="s">
        <v>567</v>
      </c>
      <c r="D17" s="207"/>
      <c r="E17" s="173" t="s">
        <v>23</v>
      </c>
      <c r="F17" s="207">
        <v>868324025298873</v>
      </c>
      <c r="G17" s="180" t="s">
        <v>500</v>
      </c>
      <c r="H17" s="180" t="s">
        <v>7164</v>
      </c>
      <c r="I17" s="207" t="s">
        <v>7201</v>
      </c>
      <c r="M17" s="174" t="s">
        <v>7216</v>
      </c>
      <c r="N17" s="174" t="s">
        <v>1765</v>
      </c>
      <c r="O17" s="181" t="s">
        <v>7218</v>
      </c>
      <c r="P17" s="180" t="s">
        <v>500</v>
      </c>
      <c r="Q17" s="179"/>
      <c r="R17" s="179"/>
      <c r="S17" s="182"/>
      <c r="T17" s="182"/>
      <c r="U17" s="180" t="s">
        <v>7217</v>
      </c>
      <c r="V17" s="180"/>
      <c r="W17" s="180">
        <f>10194269</f>
        <v>10194269</v>
      </c>
    </row>
    <row r="18" spans="1:23" ht="25.5" hidden="1" outlineLevel="1">
      <c r="A18" s="1">
        <v>16</v>
      </c>
      <c r="B18" s="179">
        <v>43333</v>
      </c>
      <c r="C18" s="180" t="s">
        <v>567</v>
      </c>
      <c r="D18" s="207"/>
      <c r="E18" s="173" t="s">
        <v>23</v>
      </c>
      <c r="F18" s="207">
        <v>865733023866049</v>
      </c>
      <c r="G18" s="180" t="s">
        <v>500</v>
      </c>
      <c r="H18" s="180" t="s">
        <v>7164</v>
      </c>
      <c r="I18" s="207" t="s">
        <v>7201</v>
      </c>
      <c r="M18" s="174" t="s">
        <v>7219</v>
      </c>
      <c r="N18" s="174" t="s">
        <v>1765</v>
      </c>
      <c r="O18" s="181" t="s">
        <v>7218</v>
      </c>
      <c r="P18" s="180" t="s">
        <v>500</v>
      </c>
      <c r="Q18" s="179"/>
      <c r="R18" s="179"/>
      <c r="S18" s="182"/>
      <c r="T18" s="182"/>
      <c r="U18" s="180" t="s">
        <v>7217</v>
      </c>
      <c r="V18" s="180"/>
      <c r="W18" s="180">
        <f>53132391</f>
        <v>53132391</v>
      </c>
    </row>
    <row r="19" spans="1:23" hidden="1" outlineLevel="1">
      <c r="A19" s="1">
        <v>17</v>
      </c>
      <c r="B19" s="179">
        <v>43335</v>
      </c>
      <c r="C19" s="180" t="s">
        <v>7168</v>
      </c>
      <c r="D19" s="207"/>
      <c r="E19" s="173" t="s">
        <v>23</v>
      </c>
      <c r="F19" s="207">
        <v>356307041911750</v>
      </c>
      <c r="G19" s="180" t="s">
        <v>7172</v>
      </c>
      <c r="H19" s="180" t="s">
        <v>7170</v>
      </c>
      <c r="I19" s="207" t="s">
        <v>7201</v>
      </c>
      <c r="M19" s="174" t="s">
        <v>7221</v>
      </c>
      <c r="N19" s="174" t="s">
        <v>7220</v>
      </c>
      <c r="O19" s="181" t="s">
        <v>7222</v>
      </c>
      <c r="P19" s="180" t="s">
        <v>7174</v>
      </c>
      <c r="Q19" s="179"/>
      <c r="R19" s="179"/>
      <c r="S19" s="182"/>
      <c r="T19" s="182"/>
      <c r="U19" s="180" t="s">
        <v>7163</v>
      </c>
      <c r="V19" s="180"/>
      <c r="W19" s="180" t="s">
        <v>836</v>
      </c>
    </row>
    <row r="20" spans="1:23" hidden="1" outlineLevel="1">
      <c r="A20" s="1">
        <v>18</v>
      </c>
      <c r="B20" s="179">
        <v>43335</v>
      </c>
      <c r="C20" s="180" t="s">
        <v>7187</v>
      </c>
      <c r="D20" s="207"/>
      <c r="E20" s="173" t="s">
        <v>23</v>
      </c>
      <c r="F20" s="207">
        <v>15110404</v>
      </c>
      <c r="G20" s="180" t="s">
        <v>64</v>
      </c>
      <c r="H20" s="180" t="s">
        <v>7170</v>
      </c>
      <c r="I20" s="207" t="s">
        <v>7225</v>
      </c>
      <c r="M20" s="174" t="s">
        <v>7224</v>
      </c>
      <c r="N20" s="174" t="s">
        <v>7223</v>
      </c>
      <c r="O20" s="181" t="s">
        <v>7226</v>
      </c>
      <c r="P20" s="180" t="s">
        <v>7190</v>
      </c>
      <c r="Q20" s="179"/>
      <c r="R20" s="179"/>
      <c r="S20" s="182"/>
      <c r="T20" s="182"/>
      <c r="U20" s="180" t="s">
        <v>7163</v>
      </c>
      <c r="V20" s="180"/>
      <c r="W20" s="180" t="s">
        <v>836</v>
      </c>
    </row>
    <row r="21" spans="1:23" hidden="1" outlineLevel="1">
      <c r="A21" s="1">
        <v>19</v>
      </c>
      <c r="B21" s="179">
        <v>43337</v>
      </c>
      <c r="C21" s="180" t="s">
        <v>7168</v>
      </c>
      <c r="D21" s="207"/>
      <c r="E21" s="173" t="s">
        <v>23</v>
      </c>
      <c r="F21" s="207">
        <v>356307041902627</v>
      </c>
      <c r="G21" s="180" t="s">
        <v>7229</v>
      </c>
      <c r="H21" s="180" t="s">
        <v>7164</v>
      </c>
      <c r="I21" s="207" t="s">
        <v>7165</v>
      </c>
      <c r="M21" s="174" t="s">
        <v>7228</v>
      </c>
      <c r="N21" s="174" t="s">
        <v>7227</v>
      </c>
      <c r="O21" s="181" t="s">
        <v>7230</v>
      </c>
      <c r="P21" s="180" t="s">
        <v>7215</v>
      </c>
      <c r="Q21" s="179"/>
      <c r="R21" s="179"/>
      <c r="S21" s="182"/>
      <c r="T21" s="182"/>
      <c r="U21" s="180" t="s">
        <v>7163</v>
      </c>
      <c r="V21" s="180"/>
      <c r="W21" s="180">
        <f>102464408</f>
        <v>102464408</v>
      </c>
    </row>
    <row r="22" spans="1:23" hidden="1" outlineLevel="1">
      <c r="A22" s="1">
        <v>20</v>
      </c>
      <c r="B22" s="179">
        <v>43337</v>
      </c>
      <c r="C22" s="180" t="s">
        <v>7231</v>
      </c>
      <c r="D22" s="207"/>
      <c r="E22" s="173" t="s">
        <v>23</v>
      </c>
      <c r="F22" s="207">
        <v>359772030906987</v>
      </c>
      <c r="G22" s="180" t="s">
        <v>7229</v>
      </c>
      <c r="H22" s="180" t="s">
        <v>7164</v>
      </c>
      <c r="I22" s="207" t="s">
        <v>7165</v>
      </c>
      <c r="M22" s="174" t="s">
        <v>7232</v>
      </c>
      <c r="N22" s="174" t="s">
        <v>1129</v>
      </c>
      <c r="O22" s="181" t="s">
        <v>7233</v>
      </c>
      <c r="P22" s="180" t="s">
        <v>7174</v>
      </c>
      <c r="Q22" s="179"/>
      <c r="R22" s="179"/>
      <c r="S22" s="182"/>
      <c r="T22" s="182"/>
      <c r="U22" s="180" t="s">
        <v>7163</v>
      </c>
      <c r="V22" s="180"/>
      <c r="W22" s="180" t="s">
        <v>836</v>
      </c>
    </row>
    <row r="23" spans="1:23" hidden="1" outlineLevel="1">
      <c r="A23" s="1">
        <v>21</v>
      </c>
      <c r="B23" s="179">
        <v>43337</v>
      </c>
      <c r="C23" s="180" t="s">
        <v>7234</v>
      </c>
      <c r="D23" s="207"/>
      <c r="E23" s="173" t="s">
        <v>23</v>
      </c>
      <c r="F23" s="207">
        <v>356495042826844</v>
      </c>
      <c r="G23" s="180" t="s">
        <v>7194</v>
      </c>
      <c r="H23" s="180" t="s">
        <v>7164</v>
      </c>
      <c r="I23" s="207" t="s">
        <v>7201</v>
      </c>
      <c r="M23" s="174" t="s">
        <v>7235</v>
      </c>
      <c r="N23" s="174" t="s">
        <v>1931</v>
      </c>
      <c r="O23" s="181" t="s">
        <v>7236</v>
      </c>
      <c r="P23" s="180" t="s">
        <v>7174</v>
      </c>
      <c r="Q23" s="179"/>
      <c r="R23" s="179"/>
      <c r="S23" s="182"/>
      <c r="T23" s="182"/>
      <c r="U23" s="180" t="s">
        <v>7163</v>
      </c>
      <c r="V23" s="180"/>
      <c r="W23" s="180" t="s">
        <v>836</v>
      </c>
    </row>
    <row r="24" spans="1:23" ht="25.5" hidden="1" outlineLevel="1">
      <c r="A24" s="1">
        <v>22</v>
      </c>
      <c r="B24" s="179">
        <v>43338</v>
      </c>
      <c r="C24" s="180" t="s">
        <v>7237</v>
      </c>
      <c r="D24" s="207"/>
      <c r="E24" s="173" t="s">
        <v>23</v>
      </c>
      <c r="F24" s="207">
        <v>17080233</v>
      </c>
      <c r="G24" s="180" t="s">
        <v>64</v>
      </c>
      <c r="H24" s="180" t="s">
        <v>7170</v>
      </c>
      <c r="I24" s="207" t="s">
        <v>7165</v>
      </c>
      <c r="M24" s="174" t="s">
        <v>7239</v>
      </c>
      <c r="N24" s="174" t="s">
        <v>7238</v>
      </c>
      <c r="O24" s="181" t="s">
        <v>7240</v>
      </c>
      <c r="P24" s="185" t="s">
        <v>7241</v>
      </c>
      <c r="Q24" s="179"/>
      <c r="R24" s="179"/>
      <c r="S24" s="182"/>
      <c r="T24" s="182"/>
      <c r="U24" s="180" t="s">
        <v>7163</v>
      </c>
      <c r="V24" s="180"/>
      <c r="W24" s="180" t="s">
        <v>836</v>
      </c>
    </row>
    <row r="25" spans="1:23" hidden="1" outlineLevel="1">
      <c r="A25" s="1">
        <v>23</v>
      </c>
      <c r="B25" s="179">
        <v>43341</v>
      </c>
      <c r="C25" s="180" t="s">
        <v>7237</v>
      </c>
      <c r="D25" s="207"/>
      <c r="E25" s="173" t="s">
        <v>23</v>
      </c>
      <c r="F25" s="207">
        <v>18062136</v>
      </c>
      <c r="G25" s="180" t="s">
        <v>64</v>
      </c>
      <c r="H25" s="180" t="s">
        <v>7170</v>
      </c>
      <c r="I25" s="207" t="s">
        <v>7225</v>
      </c>
      <c r="M25" s="174" t="s">
        <v>7243</v>
      </c>
      <c r="N25" s="174" t="s">
        <v>7242</v>
      </c>
      <c r="O25" s="181" t="s">
        <v>7240</v>
      </c>
      <c r="P25" s="185" t="s">
        <v>7241</v>
      </c>
      <c r="Q25" s="179"/>
      <c r="R25" s="179"/>
      <c r="S25" s="182"/>
      <c r="T25" s="182"/>
      <c r="U25" s="180" t="s">
        <v>7163</v>
      </c>
      <c r="V25" s="180"/>
      <c r="W25" s="180" t="s">
        <v>836</v>
      </c>
    </row>
    <row r="26" spans="1:23" hidden="1" outlineLevel="1">
      <c r="A26" s="1">
        <v>24</v>
      </c>
      <c r="B26" s="179">
        <v>43341</v>
      </c>
      <c r="C26" s="180" t="s">
        <v>567</v>
      </c>
      <c r="D26" s="207"/>
      <c r="E26" s="173" t="s">
        <v>23</v>
      </c>
      <c r="F26" s="207">
        <v>865733023823404</v>
      </c>
      <c r="G26" s="180" t="s">
        <v>7229</v>
      </c>
      <c r="H26" s="180" t="s">
        <v>7164</v>
      </c>
      <c r="I26" s="207" t="s">
        <v>7165</v>
      </c>
      <c r="M26" s="174" t="s">
        <v>7245</v>
      </c>
      <c r="N26" s="174" t="s">
        <v>7244</v>
      </c>
      <c r="O26" s="181" t="s">
        <v>7246</v>
      </c>
      <c r="P26" s="180" t="s">
        <v>7174</v>
      </c>
      <c r="Q26" s="179"/>
      <c r="R26" s="179"/>
      <c r="S26" s="182"/>
      <c r="T26" s="182"/>
      <c r="U26" s="180" t="s">
        <v>7163</v>
      </c>
      <c r="V26" s="180"/>
      <c r="W26" s="180" t="s">
        <v>836</v>
      </c>
    </row>
    <row r="27" spans="1:23" hidden="1" outlineLevel="1">
      <c r="A27" s="1">
        <v>25</v>
      </c>
      <c r="B27" s="179">
        <v>43341</v>
      </c>
      <c r="C27" s="180" t="s">
        <v>567</v>
      </c>
      <c r="D27" s="207"/>
      <c r="E27" s="173" t="s">
        <v>23</v>
      </c>
      <c r="F27" s="207">
        <v>868324022153915</v>
      </c>
      <c r="G27" s="180" t="s">
        <v>7229</v>
      </c>
      <c r="H27" s="180" t="s">
        <v>7164</v>
      </c>
      <c r="I27" s="207" t="s">
        <v>7165</v>
      </c>
      <c r="M27" s="174" t="s">
        <v>7248</v>
      </c>
      <c r="N27" s="174" t="s">
        <v>7247</v>
      </c>
      <c r="O27" s="181" t="s">
        <v>7249</v>
      </c>
      <c r="P27" s="180" t="s">
        <v>7174</v>
      </c>
      <c r="Q27" s="179"/>
      <c r="R27" s="179"/>
      <c r="S27" s="182"/>
      <c r="T27" s="182"/>
      <c r="U27" s="180" t="s">
        <v>7163</v>
      </c>
      <c r="V27" s="180"/>
      <c r="W27" s="180" t="s">
        <v>836</v>
      </c>
    </row>
    <row r="28" spans="1:23" hidden="1" outlineLevel="1">
      <c r="A28" s="1">
        <v>26</v>
      </c>
      <c r="B28" s="179">
        <v>43342</v>
      </c>
      <c r="C28" s="180" t="s">
        <v>7250</v>
      </c>
      <c r="D28" s="207"/>
      <c r="E28" s="173" t="s">
        <v>23</v>
      </c>
      <c r="F28" s="207">
        <v>353218070647558</v>
      </c>
      <c r="G28" s="180" t="s">
        <v>7229</v>
      </c>
      <c r="H28" s="180" t="s">
        <v>7164</v>
      </c>
      <c r="I28" s="207" t="s">
        <v>7165</v>
      </c>
      <c r="M28" s="174" t="s">
        <v>7252</v>
      </c>
      <c r="N28" s="174" t="s">
        <v>7251</v>
      </c>
      <c r="O28" s="181" t="s">
        <v>7253</v>
      </c>
      <c r="P28" s="180" t="s">
        <v>7174</v>
      </c>
      <c r="Q28" s="179"/>
      <c r="R28" s="179"/>
      <c r="S28" s="182"/>
      <c r="T28" s="182"/>
      <c r="U28" s="180" t="s">
        <v>7163</v>
      </c>
      <c r="V28" s="180"/>
      <c r="W28" s="180">
        <v>9020037082</v>
      </c>
    </row>
    <row r="29" spans="1:23" ht="25.5" hidden="1" outlineLevel="1">
      <c r="A29" s="1">
        <v>27</v>
      </c>
      <c r="B29" s="179">
        <v>43342</v>
      </c>
      <c r="C29" s="180" t="s">
        <v>567</v>
      </c>
      <c r="D29" s="207"/>
      <c r="E29" s="173" t="s">
        <v>23</v>
      </c>
      <c r="F29" s="207">
        <v>865733023862444</v>
      </c>
      <c r="G29" s="180" t="s">
        <v>500</v>
      </c>
      <c r="H29" s="180" t="s">
        <v>7164</v>
      </c>
      <c r="I29" s="207" t="s">
        <v>7201</v>
      </c>
      <c r="M29" s="174" t="s">
        <v>7254</v>
      </c>
      <c r="N29" s="174" t="s">
        <v>1765</v>
      </c>
      <c r="O29" s="181" t="s">
        <v>7255</v>
      </c>
      <c r="P29" s="180" t="s">
        <v>500</v>
      </c>
      <c r="Q29" s="179"/>
      <c r="R29" s="179"/>
      <c r="S29" s="182"/>
      <c r="T29" s="182"/>
      <c r="U29" s="180" t="s">
        <v>7217</v>
      </c>
      <c r="V29" s="180"/>
      <c r="W29" s="180">
        <v>79370340146</v>
      </c>
    </row>
    <row r="30" spans="1:23" hidden="1" outlineLevel="1">
      <c r="A30" s="1">
        <v>28</v>
      </c>
      <c r="B30" s="179">
        <v>43343</v>
      </c>
      <c r="C30" s="180" t="s">
        <v>567</v>
      </c>
      <c r="D30" s="207"/>
      <c r="E30" s="173" t="s">
        <v>23</v>
      </c>
      <c r="F30" s="208">
        <v>865733027445758</v>
      </c>
      <c r="G30" s="180" t="s">
        <v>7172</v>
      </c>
      <c r="H30" s="180" t="s">
        <v>7170</v>
      </c>
      <c r="I30" s="207" t="s">
        <v>7257</v>
      </c>
      <c r="M30" s="174" t="s">
        <v>7256</v>
      </c>
      <c r="N30" s="174" t="s">
        <v>2662</v>
      </c>
      <c r="O30" s="181"/>
      <c r="P30" s="180"/>
      <c r="Q30" s="179"/>
      <c r="R30" s="179"/>
      <c r="S30" s="182"/>
      <c r="T30" s="182"/>
      <c r="U30" s="180" t="s">
        <v>836</v>
      </c>
      <c r="V30" s="180"/>
      <c r="W30" s="180" t="s">
        <v>836</v>
      </c>
    </row>
    <row r="31" spans="1:23" ht="25.5" hidden="1" outlineLevel="1">
      <c r="A31" s="1">
        <v>29</v>
      </c>
      <c r="B31" s="179">
        <v>43343</v>
      </c>
      <c r="C31" s="180" t="s">
        <v>7258</v>
      </c>
      <c r="D31" s="207" t="s">
        <v>38</v>
      </c>
      <c r="E31" s="173" t="s">
        <v>23</v>
      </c>
      <c r="F31" s="207">
        <v>865905020082156</v>
      </c>
      <c r="G31" s="180" t="s">
        <v>7261</v>
      </c>
      <c r="H31" s="180" t="s">
        <v>7170</v>
      </c>
      <c r="I31" s="207" t="s">
        <v>7225</v>
      </c>
      <c r="M31" s="174" t="s">
        <v>836</v>
      </c>
      <c r="N31" s="174" t="s">
        <v>7259</v>
      </c>
      <c r="O31" s="181" t="s">
        <v>7262</v>
      </c>
      <c r="P31" s="180" t="s">
        <v>7174</v>
      </c>
      <c r="Q31" s="179"/>
      <c r="R31" s="179">
        <v>43395</v>
      </c>
      <c r="S31" s="182">
        <v>405</v>
      </c>
      <c r="T31" s="182" t="s">
        <v>7263</v>
      </c>
      <c r="U31" s="180" t="s">
        <v>7260</v>
      </c>
      <c r="V31" s="180"/>
      <c r="W31" s="180" t="s">
        <v>836</v>
      </c>
    </row>
    <row r="32" spans="1:23" ht="25.5" hidden="1" outlineLevel="1">
      <c r="A32" s="1">
        <v>30</v>
      </c>
      <c r="B32" s="179">
        <v>43343</v>
      </c>
      <c r="C32" s="180" t="s">
        <v>7264</v>
      </c>
      <c r="D32" s="207"/>
      <c r="E32" s="173" t="s">
        <v>23</v>
      </c>
      <c r="F32" s="207" t="s">
        <v>7265</v>
      </c>
      <c r="G32" s="180" t="s">
        <v>7229</v>
      </c>
      <c r="H32" s="180" t="s">
        <v>7164</v>
      </c>
      <c r="I32" s="207" t="s">
        <v>7165</v>
      </c>
      <c r="M32" s="174" t="s">
        <v>836</v>
      </c>
      <c r="N32" s="174" t="s">
        <v>7266</v>
      </c>
      <c r="O32" s="181" t="s">
        <v>7267</v>
      </c>
      <c r="P32" s="180" t="s">
        <v>7268</v>
      </c>
      <c r="Q32" s="179"/>
      <c r="R32" s="179"/>
      <c r="S32" s="182"/>
      <c r="T32" s="182"/>
      <c r="U32" s="180" t="s">
        <v>7163</v>
      </c>
      <c r="V32" s="180"/>
      <c r="W32" s="180" t="s">
        <v>836</v>
      </c>
    </row>
    <row r="33" spans="1:23" ht="25.5" hidden="1" outlineLevel="1">
      <c r="A33" s="1">
        <v>31</v>
      </c>
      <c r="B33" s="179">
        <v>43347</v>
      </c>
      <c r="C33" s="180" t="s">
        <v>7264</v>
      </c>
      <c r="D33" s="207"/>
      <c r="E33" s="173" t="s">
        <v>23</v>
      </c>
      <c r="F33" s="207" t="s">
        <v>7269</v>
      </c>
      <c r="G33" s="180" t="s">
        <v>7229</v>
      </c>
      <c r="H33" s="180" t="s">
        <v>7164</v>
      </c>
      <c r="I33" s="207" t="s">
        <v>7165</v>
      </c>
      <c r="M33" s="174" t="s">
        <v>7272</v>
      </c>
      <c r="N33" s="174" t="s">
        <v>7271</v>
      </c>
      <c r="O33" s="181" t="s">
        <v>7273</v>
      </c>
      <c r="P33" s="180" t="s">
        <v>7174</v>
      </c>
      <c r="Q33" s="179"/>
      <c r="R33" s="179"/>
      <c r="S33" s="182"/>
      <c r="T33" s="182"/>
      <c r="U33" s="180" t="s">
        <v>7163</v>
      </c>
      <c r="V33" s="180"/>
      <c r="W33" s="186" t="s">
        <v>7270</v>
      </c>
    </row>
    <row r="34" spans="1:23" hidden="1" outlineLevel="1">
      <c r="A34" s="1">
        <v>32</v>
      </c>
      <c r="B34" s="179">
        <v>43347</v>
      </c>
      <c r="C34" s="180" t="s">
        <v>7180</v>
      </c>
      <c r="D34" s="207"/>
      <c r="E34" s="173" t="s">
        <v>23</v>
      </c>
      <c r="F34" s="207">
        <v>13988</v>
      </c>
      <c r="G34" s="180" t="s">
        <v>500</v>
      </c>
      <c r="H34" s="180" t="s">
        <v>7164</v>
      </c>
      <c r="I34" s="207" t="s">
        <v>894</v>
      </c>
      <c r="M34" s="174" t="s">
        <v>7276</v>
      </c>
      <c r="N34" s="174" t="s">
        <v>7275</v>
      </c>
      <c r="O34" s="181" t="s">
        <v>7277</v>
      </c>
      <c r="P34" s="180" t="s">
        <v>500</v>
      </c>
      <c r="Q34" s="179"/>
      <c r="R34" s="179"/>
      <c r="S34" s="182"/>
      <c r="T34" s="182"/>
      <c r="U34" s="180" t="s">
        <v>7163</v>
      </c>
      <c r="V34" s="180"/>
      <c r="W34" s="180" t="s">
        <v>7274</v>
      </c>
    </row>
    <row r="35" spans="1:23" ht="25.5" hidden="1" outlineLevel="1">
      <c r="A35" s="1">
        <v>33</v>
      </c>
      <c r="B35" s="179">
        <v>43347</v>
      </c>
      <c r="C35" s="180" t="s">
        <v>7180</v>
      </c>
      <c r="D35" s="207"/>
      <c r="E35" s="173" t="s">
        <v>23</v>
      </c>
      <c r="F35" s="207">
        <v>100673</v>
      </c>
      <c r="G35" s="180" t="s">
        <v>500</v>
      </c>
      <c r="H35" s="180" t="s">
        <v>7164</v>
      </c>
      <c r="I35" s="207" t="s">
        <v>894</v>
      </c>
      <c r="M35" s="174" t="s">
        <v>836</v>
      </c>
      <c r="N35" s="174" t="s">
        <v>7275</v>
      </c>
      <c r="O35" s="181" t="s">
        <v>7182</v>
      </c>
      <c r="P35" s="180" t="s">
        <v>500</v>
      </c>
      <c r="Q35" s="179"/>
      <c r="R35" s="179"/>
      <c r="S35" s="182"/>
      <c r="T35" s="182"/>
      <c r="U35" s="180" t="s">
        <v>7163</v>
      </c>
      <c r="V35" s="180"/>
      <c r="W35" s="180" t="s">
        <v>7278</v>
      </c>
    </row>
    <row r="36" spans="1:23" hidden="1" outlineLevel="1">
      <c r="A36" s="1">
        <v>34</v>
      </c>
      <c r="B36" s="179">
        <v>43348</v>
      </c>
      <c r="C36" s="180" t="s">
        <v>7258</v>
      </c>
      <c r="D36" s="207"/>
      <c r="E36" s="173" t="s">
        <v>23</v>
      </c>
      <c r="F36" s="209">
        <v>865905020951491</v>
      </c>
      <c r="G36" s="180" t="s">
        <v>7280</v>
      </c>
      <c r="H36" s="180"/>
      <c r="I36" s="207" t="s">
        <v>7165</v>
      </c>
      <c r="M36" s="174" t="s">
        <v>7279</v>
      </c>
      <c r="N36" s="174" t="s">
        <v>7259</v>
      </c>
      <c r="O36" s="181" t="s">
        <v>7281</v>
      </c>
      <c r="P36" s="180" t="s">
        <v>7261</v>
      </c>
      <c r="Q36" s="179"/>
      <c r="R36" s="179"/>
      <c r="S36" s="182"/>
      <c r="T36" s="182"/>
      <c r="U36" s="180"/>
      <c r="V36" s="180"/>
      <c r="W36" s="180"/>
    </row>
    <row r="37" spans="1:23" hidden="1" outlineLevel="1">
      <c r="A37" s="1">
        <v>35</v>
      </c>
      <c r="B37" s="179">
        <v>43350</v>
      </c>
      <c r="C37" s="180" t="s">
        <v>7187</v>
      </c>
      <c r="D37" s="207"/>
      <c r="E37" s="173" t="s">
        <v>23</v>
      </c>
      <c r="F37" s="207">
        <v>16120474</v>
      </c>
      <c r="G37" s="180" t="s">
        <v>7229</v>
      </c>
      <c r="H37" s="180" t="s">
        <v>7170</v>
      </c>
      <c r="I37" s="207" t="s">
        <v>7225</v>
      </c>
      <c r="M37" s="174" t="s">
        <v>7282</v>
      </c>
      <c r="N37" s="174" t="s">
        <v>874</v>
      </c>
      <c r="O37" s="181" t="s">
        <v>7283</v>
      </c>
      <c r="P37" s="180" t="s">
        <v>7190</v>
      </c>
      <c r="Q37" s="179"/>
      <c r="R37" s="179"/>
      <c r="S37" s="182"/>
      <c r="T37" s="182"/>
      <c r="U37" s="180" t="s">
        <v>7163</v>
      </c>
      <c r="V37" s="180"/>
      <c r="W37" s="180"/>
    </row>
    <row r="38" spans="1:23" hidden="1" outlineLevel="1">
      <c r="A38" s="1">
        <v>36</v>
      </c>
      <c r="B38" s="179">
        <v>43350</v>
      </c>
      <c r="C38" s="180" t="s">
        <v>7284</v>
      </c>
      <c r="D38" s="207"/>
      <c r="E38" s="173" t="s">
        <v>23</v>
      </c>
      <c r="F38" s="207">
        <v>203100078496</v>
      </c>
      <c r="G38" s="180" t="s">
        <v>64</v>
      </c>
      <c r="H38" s="180" t="s">
        <v>7170</v>
      </c>
      <c r="I38" s="207" t="s">
        <v>7225</v>
      </c>
      <c r="M38" s="174" t="s">
        <v>7286</v>
      </c>
      <c r="N38" s="174" t="s">
        <v>7285</v>
      </c>
      <c r="O38" s="181" t="s">
        <v>7287</v>
      </c>
      <c r="P38" s="180" t="s">
        <v>7190</v>
      </c>
      <c r="Q38" s="179"/>
      <c r="R38" s="179"/>
      <c r="S38" s="182"/>
      <c r="T38" s="182"/>
      <c r="U38" s="180" t="s">
        <v>7163</v>
      </c>
      <c r="V38" s="180"/>
      <c r="W38" s="180"/>
    </row>
    <row r="39" spans="1:23" hidden="1" outlineLevel="1">
      <c r="A39" s="1">
        <v>37</v>
      </c>
      <c r="B39" s="179">
        <v>43350</v>
      </c>
      <c r="C39" s="180" t="s">
        <v>7288</v>
      </c>
      <c r="D39" s="207"/>
      <c r="E39" s="173" t="s">
        <v>23</v>
      </c>
      <c r="F39" s="207">
        <v>2013736</v>
      </c>
      <c r="G39" s="180" t="s">
        <v>7291</v>
      </c>
      <c r="H39" s="180" t="s">
        <v>7170</v>
      </c>
      <c r="I39" s="207" t="s">
        <v>7225</v>
      </c>
      <c r="M39" s="174" t="s">
        <v>7290</v>
      </c>
      <c r="N39" s="174" t="s">
        <v>7289</v>
      </c>
      <c r="O39" s="181"/>
      <c r="P39" s="180" t="s">
        <v>7291</v>
      </c>
      <c r="Q39" s="179"/>
      <c r="R39" s="179"/>
      <c r="S39" s="182"/>
      <c r="T39" s="182"/>
      <c r="U39" s="180" t="s">
        <v>7163</v>
      </c>
      <c r="V39" s="180"/>
      <c r="W39" s="180"/>
    </row>
    <row r="40" spans="1:23" ht="25.5" hidden="1" outlineLevel="1">
      <c r="A40" s="1">
        <v>38</v>
      </c>
      <c r="B40" s="179">
        <v>43350</v>
      </c>
      <c r="C40" s="180" t="s">
        <v>7288</v>
      </c>
      <c r="D40" s="207"/>
      <c r="E40" s="173" t="s">
        <v>23</v>
      </c>
      <c r="F40" s="207" t="s">
        <v>7292</v>
      </c>
      <c r="G40" s="180" t="s">
        <v>7291</v>
      </c>
      <c r="H40" s="180" t="s">
        <v>7295</v>
      </c>
      <c r="I40" s="207" t="s">
        <v>7165</v>
      </c>
      <c r="M40" s="174" t="s">
        <v>7294</v>
      </c>
      <c r="N40" s="174" t="s">
        <v>7293</v>
      </c>
      <c r="O40" s="181"/>
      <c r="P40" s="180" t="s">
        <v>7291</v>
      </c>
      <c r="Q40" s="179"/>
      <c r="R40" s="179"/>
      <c r="S40" s="182"/>
      <c r="T40" s="182"/>
      <c r="U40" s="180" t="s">
        <v>7163</v>
      </c>
      <c r="V40" s="180"/>
      <c r="W40" s="180"/>
    </row>
    <row r="41" spans="1:23" hidden="1" outlineLevel="1">
      <c r="A41" s="1">
        <v>39</v>
      </c>
      <c r="B41" s="179">
        <v>43349</v>
      </c>
      <c r="C41" s="180" t="s">
        <v>7296</v>
      </c>
      <c r="D41" s="207"/>
      <c r="E41" s="173" t="s">
        <v>23</v>
      </c>
      <c r="F41" s="207">
        <v>359772039766390</v>
      </c>
      <c r="G41" s="180" t="s">
        <v>7299</v>
      </c>
      <c r="H41" s="180" t="s">
        <v>7298</v>
      </c>
      <c r="I41" s="207" t="s">
        <v>7201</v>
      </c>
      <c r="M41" s="174" t="s">
        <v>7297</v>
      </c>
      <c r="N41" s="174" t="s">
        <v>7251</v>
      </c>
      <c r="O41" s="181" t="s">
        <v>7300</v>
      </c>
      <c r="P41" s="180" t="s">
        <v>500</v>
      </c>
      <c r="Q41" s="179"/>
      <c r="R41" s="179"/>
      <c r="S41" s="182"/>
      <c r="T41" s="182"/>
      <c r="U41" s="180" t="s">
        <v>7163</v>
      </c>
      <c r="V41" s="180"/>
      <c r="W41" s="187">
        <v>79021258212</v>
      </c>
    </row>
    <row r="42" spans="1:23" hidden="1" outlineLevel="1">
      <c r="A42" s="1">
        <v>40</v>
      </c>
      <c r="B42" s="179">
        <v>43353</v>
      </c>
      <c r="C42" s="180" t="s">
        <v>7301</v>
      </c>
      <c r="D42" s="207"/>
      <c r="E42" s="173" t="s">
        <v>23</v>
      </c>
      <c r="F42" s="207">
        <v>861311001748291</v>
      </c>
      <c r="G42" s="180" t="s">
        <v>7172</v>
      </c>
      <c r="H42" s="180" t="s">
        <v>7295</v>
      </c>
      <c r="I42" s="207"/>
      <c r="M42" s="174"/>
      <c r="N42" s="174" t="s">
        <v>7302</v>
      </c>
      <c r="O42" s="181" t="s">
        <v>7303</v>
      </c>
      <c r="P42" s="180" t="s">
        <v>500</v>
      </c>
      <c r="Q42" s="179"/>
      <c r="R42" s="179"/>
      <c r="S42" s="182"/>
      <c r="T42" s="182"/>
      <c r="U42" s="180"/>
      <c r="V42" s="180"/>
      <c r="W42" s="180"/>
    </row>
    <row r="43" spans="1:23" hidden="1" outlineLevel="1">
      <c r="A43" s="1">
        <v>41</v>
      </c>
      <c r="B43" s="179">
        <v>43353</v>
      </c>
      <c r="C43" s="180" t="s">
        <v>7301</v>
      </c>
      <c r="D43" s="207"/>
      <c r="E43" s="173" t="s">
        <v>23</v>
      </c>
      <c r="F43" s="207">
        <v>861311001894855</v>
      </c>
      <c r="G43" s="180" t="s">
        <v>7172</v>
      </c>
      <c r="H43" s="180" t="s">
        <v>7295</v>
      </c>
      <c r="I43" s="207"/>
      <c r="M43" s="174"/>
      <c r="N43" s="174" t="s">
        <v>7302</v>
      </c>
      <c r="O43" s="181" t="s">
        <v>7303</v>
      </c>
      <c r="P43" s="180" t="s">
        <v>500</v>
      </c>
      <c r="Q43" s="179"/>
      <c r="R43" s="179"/>
      <c r="S43" s="182"/>
      <c r="T43" s="182"/>
      <c r="U43" s="180"/>
      <c r="V43" s="180"/>
      <c r="W43" s="180"/>
    </row>
    <row r="44" spans="1:23" hidden="1" outlineLevel="1">
      <c r="A44" s="1">
        <v>42</v>
      </c>
      <c r="B44" s="179">
        <v>43353</v>
      </c>
      <c r="C44" s="180" t="s">
        <v>7301</v>
      </c>
      <c r="D44" s="207"/>
      <c r="E44" s="173" t="s">
        <v>23</v>
      </c>
      <c r="F44" s="207">
        <v>861311001896504</v>
      </c>
      <c r="G44" s="180" t="s">
        <v>7172</v>
      </c>
      <c r="H44" s="180" t="s">
        <v>7295</v>
      </c>
      <c r="I44" s="207"/>
      <c r="M44" s="174"/>
      <c r="N44" s="174" t="s">
        <v>7302</v>
      </c>
      <c r="O44" s="181" t="s">
        <v>7304</v>
      </c>
      <c r="P44" s="180" t="s">
        <v>500</v>
      </c>
      <c r="Q44" s="179"/>
      <c r="R44" s="179"/>
      <c r="S44" s="182"/>
      <c r="T44" s="182"/>
      <c r="U44" s="180"/>
      <c r="V44" s="180"/>
      <c r="W44" s="180"/>
    </row>
    <row r="45" spans="1:23" hidden="1" outlineLevel="1">
      <c r="A45" s="1">
        <v>43</v>
      </c>
      <c r="B45" s="179">
        <v>43353</v>
      </c>
      <c r="C45" s="180" t="s">
        <v>7301</v>
      </c>
      <c r="D45" s="207"/>
      <c r="E45" s="173" t="s">
        <v>23</v>
      </c>
      <c r="F45" s="207">
        <v>861311001896041</v>
      </c>
      <c r="G45" s="180" t="s">
        <v>7172</v>
      </c>
      <c r="H45" s="180" t="s">
        <v>7295</v>
      </c>
      <c r="I45" s="207"/>
      <c r="M45" s="174"/>
      <c r="N45" s="174" t="s">
        <v>7302</v>
      </c>
      <c r="O45" s="181" t="s">
        <v>7303</v>
      </c>
      <c r="P45" s="180" t="s">
        <v>7215</v>
      </c>
      <c r="Q45" s="179"/>
      <c r="R45" s="179"/>
      <c r="S45" s="182"/>
      <c r="T45" s="182"/>
      <c r="U45" s="180"/>
      <c r="V45" s="180"/>
      <c r="W45" s="180"/>
    </row>
    <row r="46" spans="1:23" hidden="1" outlineLevel="1">
      <c r="A46" s="1">
        <v>44</v>
      </c>
      <c r="B46" s="179">
        <v>43353</v>
      </c>
      <c r="C46" s="180" t="s">
        <v>7301</v>
      </c>
      <c r="D46" s="207"/>
      <c r="E46" s="173" t="s">
        <v>23</v>
      </c>
      <c r="F46" s="207">
        <v>861311001744258</v>
      </c>
      <c r="G46" s="180" t="s">
        <v>7172</v>
      </c>
      <c r="H46" s="180" t="s">
        <v>7295</v>
      </c>
      <c r="I46" s="207"/>
      <c r="M46" s="174"/>
      <c r="N46" s="174" t="s">
        <v>7302</v>
      </c>
      <c r="O46" s="181" t="s">
        <v>7303</v>
      </c>
      <c r="P46" s="180" t="s">
        <v>500</v>
      </c>
      <c r="Q46" s="179"/>
      <c r="R46" s="179"/>
      <c r="S46" s="182"/>
      <c r="T46" s="182"/>
      <c r="U46" s="180"/>
      <c r="V46" s="180"/>
      <c r="W46" s="180"/>
    </row>
    <row r="47" spans="1:23" hidden="1" outlineLevel="1">
      <c r="A47" s="1">
        <v>45</v>
      </c>
      <c r="B47" s="179">
        <v>43353</v>
      </c>
      <c r="C47" s="180" t="s">
        <v>7305</v>
      </c>
      <c r="D47" s="207"/>
      <c r="E47" s="173" t="s">
        <v>23</v>
      </c>
      <c r="F47" s="207">
        <v>868324022155381</v>
      </c>
      <c r="G47" s="180" t="s">
        <v>7172</v>
      </c>
      <c r="H47" s="180" t="s">
        <v>7295</v>
      </c>
      <c r="I47" s="207"/>
      <c r="M47" s="174" t="s">
        <v>7307</v>
      </c>
      <c r="N47" s="174" t="s">
        <v>7306</v>
      </c>
      <c r="O47" s="181" t="s">
        <v>7308</v>
      </c>
      <c r="P47" s="180" t="s">
        <v>500</v>
      </c>
      <c r="Q47" s="179"/>
      <c r="R47" s="179"/>
      <c r="S47" s="182"/>
      <c r="T47" s="182"/>
      <c r="U47" s="180"/>
      <c r="V47" s="180"/>
      <c r="W47" s="180"/>
    </row>
    <row r="48" spans="1:23" ht="25.5" hidden="1" outlineLevel="1">
      <c r="A48" s="1">
        <v>46</v>
      </c>
      <c r="B48" s="179">
        <v>43353</v>
      </c>
      <c r="C48" s="180" t="s">
        <v>7305</v>
      </c>
      <c r="D48" s="207"/>
      <c r="E48" s="173" t="s">
        <v>23</v>
      </c>
      <c r="F48" s="207">
        <v>865733022381347</v>
      </c>
      <c r="G48" s="180" t="s">
        <v>7172</v>
      </c>
      <c r="H48" s="180" t="s">
        <v>7295</v>
      </c>
      <c r="I48" s="207"/>
      <c r="M48" s="174" t="s">
        <v>7310</v>
      </c>
      <c r="N48" s="174" t="s">
        <v>7309</v>
      </c>
      <c r="O48" s="181" t="s">
        <v>7308</v>
      </c>
      <c r="P48" s="180" t="s">
        <v>7215</v>
      </c>
      <c r="Q48" s="179"/>
      <c r="R48" s="179"/>
      <c r="S48" s="182"/>
      <c r="T48" s="182"/>
      <c r="U48" s="180"/>
      <c r="V48" s="180"/>
      <c r="W48" s="180"/>
    </row>
    <row r="49" spans="1:23" hidden="1" outlineLevel="1">
      <c r="A49" s="1">
        <v>47</v>
      </c>
      <c r="B49" s="179">
        <v>43353</v>
      </c>
      <c r="C49" s="180" t="s">
        <v>7311</v>
      </c>
      <c r="D49" s="207"/>
      <c r="E49" s="173" t="s">
        <v>23</v>
      </c>
      <c r="F49" s="207">
        <v>869158005720244</v>
      </c>
      <c r="G49" s="180" t="s">
        <v>7314</v>
      </c>
      <c r="H49" s="180" t="s">
        <v>7295</v>
      </c>
      <c r="I49" s="207"/>
      <c r="M49" s="174" t="s">
        <v>7313</v>
      </c>
      <c r="N49" s="174" t="s">
        <v>7312</v>
      </c>
      <c r="O49" s="181" t="s">
        <v>37</v>
      </c>
      <c r="P49" s="180" t="s">
        <v>7174</v>
      </c>
      <c r="Q49" s="179"/>
      <c r="R49" s="179"/>
      <c r="S49" s="182"/>
      <c r="T49" s="182"/>
      <c r="U49" s="180"/>
      <c r="V49" s="180"/>
      <c r="W49" s="180"/>
    </row>
    <row r="50" spans="1:23" hidden="1" outlineLevel="1">
      <c r="A50" s="1">
        <v>48</v>
      </c>
      <c r="B50" s="179">
        <v>43353</v>
      </c>
      <c r="C50" s="180" t="s">
        <v>7311</v>
      </c>
      <c r="D50" s="207"/>
      <c r="E50" s="173" t="s">
        <v>23</v>
      </c>
      <c r="F50" s="207">
        <v>869158006439471</v>
      </c>
      <c r="G50" s="180" t="s">
        <v>7314</v>
      </c>
      <c r="H50" s="180" t="s">
        <v>7295</v>
      </c>
      <c r="I50" s="207"/>
      <c r="M50" s="174" t="s">
        <v>7315</v>
      </c>
      <c r="N50" s="174" t="s">
        <v>7312</v>
      </c>
      <c r="O50" s="181" t="s">
        <v>37</v>
      </c>
      <c r="P50" s="180" t="s">
        <v>500</v>
      </c>
      <c r="Q50" s="179"/>
      <c r="R50" s="179"/>
      <c r="S50" s="182"/>
      <c r="T50" s="182"/>
      <c r="U50" s="180"/>
      <c r="V50" s="180"/>
      <c r="W50" s="180"/>
    </row>
    <row r="51" spans="1:23" hidden="1" outlineLevel="1">
      <c r="A51" s="1">
        <v>49</v>
      </c>
      <c r="B51" s="188">
        <v>43355</v>
      </c>
      <c r="C51" s="189" t="s">
        <v>7180</v>
      </c>
      <c r="D51" s="210"/>
      <c r="E51" s="173" t="s">
        <v>23</v>
      </c>
      <c r="F51" s="210">
        <v>299842</v>
      </c>
      <c r="G51" s="189" t="s">
        <v>7229</v>
      </c>
      <c r="H51" s="189" t="s">
        <v>7317</v>
      </c>
      <c r="I51" s="210"/>
      <c r="M51" s="174" t="s">
        <v>7316</v>
      </c>
      <c r="N51" s="174" t="s">
        <v>7199</v>
      </c>
      <c r="O51" s="191" t="s">
        <v>7318</v>
      </c>
      <c r="P51" s="189" t="s">
        <v>500</v>
      </c>
      <c r="Q51" s="188"/>
      <c r="R51" s="188"/>
      <c r="S51" s="182"/>
      <c r="T51" s="182"/>
      <c r="U51" s="189" t="s">
        <v>7163</v>
      </c>
      <c r="V51" s="189"/>
      <c r="W51" s="190">
        <v>43360</v>
      </c>
    </row>
    <row r="52" spans="1:23" hidden="1" outlineLevel="1">
      <c r="A52" s="1">
        <v>50</v>
      </c>
      <c r="B52" s="188">
        <v>43357</v>
      </c>
      <c r="C52" s="189" t="s">
        <v>7319</v>
      </c>
      <c r="D52" s="210"/>
      <c r="E52" s="173" t="s">
        <v>23</v>
      </c>
      <c r="F52" s="210">
        <v>13226008818367</v>
      </c>
      <c r="G52" s="189" t="s">
        <v>7229</v>
      </c>
      <c r="H52" s="189" t="s">
        <v>7317</v>
      </c>
      <c r="I52" s="210" t="s">
        <v>7165</v>
      </c>
      <c r="M52" s="174"/>
      <c r="N52" s="174" t="s">
        <v>7320</v>
      </c>
      <c r="O52" s="191" t="s">
        <v>7321</v>
      </c>
      <c r="P52" s="189" t="s">
        <v>7322</v>
      </c>
      <c r="Q52" s="188"/>
      <c r="R52" s="188"/>
      <c r="S52" s="182"/>
      <c r="T52" s="182"/>
      <c r="U52" s="189" t="s">
        <v>7163</v>
      </c>
      <c r="V52" s="189"/>
      <c r="W52" s="189"/>
    </row>
    <row r="53" spans="1:23" ht="25.5" hidden="1" outlineLevel="1">
      <c r="A53" s="1">
        <v>51</v>
      </c>
      <c r="B53" s="188">
        <v>43367</v>
      </c>
      <c r="C53" s="189" t="s">
        <v>7180</v>
      </c>
      <c r="D53" s="210"/>
      <c r="E53" s="173" t="s">
        <v>23</v>
      </c>
      <c r="F53" s="210">
        <v>275458</v>
      </c>
      <c r="G53" s="189" t="s">
        <v>500</v>
      </c>
      <c r="H53" s="189" t="s">
        <v>7164</v>
      </c>
      <c r="I53" s="210" t="s">
        <v>7201</v>
      </c>
      <c r="M53" s="174" t="s">
        <v>7325</v>
      </c>
      <c r="N53" s="174" t="s">
        <v>7324</v>
      </c>
      <c r="O53" s="191" t="s">
        <v>7326</v>
      </c>
      <c r="P53" s="189" t="s">
        <v>500</v>
      </c>
      <c r="Q53" s="188"/>
      <c r="R53" s="188"/>
      <c r="S53" s="182"/>
      <c r="T53" s="182"/>
      <c r="U53" s="189" t="s">
        <v>7163</v>
      </c>
      <c r="V53" s="189"/>
      <c r="W53" s="189" t="s">
        <v>7323</v>
      </c>
    </row>
    <row r="54" spans="1:23" hidden="1" outlineLevel="1">
      <c r="A54" s="1">
        <v>52</v>
      </c>
      <c r="B54" s="188">
        <v>43367</v>
      </c>
      <c r="C54" s="189" t="s">
        <v>7327</v>
      </c>
      <c r="D54" s="210"/>
      <c r="E54" s="173" t="s">
        <v>23</v>
      </c>
      <c r="F54" s="210">
        <v>354868053941854</v>
      </c>
      <c r="G54" s="189" t="s">
        <v>500</v>
      </c>
      <c r="H54" s="189" t="s">
        <v>7164</v>
      </c>
      <c r="I54" s="210" t="s">
        <v>7201</v>
      </c>
      <c r="M54" s="174" t="s">
        <v>7328</v>
      </c>
      <c r="N54" s="174" t="s">
        <v>7251</v>
      </c>
      <c r="O54" s="191" t="s">
        <v>7329</v>
      </c>
      <c r="P54" s="189" t="s">
        <v>7174</v>
      </c>
      <c r="Q54" s="188"/>
      <c r="R54" s="188"/>
      <c r="S54" s="182"/>
      <c r="T54" s="182"/>
      <c r="U54" s="189" t="s">
        <v>7163</v>
      </c>
      <c r="V54" s="189"/>
      <c r="W54" s="192">
        <v>79020079155</v>
      </c>
    </row>
    <row r="55" spans="1:23" hidden="1" outlineLevel="1">
      <c r="A55" s="1">
        <v>53</v>
      </c>
      <c r="B55" s="188">
        <v>43377</v>
      </c>
      <c r="C55" s="189" t="s">
        <v>7330</v>
      </c>
      <c r="D55" s="210" t="s">
        <v>37</v>
      </c>
      <c r="E55" s="173" t="s">
        <v>23</v>
      </c>
      <c r="F55" s="210">
        <v>203100041707</v>
      </c>
      <c r="G55" s="189" t="s">
        <v>64</v>
      </c>
      <c r="H55" s="189"/>
      <c r="I55" s="210" t="s">
        <v>7190</v>
      </c>
      <c r="M55" s="174" t="s">
        <v>7332</v>
      </c>
      <c r="N55" s="174" t="s">
        <v>7331</v>
      </c>
      <c r="O55" s="191"/>
      <c r="P55" s="189" t="s">
        <v>7333</v>
      </c>
      <c r="Q55" s="188">
        <v>43377</v>
      </c>
      <c r="R55" s="188">
        <v>43388</v>
      </c>
      <c r="S55" s="182" t="s">
        <v>7190</v>
      </c>
      <c r="T55" s="182">
        <v>741</v>
      </c>
      <c r="U55" s="189" t="s">
        <v>7163</v>
      </c>
      <c r="V55" s="189"/>
      <c r="W55" s="189"/>
    </row>
    <row r="56" spans="1:23" ht="25.5" hidden="1" outlineLevel="1">
      <c r="A56" s="1">
        <v>54</v>
      </c>
      <c r="B56" s="188">
        <v>43378</v>
      </c>
      <c r="C56" s="189" t="s">
        <v>7334</v>
      </c>
      <c r="D56" s="210" t="s">
        <v>37</v>
      </c>
      <c r="E56" s="173" t="s">
        <v>40</v>
      </c>
      <c r="F56" s="210"/>
      <c r="G56" s="189"/>
      <c r="H56" s="189"/>
      <c r="I56" s="210"/>
      <c r="M56" s="174"/>
      <c r="N56" s="174" t="s">
        <v>7335</v>
      </c>
      <c r="O56" s="191" t="s">
        <v>7336</v>
      </c>
      <c r="P56" s="189" t="s">
        <v>7337</v>
      </c>
      <c r="Q56" s="188">
        <v>43383</v>
      </c>
      <c r="R56" s="188">
        <v>43437</v>
      </c>
      <c r="S56" s="182" t="s">
        <v>7190</v>
      </c>
      <c r="T56" s="182"/>
      <c r="U56" s="189"/>
      <c r="V56" s="193"/>
      <c r="W56" s="189"/>
    </row>
    <row r="57" spans="1:23" hidden="1" outlineLevel="1">
      <c r="A57" s="1">
        <v>55</v>
      </c>
      <c r="B57" s="188">
        <v>43383</v>
      </c>
      <c r="C57" s="189" t="s">
        <v>7338</v>
      </c>
      <c r="D57" s="210" t="s">
        <v>37</v>
      </c>
      <c r="E57" s="173" t="s">
        <v>23</v>
      </c>
      <c r="F57" s="210">
        <v>15120304</v>
      </c>
      <c r="G57" s="189" t="s">
        <v>64</v>
      </c>
      <c r="H57" s="189"/>
      <c r="I57" s="210"/>
      <c r="M57" s="174" t="s">
        <v>7339</v>
      </c>
      <c r="N57" s="174" t="s">
        <v>3658</v>
      </c>
      <c r="O57" s="191"/>
      <c r="P57" s="189" t="s">
        <v>7291</v>
      </c>
      <c r="Q57" s="188"/>
      <c r="R57" s="188"/>
      <c r="S57" s="182" t="s">
        <v>7190</v>
      </c>
      <c r="T57" s="182"/>
      <c r="U57" s="189" t="s">
        <v>7340</v>
      </c>
      <c r="V57" s="189"/>
      <c r="W57" s="189"/>
    </row>
    <row r="58" spans="1:23" hidden="1" outlineLevel="1">
      <c r="A58" s="1">
        <v>56</v>
      </c>
      <c r="B58" s="188">
        <v>43383</v>
      </c>
      <c r="C58" s="189" t="s">
        <v>7338</v>
      </c>
      <c r="D58" s="210" t="s">
        <v>37</v>
      </c>
      <c r="E58" s="173" t="s">
        <v>23</v>
      </c>
      <c r="F58" s="210">
        <v>1510044</v>
      </c>
      <c r="G58" s="189" t="s">
        <v>64</v>
      </c>
      <c r="H58" s="189"/>
      <c r="I58" s="210"/>
      <c r="M58" s="174" t="s">
        <v>7341</v>
      </c>
      <c r="N58" s="174" t="s">
        <v>3658</v>
      </c>
      <c r="O58" s="191"/>
      <c r="P58" s="189" t="s">
        <v>7291</v>
      </c>
      <c r="Q58" s="188"/>
      <c r="R58" s="188"/>
      <c r="S58" s="182" t="s">
        <v>7190</v>
      </c>
      <c r="T58" s="182"/>
      <c r="U58" s="189" t="s">
        <v>7340</v>
      </c>
      <c r="V58" s="189"/>
      <c r="W58" s="189"/>
    </row>
    <row r="59" spans="1:23" hidden="1" outlineLevel="1">
      <c r="A59" s="1">
        <v>57</v>
      </c>
      <c r="B59" s="188">
        <v>43385</v>
      </c>
      <c r="C59" s="189" t="s">
        <v>7342</v>
      </c>
      <c r="D59" s="210"/>
      <c r="E59" s="173" t="s">
        <v>23</v>
      </c>
      <c r="F59" s="210">
        <v>13002</v>
      </c>
      <c r="G59" s="189" t="s">
        <v>7345</v>
      </c>
      <c r="H59" s="189"/>
      <c r="I59" s="210"/>
      <c r="M59" s="174" t="s">
        <v>7344</v>
      </c>
      <c r="N59" s="174" t="s">
        <v>7343</v>
      </c>
      <c r="O59" s="191" t="s">
        <v>7346</v>
      </c>
      <c r="P59" s="189"/>
      <c r="Q59" s="188"/>
      <c r="R59" s="188"/>
      <c r="S59" s="182"/>
      <c r="T59" s="182"/>
      <c r="U59" s="189"/>
      <c r="V59" s="189"/>
      <c r="W59" s="189">
        <v>79022122564</v>
      </c>
    </row>
    <row r="60" spans="1:23" ht="38.25" hidden="1" outlineLevel="1">
      <c r="A60" s="1">
        <v>58</v>
      </c>
      <c r="B60" s="188">
        <v>43388</v>
      </c>
      <c r="C60" s="189" t="s">
        <v>7347</v>
      </c>
      <c r="D60" s="210" t="s">
        <v>38</v>
      </c>
      <c r="E60" s="173" t="s">
        <v>23</v>
      </c>
      <c r="F60" s="210" t="s">
        <v>7348</v>
      </c>
      <c r="G60" s="189" t="s">
        <v>7351</v>
      </c>
      <c r="H60" s="189" t="s">
        <v>7164</v>
      </c>
      <c r="I60" s="210" t="s">
        <v>7165</v>
      </c>
      <c r="M60" s="174" t="s">
        <v>7350</v>
      </c>
      <c r="N60" s="174" t="s">
        <v>1007</v>
      </c>
      <c r="O60" s="191" t="s">
        <v>7352</v>
      </c>
      <c r="P60" s="189" t="s">
        <v>7353</v>
      </c>
      <c r="Q60" s="188">
        <v>43390</v>
      </c>
      <c r="R60" s="188"/>
      <c r="S60" s="182" t="s">
        <v>7354</v>
      </c>
      <c r="T60" s="182">
        <v>418</v>
      </c>
      <c r="U60" s="189" t="s">
        <v>7163</v>
      </c>
      <c r="V60" s="189"/>
      <c r="W60" s="189" t="s">
        <v>7349</v>
      </c>
    </row>
    <row r="61" spans="1:23" hidden="1" outlineLevel="1">
      <c r="A61" s="1">
        <v>59</v>
      </c>
      <c r="B61" s="188">
        <v>43389</v>
      </c>
      <c r="C61" s="189" t="s">
        <v>7180</v>
      </c>
      <c r="D61" s="210" t="s">
        <v>38</v>
      </c>
      <c r="E61" s="173" t="s">
        <v>23</v>
      </c>
      <c r="F61" s="210">
        <v>234196</v>
      </c>
      <c r="G61" s="189" t="s">
        <v>64</v>
      </c>
      <c r="H61" s="189" t="s">
        <v>7164</v>
      </c>
      <c r="I61" s="210" t="s">
        <v>7225</v>
      </c>
      <c r="M61" s="174" t="s">
        <v>7356</v>
      </c>
      <c r="N61" s="174" t="s">
        <v>7355</v>
      </c>
      <c r="O61" s="191" t="s">
        <v>7357</v>
      </c>
      <c r="P61" s="189" t="s">
        <v>7358</v>
      </c>
      <c r="Q61" s="188">
        <v>43390</v>
      </c>
      <c r="R61" s="188">
        <v>43423</v>
      </c>
      <c r="S61" s="182">
        <v>500</v>
      </c>
      <c r="T61" s="182" t="s">
        <v>7359</v>
      </c>
      <c r="U61" s="189" t="s">
        <v>7163</v>
      </c>
      <c r="V61" s="189"/>
      <c r="W61" s="189">
        <v>53130769</v>
      </c>
    </row>
    <row r="62" spans="1:23" hidden="1" outlineLevel="1">
      <c r="A62" s="1">
        <v>60</v>
      </c>
      <c r="B62" s="188">
        <v>43389</v>
      </c>
      <c r="C62" s="189" t="s">
        <v>7296</v>
      </c>
      <c r="D62" s="210" t="s">
        <v>38</v>
      </c>
      <c r="E62" s="173" t="s">
        <v>23</v>
      </c>
      <c r="F62" s="210">
        <v>359772036406800</v>
      </c>
      <c r="G62" s="189" t="s">
        <v>64</v>
      </c>
      <c r="H62" s="189" t="s">
        <v>7164</v>
      </c>
      <c r="I62" s="210" t="s">
        <v>7225</v>
      </c>
      <c r="M62" s="174" t="s">
        <v>7361</v>
      </c>
      <c r="N62" s="174" t="s">
        <v>6201</v>
      </c>
      <c r="O62" s="191" t="s">
        <v>7362</v>
      </c>
      <c r="P62" s="189" t="s">
        <v>7353</v>
      </c>
      <c r="Q62" s="188">
        <v>43390</v>
      </c>
      <c r="R62" s="188">
        <v>43580</v>
      </c>
      <c r="S62" s="182">
        <v>1700</v>
      </c>
      <c r="T62" s="182">
        <v>485</v>
      </c>
      <c r="U62" s="189" t="s">
        <v>7163</v>
      </c>
      <c r="V62" s="189"/>
      <c r="W62" s="189" t="s">
        <v>7360</v>
      </c>
    </row>
    <row r="63" spans="1:23" hidden="1" outlineLevel="1">
      <c r="A63" s="1">
        <v>61</v>
      </c>
      <c r="B63" s="188">
        <v>43390</v>
      </c>
      <c r="C63" s="189" t="s">
        <v>7338</v>
      </c>
      <c r="D63" s="210" t="s">
        <v>38</v>
      </c>
      <c r="E63" s="173" t="s">
        <v>23</v>
      </c>
      <c r="F63" s="210">
        <v>17020795</v>
      </c>
      <c r="G63" s="189" t="s">
        <v>64</v>
      </c>
      <c r="H63" s="189"/>
      <c r="I63" s="210"/>
      <c r="M63" s="174"/>
      <c r="N63" s="174" t="s">
        <v>7363</v>
      </c>
      <c r="O63" s="191" t="s">
        <v>72</v>
      </c>
      <c r="P63" s="189" t="s">
        <v>7291</v>
      </c>
      <c r="Q63" s="188">
        <v>43390</v>
      </c>
      <c r="R63" s="188"/>
      <c r="S63" s="182"/>
      <c r="T63" s="182"/>
      <c r="U63" s="189" t="s">
        <v>7163</v>
      </c>
      <c r="V63" s="189"/>
      <c r="W63" s="189"/>
    </row>
    <row r="64" spans="1:23" hidden="1" outlineLevel="1">
      <c r="A64" s="1">
        <v>62</v>
      </c>
      <c r="B64" s="188">
        <v>43390</v>
      </c>
      <c r="C64" s="189" t="s">
        <v>7338</v>
      </c>
      <c r="D64" s="210" t="s">
        <v>37</v>
      </c>
      <c r="E64" s="173" t="s">
        <v>23</v>
      </c>
      <c r="F64" s="210">
        <v>16040282</v>
      </c>
      <c r="G64" s="189" t="s">
        <v>64</v>
      </c>
      <c r="H64" s="189"/>
      <c r="I64" s="210"/>
      <c r="M64" s="174"/>
      <c r="N64" s="174" t="s">
        <v>3771</v>
      </c>
      <c r="O64" s="191" t="s">
        <v>72</v>
      </c>
      <c r="P64" s="189" t="s">
        <v>7291</v>
      </c>
      <c r="Q64" s="188">
        <v>43390</v>
      </c>
      <c r="R64" s="188"/>
      <c r="S64" s="182" t="s">
        <v>7190</v>
      </c>
      <c r="T64" s="182"/>
      <c r="U64" s="189" t="s">
        <v>7163</v>
      </c>
      <c r="V64" s="189"/>
      <c r="W64" s="189"/>
    </row>
    <row r="65" spans="1:23" ht="38.25" hidden="1" outlineLevel="1">
      <c r="A65" s="1">
        <v>63</v>
      </c>
      <c r="B65" s="188">
        <v>43390</v>
      </c>
      <c r="C65" s="189" t="s">
        <v>7364</v>
      </c>
      <c r="D65" s="210" t="s">
        <v>38</v>
      </c>
      <c r="E65" s="173" t="s">
        <v>23</v>
      </c>
      <c r="F65" s="210">
        <v>861785001376593</v>
      </c>
      <c r="G65" s="189" t="s">
        <v>7367</v>
      </c>
      <c r="H65" s="189" t="s">
        <v>7164</v>
      </c>
      <c r="I65" s="210" t="s">
        <v>7225</v>
      </c>
      <c r="M65" s="174" t="s">
        <v>7366</v>
      </c>
      <c r="N65" s="174" t="s">
        <v>7365</v>
      </c>
      <c r="O65" s="191" t="s">
        <v>7368</v>
      </c>
      <c r="P65" s="189" t="s">
        <v>7369</v>
      </c>
      <c r="Q65" s="188">
        <v>43395</v>
      </c>
      <c r="R65" s="188">
        <v>43431</v>
      </c>
      <c r="S65" s="182">
        <v>660</v>
      </c>
      <c r="T65" s="182" t="s">
        <v>7370</v>
      </c>
      <c r="U65" s="189" t="s">
        <v>7163</v>
      </c>
      <c r="V65" s="189"/>
      <c r="W65" s="189">
        <v>102464366</v>
      </c>
    </row>
    <row r="66" spans="1:23" hidden="1" outlineLevel="1">
      <c r="A66" s="1">
        <v>64</v>
      </c>
      <c r="B66" s="188">
        <v>43391</v>
      </c>
      <c r="C66" s="189" t="s">
        <v>7338</v>
      </c>
      <c r="D66" s="210" t="s">
        <v>37</v>
      </c>
      <c r="E66" s="173" t="s">
        <v>23</v>
      </c>
      <c r="F66" s="210">
        <v>4150445</v>
      </c>
      <c r="G66" s="189"/>
      <c r="H66" s="189"/>
      <c r="I66" s="210"/>
      <c r="M66" s="174" t="s">
        <v>7372</v>
      </c>
      <c r="N66" s="174" t="s">
        <v>7371</v>
      </c>
      <c r="O66" s="191" t="s">
        <v>7373</v>
      </c>
      <c r="P66" s="189" t="s">
        <v>7291</v>
      </c>
      <c r="Q66" s="188">
        <v>43391</v>
      </c>
      <c r="R66" s="188"/>
      <c r="S66" s="182" t="s">
        <v>7190</v>
      </c>
      <c r="T66" s="182"/>
      <c r="U66" s="189" t="s">
        <v>7340</v>
      </c>
      <c r="V66" s="189"/>
      <c r="W66" s="189"/>
    </row>
    <row r="67" spans="1:23" hidden="1" outlineLevel="1">
      <c r="A67" s="1">
        <v>65</v>
      </c>
      <c r="B67" s="188">
        <v>43391</v>
      </c>
      <c r="C67" s="189" t="s">
        <v>7374</v>
      </c>
      <c r="D67" s="210"/>
      <c r="E67" s="173" t="s">
        <v>23</v>
      </c>
      <c r="F67" s="210">
        <v>863586031430097</v>
      </c>
      <c r="G67" s="189" t="s">
        <v>7378</v>
      </c>
      <c r="H67" s="189" t="s">
        <v>7376</v>
      </c>
      <c r="I67" s="210" t="s">
        <v>7377</v>
      </c>
      <c r="M67" s="174" t="s">
        <v>7375</v>
      </c>
      <c r="N67" s="174" t="s">
        <v>3623</v>
      </c>
      <c r="O67" s="191" t="s">
        <v>7379</v>
      </c>
      <c r="P67" s="189" t="s">
        <v>7380</v>
      </c>
      <c r="Q67" s="188"/>
      <c r="R67" s="188"/>
      <c r="S67" s="182"/>
      <c r="T67" s="182"/>
      <c r="U67" s="189" t="s">
        <v>7340</v>
      </c>
      <c r="V67" s="189"/>
      <c r="W67" s="189">
        <v>897012488</v>
      </c>
    </row>
    <row r="68" spans="1:23" hidden="1" outlineLevel="1">
      <c r="A68" s="1">
        <v>66</v>
      </c>
      <c r="B68" s="188">
        <v>43396</v>
      </c>
      <c r="C68" s="189" t="s">
        <v>7338</v>
      </c>
      <c r="D68" s="210" t="s">
        <v>37</v>
      </c>
      <c r="E68" s="173" t="s">
        <v>23</v>
      </c>
      <c r="F68" s="210">
        <v>18900660</v>
      </c>
      <c r="G68" s="189"/>
      <c r="H68" s="189"/>
      <c r="I68" s="210"/>
      <c r="M68" s="174" t="s">
        <v>7381</v>
      </c>
      <c r="N68" s="174" t="s">
        <v>3731</v>
      </c>
      <c r="O68" s="191"/>
      <c r="P68" s="189" t="s">
        <v>7291</v>
      </c>
      <c r="Q68" s="188"/>
      <c r="R68" s="188"/>
      <c r="S68" s="182" t="s">
        <v>7190</v>
      </c>
      <c r="T68" s="182"/>
      <c r="U68" s="189"/>
      <c r="V68" s="189"/>
      <c r="W68" s="189"/>
    </row>
    <row r="69" spans="1:23" hidden="1" outlineLevel="1">
      <c r="A69" s="1">
        <v>67</v>
      </c>
      <c r="B69" s="188"/>
      <c r="C69" s="189"/>
      <c r="D69" s="210" t="s">
        <v>37</v>
      </c>
      <c r="E69" s="173" t="s">
        <v>23</v>
      </c>
      <c r="F69" s="210"/>
      <c r="G69" s="189"/>
      <c r="H69" s="189"/>
      <c r="I69" s="210"/>
      <c r="M69" s="174"/>
      <c r="N69" s="174"/>
      <c r="O69" s="191"/>
      <c r="P69" s="189"/>
      <c r="Q69" s="188"/>
      <c r="R69" s="188"/>
      <c r="S69" s="182"/>
      <c r="T69" s="182"/>
      <c r="U69" s="189"/>
      <c r="V69" s="189"/>
      <c r="W69" s="189"/>
    </row>
    <row r="70" spans="1:23" hidden="1" outlineLevel="1">
      <c r="A70" s="1">
        <v>68</v>
      </c>
      <c r="B70" s="188">
        <v>43397</v>
      </c>
      <c r="C70" s="189" t="s">
        <v>7382</v>
      </c>
      <c r="D70" s="210"/>
      <c r="E70" s="173" t="s">
        <v>23</v>
      </c>
      <c r="F70" s="210">
        <v>861311001896041</v>
      </c>
      <c r="G70" s="189" t="s">
        <v>7378</v>
      </c>
      <c r="H70" s="189" t="s">
        <v>7164</v>
      </c>
      <c r="I70" s="210" t="s">
        <v>7383</v>
      </c>
      <c r="M70" s="174" t="s">
        <v>836</v>
      </c>
      <c r="N70" s="174" t="s">
        <v>7302</v>
      </c>
      <c r="O70" s="191"/>
      <c r="P70" s="189" t="s">
        <v>7384</v>
      </c>
      <c r="Q70" s="188"/>
      <c r="R70" s="188"/>
      <c r="S70" s="182"/>
      <c r="T70" s="182"/>
      <c r="U70" s="189" t="s">
        <v>7163</v>
      </c>
      <c r="V70" s="189"/>
      <c r="W70" s="189">
        <v>9378811994</v>
      </c>
    </row>
    <row r="71" spans="1:23" hidden="1" outlineLevel="1">
      <c r="A71" s="1">
        <v>69</v>
      </c>
      <c r="B71" s="188">
        <v>43397</v>
      </c>
      <c r="C71" s="189" t="s">
        <v>7385</v>
      </c>
      <c r="D71" s="210"/>
      <c r="E71" s="173" t="s">
        <v>23</v>
      </c>
      <c r="F71" s="210">
        <v>868204005581532</v>
      </c>
      <c r="G71" s="189" t="s">
        <v>7378</v>
      </c>
      <c r="H71" s="189" t="s">
        <v>7164</v>
      </c>
      <c r="I71" s="210" t="s">
        <v>93</v>
      </c>
      <c r="M71" s="174"/>
      <c r="N71" s="174" t="s">
        <v>7302</v>
      </c>
      <c r="O71" s="194" t="s">
        <v>7386</v>
      </c>
      <c r="P71" s="189" t="s">
        <v>7384</v>
      </c>
      <c r="Q71" s="188">
        <v>43399</v>
      </c>
      <c r="R71" s="188">
        <v>43430</v>
      </c>
      <c r="S71" s="182">
        <v>450</v>
      </c>
      <c r="T71" s="182" t="s">
        <v>7387</v>
      </c>
      <c r="U71" s="189" t="s">
        <v>7163</v>
      </c>
      <c r="V71" s="189"/>
      <c r="W71" s="189" t="s">
        <v>836</v>
      </c>
    </row>
    <row r="72" spans="1:23" ht="25.5" hidden="1" outlineLevel="1">
      <c r="A72" s="1">
        <v>70</v>
      </c>
      <c r="B72" s="188">
        <v>43397</v>
      </c>
      <c r="C72" s="189" t="s">
        <v>7388</v>
      </c>
      <c r="D72" s="210" t="s">
        <v>38</v>
      </c>
      <c r="E72" s="173" t="s">
        <v>23</v>
      </c>
      <c r="F72" s="210">
        <v>868204003260535</v>
      </c>
      <c r="G72" s="189" t="s">
        <v>7378</v>
      </c>
      <c r="H72" s="189" t="s">
        <v>7164</v>
      </c>
      <c r="I72" s="210" t="s">
        <v>93</v>
      </c>
      <c r="M72" s="174" t="s">
        <v>7389</v>
      </c>
      <c r="N72" s="174" t="s">
        <v>7302</v>
      </c>
      <c r="O72" s="194" t="s">
        <v>7390</v>
      </c>
      <c r="P72" s="189" t="s">
        <v>7384</v>
      </c>
      <c r="Q72" s="188">
        <v>43399</v>
      </c>
      <c r="R72" s="188">
        <v>43430</v>
      </c>
      <c r="S72" s="182">
        <v>135</v>
      </c>
      <c r="T72" s="182" t="s">
        <v>7387</v>
      </c>
      <c r="U72" s="189" t="s">
        <v>7163</v>
      </c>
      <c r="V72" s="189"/>
      <c r="W72" s="189" t="s">
        <v>836</v>
      </c>
    </row>
    <row r="73" spans="1:23" hidden="1" outlineLevel="1">
      <c r="A73" s="1">
        <v>71</v>
      </c>
      <c r="B73" s="188">
        <v>43398</v>
      </c>
      <c r="C73" s="189" t="s">
        <v>7391</v>
      </c>
      <c r="D73" s="210"/>
      <c r="E73" s="173" t="s">
        <v>23</v>
      </c>
      <c r="F73" s="210">
        <v>29909</v>
      </c>
      <c r="G73" s="189" t="s">
        <v>7378</v>
      </c>
      <c r="H73" s="189" t="s">
        <v>7164</v>
      </c>
      <c r="I73" s="210" t="s">
        <v>7165</v>
      </c>
      <c r="M73" s="174" t="s">
        <v>7393</v>
      </c>
      <c r="N73" s="174" t="s">
        <v>7392</v>
      </c>
      <c r="O73" s="191" t="s">
        <v>7394</v>
      </c>
      <c r="P73" s="189" t="s">
        <v>7384</v>
      </c>
      <c r="Q73" s="188">
        <v>43399</v>
      </c>
      <c r="R73" s="188">
        <v>43423</v>
      </c>
      <c r="S73" s="182"/>
      <c r="T73" s="182" t="s">
        <v>7359</v>
      </c>
      <c r="U73" s="189" t="s">
        <v>7163</v>
      </c>
      <c r="V73" s="189"/>
      <c r="W73" s="189"/>
    </row>
    <row r="74" spans="1:23" hidden="1" outlineLevel="1">
      <c r="A74" s="1">
        <v>72</v>
      </c>
      <c r="B74" s="188">
        <v>43398</v>
      </c>
      <c r="C74" s="189" t="s">
        <v>7395</v>
      </c>
      <c r="D74" s="210" t="s">
        <v>37</v>
      </c>
      <c r="E74" s="173" t="s">
        <v>23</v>
      </c>
      <c r="F74" s="210">
        <v>2016000163148</v>
      </c>
      <c r="G74" s="189" t="s">
        <v>64</v>
      </c>
      <c r="H74" s="189"/>
      <c r="I74" s="210"/>
      <c r="M74" s="174" t="s">
        <v>7396</v>
      </c>
      <c r="N74" s="174" t="s">
        <v>7392</v>
      </c>
      <c r="O74" s="191" t="s">
        <v>7397</v>
      </c>
      <c r="P74" s="189"/>
      <c r="Q74" s="188">
        <v>43399</v>
      </c>
      <c r="R74" s="188">
        <v>43419</v>
      </c>
      <c r="S74" s="182" t="s">
        <v>7190</v>
      </c>
      <c r="T74" s="182">
        <v>418</v>
      </c>
      <c r="U74" s="189"/>
      <c r="V74" s="189"/>
      <c r="W74" s="189"/>
    </row>
    <row r="75" spans="1:23" hidden="1" outlineLevel="1">
      <c r="A75" s="1">
        <v>73</v>
      </c>
      <c r="B75" s="188">
        <v>43403</v>
      </c>
      <c r="C75" s="189" t="s">
        <v>7398</v>
      </c>
      <c r="D75" s="210" t="s">
        <v>37</v>
      </c>
      <c r="E75" s="173" t="s">
        <v>23</v>
      </c>
      <c r="F75" s="210">
        <v>2031000169564</v>
      </c>
      <c r="G75" s="189" t="s">
        <v>64</v>
      </c>
      <c r="H75" s="189"/>
      <c r="I75" s="210"/>
      <c r="M75" s="174" t="s">
        <v>7400</v>
      </c>
      <c r="N75" s="174" t="s">
        <v>7399</v>
      </c>
      <c r="O75" s="191" t="s">
        <v>7397</v>
      </c>
      <c r="P75" s="189"/>
      <c r="Q75" s="188">
        <v>43403</v>
      </c>
      <c r="R75" s="188">
        <v>43418</v>
      </c>
      <c r="S75" s="182" t="s">
        <v>7190</v>
      </c>
      <c r="T75" s="182">
        <v>418</v>
      </c>
      <c r="U75" s="189"/>
      <c r="V75" s="189"/>
      <c r="W75" s="189"/>
    </row>
    <row r="76" spans="1:23" hidden="1" outlineLevel="1">
      <c r="A76" s="1">
        <v>74</v>
      </c>
      <c r="B76" s="188">
        <v>43403</v>
      </c>
      <c r="C76" s="189" t="s">
        <v>7401</v>
      </c>
      <c r="D76" s="210" t="s">
        <v>38</v>
      </c>
      <c r="E76" s="173" t="s">
        <v>23</v>
      </c>
      <c r="F76" s="210">
        <v>865733027410877</v>
      </c>
      <c r="G76" s="189" t="s">
        <v>64</v>
      </c>
      <c r="H76" s="189"/>
      <c r="I76" s="210" t="s">
        <v>7225</v>
      </c>
      <c r="M76" s="174" t="s">
        <v>7402</v>
      </c>
      <c r="N76" s="174" t="s">
        <v>3960</v>
      </c>
      <c r="O76" s="191" t="s">
        <v>7394</v>
      </c>
      <c r="P76" s="189" t="s">
        <v>7384</v>
      </c>
      <c r="Q76" s="188">
        <v>43405</v>
      </c>
      <c r="R76" s="188">
        <v>43445</v>
      </c>
      <c r="S76" s="182">
        <v>730</v>
      </c>
      <c r="T76" s="182" t="s">
        <v>7403</v>
      </c>
      <c r="U76" s="189"/>
      <c r="V76" s="189"/>
      <c r="W76" s="189"/>
    </row>
    <row r="77" spans="1:23" ht="25.5" hidden="1" outlineLevel="1">
      <c r="A77" s="1">
        <v>75</v>
      </c>
      <c r="B77" s="188">
        <v>43403</v>
      </c>
      <c r="C77" s="189" t="s">
        <v>7364</v>
      </c>
      <c r="D77" s="210" t="s">
        <v>38</v>
      </c>
      <c r="E77" s="173" t="s">
        <v>23</v>
      </c>
      <c r="F77" s="210">
        <v>861785005437193</v>
      </c>
      <c r="G77" s="189" t="s">
        <v>64</v>
      </c>
      <c r="H77" s="189"/>
      <c r="I77" s="210" t="s">
        <v>7225</v>
      </c>
      <c r="M77" s="174" t="s">
        <v>7405</v>
      </c>
      <c r="N77" s="174" t="s">
        <v>7404</v>
      </c>
      <c r="O77" s="191" t="s">
        <v>7406</v>
      </c>
      <c r="P77" s="189" t="s">
        <v>7384</v>
      </c>
      <c r="Q77" s="188">
        <v>43405</v>
      </c>
      <c r="R77" s="188">
        <v>43430</v>
      </c>
      <c r="S77" s="182">
        <v>781</v>
      </c>
      <c r="T77" s="182" t="s">
        <v>7387</v>
      </c>
      <c r="U77" s="189"/>
      <c r="V77" s="189"/>
      <c r="W77" s="189"/>
    </row>
    <row r="78" spans="1:23" ht="25.5" hidden="1" outlineLevel="1">
      <c r="A78" s="1">
        <v>76</v>
      </c>
      <c r="B78" s="193">
        <v>43404</v>
      </c>
      <c r="C78" s="189" t="s">
        <v>7407</v>
      </c>
      <c r="D78" s="210"/>
      <c r="E78" s="173" t="s">
        <v>40</v>
      </c>
      <c r="F78" s="210"/>
      <c r="G78" s="189"/>
      <c r="H78" s="189"/>
      <c r="I78" s="210"/>
      <c r="M78" s="174"/>
      <c r="N78" s="174"/>
      <c r="O78" s="191" t="s">
        <v>7408</v>
      </c>
      <c r="P78" s="189" t="s">
        <v>7409</v>
      </c>
      <c r="Q78" s="188">
        <v>43404</v>
      </c>
      <c r="R78" s="188">
        <v>43458</v>
      </c>
      <c r="S78" s="182"/>
      <c r="T78" s="182"/>
      <c r="U78" s="189"/>
      <c r="V78" s="189"/>
      <c r="W78" s="189"/>
    </row>
    <row r="79" spans="1:23" ht="25.5" hidden="1" outlineLevel="1">
      <c r="A79" s="1">
        <v>77</v>
      </c>
      <c r="B79" s="193">
        <v>43464</v>
      </c>
      <c r="C79" s="189" t="s">
        <v>7338</v>
      </c>
      <c r="D79" s="210" t="s">
        <v>37</v>
      </c>
      <c r="E79" s="173" t="s">
        <v>23</v>
      </c>
      <c r="F79" s="210">
        <v>18090662</v>
      </c>
      <c r="G79" s="189"/>
      <c r="H79" s="189"/>
      <c r="I79" s="210" t="s">
        <v>63</v>
      </c>
      <c r="M79" s="174"/>
      <c r="N79" s="174" t="s">
        <v>7410</v>
      </c>
      <c r="O79" s="191" t="s">
        <v>7411</v>
      </c>
      <c r="P79" s="189"/>
      <c r="Q79" s="188">
        <v>43404</v>
      </c>
      <c r="R79" s="188">
        <v>43418</v>
      </c>
      <c r="S79" s="182" t="s">
        <v>7190</v>
      </c>
      <c r="T79" s="182"/>
      <c r="U79" s="189"/>
      <c r="V79" s="189"/>
      <c r="W79" s="189"/>
    </row>
    <row r="80" spans="1:23" hidden="1" outlineLevel="1">
      <c r="A80" s="1">
        <v>78</v>
      </c>
      <c r="B80" s="188">
        <v>43405</v>
      </c>
      <c r="C80" s="189" t="s">
        <v>7412</v>
      </c>
      <c r="D80" s="210" t="s">
        <v>38</v>
      </c>
      <c r="E80" s="173" t="s">
        <v>23</v>
      </c>
      <c r="F80" s="210">
        <v>44405</v>
      </c>
      <c r="G80" s="189"/>
      <c r="H80" s="189"/>
      <c r="I80" s="210"/>
      <c r="M80" s="174" t="s">
        <v>7413</v>
      </c>
      <c r="N80" s="174" t="s">
        <v>7169</v>
      </c>
      <c r="O80" s="191" t="s">
        <v>7414</v>
      </c>
      <c r="P80" s="189" t="s">
        <v>7415</v>
      </c>
      <c r="Q80" s="188">
        <v>43405</v>
      </c>
      <c r="R80" s="188">
        <v>19.12</v>
      </c>
      <c r="S80" s="182">
        <v>800</v>
      </c>
      <c r="T80" s="182" t="s">
        <v>7416</v>
      </c>
      <c r="U80" s="189"/>
      <c r="V80" s="189"/>
      <c r="W80" s="189"/>
    </row>
    <row r="81" spans="1:23" ht="25.5" hidden="1" outlineLevel="1">
      <c r="A81" s="1">
        <v>79</v>
      </c>
      <c r="B81" s="188">
        <v>43405</v>
      </c>
      <c r="C81" s="189" t="s">
        <v>154</v>
      </c>
      <c r="D81" s="210" t="s">
        <v>7420</v>
      </c>
      <c r="E81" s="173" t="s">
        <v>23</v>
      </c>
      <c r="F81" s="210">
        <v>869158005197989</v>
      </c>
      <c r="G81" s="189" t="s">
        <v>64</v>
      </c>
      <c r="H81" s="189"/>
      <c r="I81" s="210"/>
      <c r="M81" s="174" t="s">
        <v>7417</v>
      </c>
      <c r="N81" s="174" t="s">
        <v>335</v>
      </c>
      <c r="O81" s="191" t="s">
        <v>7418</v>
      </c>
      <c r="P81" s="189" t="s">
        <v>7384</v>
      </c>
      <c r="Q81" s="188">
        <v>43405</v>
      </c>
      <c r="R81" s="188">
        <v>43445</v>
      </c>
      <c r="S81" s="182">
        <v>1480</v>
      </c>
      <c r="T81" s="182" t="s">
        <v>7419</v>
      </c>
      <c r="U81" s="189"/>
      <c r="V81" s="189"/>
      <c r="W81" s="189"/>
    </row>
    <row r="82" spans="1:23" ht="25.5" hidden="1" outlineLevel="1">
      <c r="A82" s="1">
        <v>80</v>
      </c>
      <c r="B82" s="188">
        <v>43410</v>
      </c>
      <c r="C82" s="189" t="s">
        <v>7421</v>
      </c>
      <c r="D82" s="210" t="s">
        <v>37</v>
      </c>
      <c r="E82" s="173" t="s">
        <v>23</v>
      </c>
      <c r="F82" s="210">
        <v>864287031834540</v>
      </c>
      <c r="G82" s="189" t="s">
        <v>64</v>
      </c>
      <c r="H82" s="189"/>
      <c r="I82" s="210"/>
      <c r="M82" s="174" t="s">
        <v>7423</v>
      </c>
      <c r="N82" s="174" t="s">
        <v>7422</v>
      </c>
      <c r="O82" s="191" t="s">
        <v>7424</v>
      </c>
      <c r="P82" s="189" t="s">
        <v>7384</v>
      </c>
      <c r="Q82" s="188">
        <v>43411</v>
      </c>
      <c r="R82" s="188">
        <v>43420</v>
      </c>
      <c r="S82" s="182"/>
      <c r="T82" s="182"/>
      <c r="U82" s="189"/>
      <c r="V82" s="189"/>
      <c r="W82" s="189"/>
    </row>
    <row r="83" spans="1:23" ht="25.5" hidden="1" outlineLevel="1">
      <c r="A83" s="1">
        <v>81</v>
      </c>
      <c r="B83" s="188">
        <v>43410</v>
      </c>
      <c r="C83" s="189" t="s">
        <v>7338</v>
      </c>
      <c r="D83" s="210" t="s">
        <v>37</v>
      </c>
      <c r="E83" s="173" t="s">
        <v>23</v>
      </c>
      <c r="F83" s="210">
        <v>17071578</v>
      </c>
      <c r="G83" s="189" t="s">
        <v>7291</v>
      </c>
      <c r="H83" s="189"/>
      <c r="I83" s="210"/>
      <c r="M83" s="174" t="s">
        <v>7425</v>
      </c>
      <c r="N83" s="174" t="s">
        <v>3623</v>
      </c>
      <c r="O83" s="191" t="s">
        <v>7426</v>
      </c>
      <c r="P83" s="189"/>
      <c r="Q83" s="188">
        <v>43411</v>
      </c>
      <c r="R83" s="188">
        <v>43423</v>
      </c>
      <c r="S83" s="182" t="s">
        <v>7190</v>
      </c>
      <c r="T83" s="182"/>
      <c r="U83" s="189"/>
      <c r="V83" s="189"/>
      <c r="W83" s="189"/>
    </row>
    <row r="84" spans="1:23" ht="25.5" hidden="1" outlineLevel="1">
      <c r="A84" s="1">
        <v>82</v>
      </c>
      <c r="B84" s="188">
        <v>43411</v>
      </c>
      <c r="C84" s="189" t="s">
        <v>7427</v>
      </c>
      <c r="D84" s="210" t="s">
        <v>37</v>
      </c>
      <c r="E84" s="173" t="s">
        <v>23</v>
      </c>
      <c r="F84" s="210" t="s">
        <v>7428</v>
      </c>
      <c r="G84" s="189" t="s">
        <v>64</v>
      </c>
      <c r="H84" s="189"/>
      <c r="I84" s="210" t="s">
        <v>63</v>
      </c>
      <c r="M84" s="174" t="s">
        <v>7430</v>
      </c>
      <c r="N84" s="174" t="s">
        <v>7429</v>
      </c>
      <c r="O84" s="191" t="s">
        <v>7431</v>
      </c>
      <c r="P84" s="189" t="s">
        <v>7358</v>
      </c>
      <c r="Q84" s="188">
        <v>43412</v>
      </c>
      <c r="R84" s="188">
        <v>43434</v>
      </c>
      <c r="S84" s="182"/>
      <c r="T84" s="182">
        <v>418</v>
      </c>
      <c r="U84" s="189"/>
      <c r="V84" s="189"/>
      <c r="W84" s="189"/>
    </row>
    <row r="85" spans="1:23" ht="25.5" hidden="1" outlineLevel="1">
      <c r="A85" s="1">
        <v>83</v>
      </c>
      <c r="B85" s="188">
        <v>43412</v>
      </c>
      <c r="C85" s="189" t="s">
        <v>7338</v>
      </c>
      <c r="D85" s="210" t="s">
        <v>37</v>
      </c>
      <c r="E85" s="173" t="s">
        <v>23</v>
      </c>
      <c r="F85" s="210">
        <v>16020565</v>
      </c>
      <c r="G85" s="189" t="s">
        <v>7291</v>
      </c>
      <c r="H85" s="189"/>
      <c r="I85" s="210"/>
      <c r="M85" s="174" t="s">
        <v>7433</v>
      </c>
      <c r="N85" s="174" t="s">
        <v>7432</v>
      </c>
      <c r="O85" s="191" t="s">
        <v>7434</v>
      </c>
      <c r="P85" s="189"/>
      <c r="Q85" s="188">
        <v>43412</v>
      </c>
      <c r="R85" s="188">
        <v>43423</v>
      </c>
      <c r="S85" s="182" t="s">
        <v>7190</v>
      </c>
      <c r="T85" s="182"/>
      <c r="U85" s="189"/>
      <c r="V85" s="189"/>
      <c r="W85" s="189"/>
    </row>
    <row r="86" spans="1:23" ht="25.5" hidden="1" outlineLevel="1">
      <c r="A86" s="1">
        <v>84</v>
      </c>
      <c r="B86" s="188">
        <v>43416</v>
      </c>
      <c r="C86" s="189" t="s">
        <v>7435</v>
      </c>
      <c r="D86" s="210" t="s">
        <v>38</v>
      </c>
      <c r="E86" s="173" t="s">
        <v>23</v>
      </c>
      <c r="F86" s="210">
        <v>868204003498309</v>
      </c>
      <c r="G86" s="189" t="s">
        <v>64</v>
      </c>
      <c r="H86" s="189"/>
      <c r="I86" s="210"/>
      <c r="M86" s="174" t="s">
        <v>7437</v>
      </c>
      <c r="N86" s="174" t="s">
        <v>7436</v>
      </c>
      <c r="O86" s="191" t="s">
        <v>7438</v>
      </c>
      <c r="P86" s="189" t="s">
        <v>7384</v>
      </c>
      <c r="Q86" s="188">
        <v>43416</v>
      </c>
      <c r="R86" s="188">
        <v>43430</v>
      </c>
      <c r="S86" s="182">
        <v>1258</v>
      </c>
      <c r="T86" s="182" t="s">
        <v>7387</v>
      </c>
      <c r="U86" s="189"/>
      <c r="V86" s="189"/>
      <c r="W86" s="189"/>
    </row>
    <row r="87" spans="1:23" hidden="1" outlineLevel="1">
      <c r="A87" s="1">
        <v>85</v>
      </c>
      <c r="B87" s="188">
        <v>43417</v>
      </c>
      <c r="C87" s="189" t="s">
        <v>7338</v>
      </c>
      <c r="D87" s="210" t="s">
        <v>37</v>
      </c>
      <c r="E87" s="173" t="s">
        <v>23</v>
      </c>
      <c r="F87" s="210">
        <v>15090165</v>
      </c>
      <c r="G87" s="189" t="s">
        <v>7291</v>
      </c>
      <c r="H87" s="189"/>
      <c r="I87" s="210"/>
      <c r="M87" s="174" t="s">
        <v>7439</v>
      </c>
      <c r="N87" s="174" t="s">
        <v>3623</v>
      </c>
      <c r="O87" s="191" t="s">
        <v>7440</v>
      </c>
      <c r="P87" s="189"/>
      <c r="Q87" s="188">
        <v>43420</v>
      </c>
      <c r="R87" s="188">
        <v>43444</v>
      </c>
      <c r="S87" s="182" t="s">
        <v>7190</v>
      </c>
      <c r="T87" s="182"/>
      <c r="U87" s="189"/>
      <c r="V87" s="189"/>
      <c r="W87" s="189"/>
    </row>
    <row r="88" spans="1:23" hidden="1" outlineLevel="1">
      <c r="A88" s="1">
        <v>86</v>
      </c>
      <c r="B88" s="188"/>
      <c r="C88" s="189"/>
      <c r="D88" s="210"/>
      <c r="E88" s="173" t="s">
        <v>23</v>
      </c>
      <c r="F88" s="210"/>
      <c r="G88" s="189"/>
      <c r="H88" s="189"/>
      <c r="I88" s="210"/>
      <c r="M88" s="174"/>
      <c r="N88" s="174"/>
      <c r="O88" s="191"/>
      <c r="P88" s="189"/>
      <c r="Q88" s="188"/>
      <c r="R88" s="188"/>
      <c r="S88" s="182"/>
      <c r="T88" s="182"/>
      <c r="U88" s="189"/>
      <c r="V88" s="189"/>
      <c r="W88" s="189"/>
    </row>
    <row r="89" spans="1:23" hidden="1" outlineLevel="1">
      <c r="A89" s="1">
        <v>87</v>
      </c>
      <c r="B89" s="188">
        <v>43426</v>
      </c>
      <c r="C89" s="189" t="s">
        <v>7441</v>
      </c>
      <c r="D89" s="210" t="s">
        <v>38</v>
      </c>
      <c r="E89" s="173" t="s">
        <v>23</v>
      </c>
      <c r="F89" s="210">
        <v>356495042203762</v>
      </c>
      <c r="G89" s="189" t="s">
        <v>64</v>
      </c>
      <c r="H89" s="189"/>
      <c r="I89" s="210"/>
      <c r="M89" s="174" t="s">
        <v>7443</v>
      </c>
      <c r="N89" s="174" t="s">
        <v>7442</v>
      </c>
      <c r="O89" s="191" t="s">
        <v>7444</v>
      </c>
      <c r="P89" s="189"/>
      <c r="Q89" s="188">
        <v>43427</v>
      </c>
      <c r="R89" s="188"/>
      <c r="S89" s="182">
        <v>1500</v>
      </c>
      <c r="T89" s="182"/>
      <c r="U89" s="189"/>
      <c r="V89" s="189"/>
      <c r="W89" s="189"/>
    </row>
    <row r="90" spans="1:23" hidden="1" outlineLevel="1">
      <c r="A90" s="1">
        <v>88</v>
      </c>
      <c r="B90" s="188">
        <v>43427</v>
      </c>
      <c r="C90" s="189" t="s">
        <v>7445</v>
      </c>
      <c r="D90" s="210"/>
      <c r="E90" s="173" t="s">
        <v>23</v>
      </c>
      <c r="F90" s="210">
        <v>20235005504</v>
      </c>
      <c r="G90" s="189" t="s">
        <v>7299</v>
      </c>
      <c r="H90" s="189" t="s">
        <v>7164</v>
      </c>
      <c r="I90" s="210" t="s">
        <v>7201</v>
      </c>
      <c r="M90" s="174" t="s">
        <v>7447</v>
      </c>
      <c r="N90" s="174" t="s">
        <v>7446</v>
      </c>
      <c r="O90" s="191" t="s">
        <v>7448</v>
      </c>
      <c r="P90" s="189" t="s">
        <v>7449</v>
      </c>
      <c r="Q90" s="188"/>
      <c r="R90" s="188"/>
      <c r="S90" s="182"/>
      <c r="T90" s="182"/>
      <c r="U90" s="189" t="s">
        <v>7163</v>
      </c>
      <c r="V90" s="189"/>
      <c r="W90" s="189" t="s">
        <v>836</v>
      </c>
    </row>
    <row r="91" spans="1:23" ht="25.5" hidden="1" outlineLevel="1">
      <c r="A91" s="1">
        <v>89</v>
      </c>
      <c r="B91" s="188">
        <v>43434</v>
      </c>
      <c r="C91" s="189" t="s">
        <v>7450</v>
      </c>
      <c r="D91" s="210" t="s">
        <v>37</v>
      </c>
      <c r="E91" s="173" t="s">
        <v>23</v>
      </c>
      <c r="F91" s="210" t="s">
        <v>7451</v>
      </c>
      <c r="G91" s="189" t="s">
        <v>64</v>
      </c>
      <c r="H91" s="189"/>
      <c r="I91" s="210" t="s">
        <v>63</v>
      </c>
      <c r="M91" s="174" t="s">
        <v>7453</v>
      </c>
      <c r="N91" s="174" t="s">
        <v>7452</v>
      </c>
      <c r="O91" s="191" t="s">
        <v>7431</v>
      </c>
      <c r="P91" s="189" t="s">
        <v>7454</v>
      </c>
      <c r="Q91" s="188">
        <v>43434</v>
      </c>
      <c r="R91" s="188">
        <v>43474</v>
      </c>
      <c r="S91" s="182"/>
      <c r="T91" s="182" t="s">
        <v>7455</v>
      </c>
      <c r="U91" s="189"/>
      <c r="V91" s="189"/>
      <c r="W91" s="189"/>
    </row>
    <row r="92" spans="1:23" hidden="1" outlineLevel="1">
      <c r="A92" s="1">
        <v>90</v>
      </c>
      <c r="B92" s="188">
        <v>43434</v>
      </c>
      <c r="C92" s="189" t="s">
        <v>7456</v>
      </c>
      <c r="D92" s="210" t="s">
        <v>38</v>
      </c>
      <c r="E92" s="173" t="s">
        <v>23</v>
      </c>
      <c r="F92" s="210">
        <v>864287031421</v>
      </c>
      <c r="G92" s="189" t="s">
        <v>64</v>
      </c>
      <c r="H92" s="189"/>
      <c r="I92" s="210" t="s">
        <v>63</v>
      </c>
      <c r="M92" s="174" t="s">
        <v>7457</v>
      </c>
      <c r="N92" s="174" t="s">
        <v>7422</v>
      </c>
      <c r="O92" s="191" t="s">
        <v>7444</v>
      </c>
      <c r="P92" s="189" t="s">
        <v>7458</v>
      </c>
      <c r="Q92" s="188">
        <v>43437</v>
      </c>
      <c r="R92" s="188">
        <v>43462</v>
      </c>
      <c r="S92" s="182">
        <v>600</v>
      </c>
      <c r="T92" s="182"/>
      <c r="U92" s="189"/>
      <c r="V92" s="189"/>
      <c r="W92" s="189"/>
    </row>
    <row r="93" spans="1:23" ht="25.5" hidden="1" outlineLevel="1">
      <c r="A93" s="1">
        <v>91</v>
      </c>
      <c r="B93" s="188">
        <v>43434</v>
      </c>
      <c r="C93" s="189" t="s">
        <v>7459</v>
      </c>
      <c r="D93" s="210" t="s">
        <v>38</v>
      </c>
      <c r="E93" s="173" t="s">
        <v>23</v>
      </c>
      <c r="F93" s="210">
        <v>358004090426560</v>
      </c>
      <c r="G93" s="189" t="s">
        <v>64</v>
      </c>
      <c r="H93" s="189"/>
      <c r="I93" s="210" t="s">
        <v>63</v>
      </c>
      <c r="M93" s="174" t="s">
        <v>7461</v>
      </c>
      <c r="N93" s="174" t="s">
        <v>7460</v>
      </c>
      <c r="O93" s="191" t="s">
        <v>7444</v>
      </c>
      <c r="P93" s="189" t="s">
        <v>7462</v>
      </c>
      <c r="Q93" s="188" t="s">
        <v>7463</v>
      </c>
      <c r="R93" s="188" t="s">
        <v>7464</v>
      </c>
      <c r="S93" s="182">
        <v>405</v>
      </c>
      <c r="T93" s="182" t="s">
        <v>7387</v>
      </c>
      <c r="U93" s="189"/>
      <c r="V93" s="189"/>
      <c r="W93" s="189"/>
    </row>
    <row r="94" spans="1:23" hidden="1" outlineLevel="1">
      <c r="A94" s="1">
        <v>92</v>
      </c>
      <c r="B94" s="188">
        <v>43437</v>
      </c>
      <c r="C94" s="189" t="s">
        <v>7401</v>
      </c>
      <c r="D94" s="210" t="s">
        <v>38</v>
      </c>
      <c r="E94" s="173" t="s">
        <v>23</v>
      </c>
      <c r="F94" s="210">
        <v>868324025281820</v>
      </c>
      <c r="G94" s="189" t="s">
        <v>64</v>
      </c>
      <c r="H94" s="189"/>
      <c r="I94" s="210" t="s">
        <v>63</v>
      </c>
      <c r="M94" s="174" t="s">
        <v>7466</v>
      </c>
      <c r="N94" s="174" t="s">
        <v>7465</v>
      </c>
      <c r="O94" s="191" t="s">
        <v>7394</v>
      </c>
      <c r="P94" s="189" t="s">
        <v>7384</v>
      </c>
      <c r="Q94" s="188">
        <v>43437</v>
      </c>
      <c r="R94" s="188">
        <v>43483</v>
      </c>
      <c r="S94" s="182">
        <v>730</v>
      </c>
      <c r="T94" s="182" t="s">
        <v>7467</v>
      </c>
      <c r="U94" s="189"/>
      <c r="V94" s="189"/>
      <c r="W94" s="189"/>
    </row>
    <row r="95" spans="1:23" hidden="1" outlineLevel="1">
      <c r="A95" s="1">
        <v>93</v>
      </c>
      <c r="B95" s="188">
        <v>43437</v>
      </c>
      <c r="C95" s="189" t="s">
        <v>7468</v>
      </c>
      <c r="D95" s="210"/>
      <c r="E95" s="173" t="s">
        <v>23</v>
      </c>
      <c r="F95" s="210">
        <v>950532</v>
      </c>
      <c r="G95" s="189" t="s">
        <v>64</v>
      </c>
      <c r="H95" s="189"/>
      <c r="I95" s="210" t="s">
        <v>63</v>
      </c>
      <c r="M95" s="174" t="s">
        <v>7470</v>
      </c>
      <c r="N95" s="174" t="s">
        <v>7469</v>
      </c>
      <c r="O95" s="191" t="s">
        <v>7471</v>
      </c>
      <c r="P95" s="189" t="s">
        <v>3296</v>
      </c>
      <c r="Q95" s="188">
        <v>43437</v>
      </c>
      <c r="R95" s="188"/>
      <c r="S95" s="182" t="s">
        <v>7190</v>
      </c>
      <c r="T95" s="182">
        <v>485</v>
      </c>
      <c r="U95" s="189"/>
      <c r="V95" s="189"/>
      <c r="W95" s="189"/>
    </row>
    <row r="96" spans="1:23" hidden="1" outlineLevel="1">
      <c r="A96" s="1">
        <v>94</v>
      </c>
      <c r="B96" s="188">
        <v>43437</v>
      </c>
      <c r="C96" s="189" t="s">
        <v>7472</v>
      </c>
      <c r="D96" s="210"/>
      <c r="E96" s="173" t="s">
        <v>23</v>
      </c>
      <c r="F96" s="210">
        <v>421998</v>
      </c>
      <c r="G96" s="189" t="s">
        <v>64</v>
      </c>
      <c r="H96" s="189"/>
      <c r="I96" s="210" t="s">
        <v>63</v>
      </c>
      <c r="M96" s="174" t="s">
        <v>7474</v>
      </c>
      <c r="N96" s="174" t="s">
        <v>7473</v>
      </c>
      <c r="O96" s="191" t="s">
        <v>7475</v>
      </c>
      <c r="P96" s="189" t="s">
        <v>3296</v>
      </c>
      <c r="Q96" s="188">
        <v>43437</v>
      </c>
      <c r="R96" s="188"/>
      <c r="S96" s="182" t="s">
        <v>7190</v>
      </c>
      <c r="T96" s="182">
        <v>485</v>
      </c>
      <c r="U96" s="189"/>
      <c r="V96" s="189"/>
      <c r="W96" s="189"/>
    </row>
    <row r="97" spans="1:23" hidden="1" outlineLevel="1">
      <c r="A97" s="1">
        <v>95</v>
      </c>
      <c r="B97" s="188">
        <v>43438</v>
      </c>
      <c r="C97" s="189" t="s">
        <v>7476</v>
      </c>
      <c r="D97" s="210"/>
      <c r="E97" s="173" t="s">
        <v>23</v>
      </c>
      <c r="F97" s="210">
        <v>5329</v>
      </c>
      <c r="G97" s="189"/>
      <c r="H97" s="189"/>
      <c r="I97" s="210"/>
      <c r="M97" s="174" t="s">
        <v>7410</v>
      </c>
      <c r="N97" s="174" t="s">
        <v>7477</v>
      </c>
      <c r="O97" s="191" t="s">
        <v>7478</v>
      </c>
      <c r="P97" s="189" t="s">
        <v>3296</v>
      </c>
      <c r="Q97" s="188">
        <v>43439</v>
      </c>
      <c r="R97" s="188"/>
      <c r="S97" s="182" t="s">
        <v>7190</v>
      </c>
      <c r="T97" s="182"/>
      <c r="U97" s="189"/>
      <c r="V97" s="189"/>
      <c r="W97" s="189"/>
    </row>
    <row r="98" spans="1:23" hidden="1" outlineLevel="1">
      <c r="A98" s="1">
        <v>96</v>
      </c>
      <c r="B98" s="188">
        <v>43438</v>
      </c>
      <c r="C98" s="189" t="s">
        <v>7476</v>
      </c>
      <c r="D98" s="210"/>
      <c r="E98" s="173" t="s">
        <v>23</v>
      </c>
      <c r="F98" s="210">
        <v>5371</v>
      </c>
      <c r="G98" s="189"/>
      <c r="H98" s="189"/>
      <c r="I98" s="210"/>
      <c r="M98" s="174" t="s">
        <v>7410</v>
      </c>
      <c r="N98" s="174" t="s">
        <v>7477</v>
      </c>
      <c r="O98" s="191" t="s">
        <v>7478</v>
      </c>
      <c r="P98" s="189" t="s">
        <v>3296</v>
      </c>
      <c r="Q98" s="188">
        <v>43439</v>
      </c>
      <c r="R98" s="188"/>
      <c r="S98" s="182" t="s">
        <v>7190</v>
      </c>
      <c r="T98" s="182"/>
      <c r="U98" s="189"/>
      <c r="V98" s="189"/>
      <c r="W98" s="189"/>
    </row>
    <row r="99" spans="1:23" ht="25.5" hidden="1" outlineLevel="1">
      <c r="A99" s="1">
        <v>97</v>
      </c>
      <c r="B99" s="188">
        <v>43439</v>
      </c>
      <c r="C99" s="189" t="s">
        <v>7479</v>
      </c>
      <c r="D99" s="210"/>
      <c r="E99" s="173" t="s">
        <v>23</v>
      </c>
      <c r="F99" s="210">
        <v>434262</v>
      </c>
      <c r="G99" s="189" t="s">
        <v>64</v>
      </c>
      <c r="H99" s="189"/>
      <c r="I99" s="210" t="s">
        <v>63</v>
      </c>
      <c r="M99" s="174"/>
      <c r="N99" s="174" t="s">
        <v>7480</v>
      </c>
      <c r="O99" s="191"/>
      <c r="P99" s="189" t="s">
        <v>3296</v>
      </c>
      <c r="Q99" s="188">
        <v>43521</v>
      </c>
      <c r="R99" s="188"/>
      <c r="S99" s="182"/>
      <c r="T99" s="182"/>
      <c r="U99" s="189"/>
      <c r="V99" s="189"/>
      <c r="W99" s="189"/>
    </row>
    <row r="100" spans="1:23" hidden="1" outlineLevel="1">
      <c r="A100" s="1">
        <v>98</v>
      </c>
      <c r="B100" s="188">
        <v>43437</v>
      </c>
      <c r="C100" s="189" t="s">
        <v>7168</v>
      </c>
      <c r="D100" s="210" t="s">
        <v>37</v>
      </c>
      <c r="E100" s="173" t="s">
        <v>23</v>
      </c>
      <c r="F100" s="210">
        <v>356307041268938</v>
      </c>
      <c r="G100" s="189" t="s">
        <v>7482</v>
      </c>
      <c r="H100" s="189" t="s">
        <v>7164</v>
      </c>
      <c r="I100" s="210" t="s">
        <v>63</v>
      </c>
      <c r="M100" s="174" t="s">
        <v>7481</v>
      </c>
      <c r="N100" s="174" t="s">
        <v>1057</v>
      </c>
      <c r="O100" s="191" t="s">
        <v>7483</v>
      </c>
      <c r="P100" s="189" t="s">
        <v>7484</v>
      </c>
      <c r="Q100" s="188">
        <v>43445</v>
      </c>
      <c r="R100" s="188">
        <v>43565</v>
      </c>
      <c r="S100" s="182"/>
      <c r="T100" s="182">
        <v>485</v>
      </c>
      <c r="U100" s="189" t="s">
        <v>7163</v>
      </c>
      <c r="V100" s="189"/>
      <c r="W100" s="189">
        <v>53131076</v>
      </c>
    </row>
    <row r="101" spans="1:23" hidden="1" outlineLevel="1">
      <c r="A101" s="1">
        <v>99</v>
      </c>
      <c r="B101" s="188">
        <v>43433</v>
      </c>
      <c r="C101" s="189" t="s">
        <v>567</v>
      </c>
      <c r="D101" s="210" t="s">
        <v>38</v>
      </c>
      <c r="E101" s="173" t="s">
        <v>23</v>
      </c>
      <c r="F101" s="210">
        <v>865733022379382</v>
      </c>
      <c r="G101" s="189" t="s">
        <v>64</v>
      </c>
      <c r="H101" s="189" t="s">
        <v>7164</v>
      </c>
      <c r="I101" s="210" t="s">
        <v>63</v>
      </c>
      <c r="M101" s="174" t="s">
        <v>7245</v>
      </c>
      <c r="N101" s="174" t="s">
        <v>7244</v>
      </c>
      <c r="O101" s="191" t="s">
        <v>7485</v>
      </c>
      <c r="P101" s="189" t="s">
        <v>7486</v>
      </c>
      <c r="Q101" s="188">
        <v>43445</v>
      </c>
      <c r="R101" s="188">
        <v>43483</v>
      </c>
      <c r="S101" s="182">
        <v>480</v>
      </c>
      <c r="T101" s="182" t="s">
        <v>7467</v>
      </c>
      <c r="U101" s="189" t="s">
        <v>7163</v>
      </c>
      <c r="V101" s="189"/>
      <c r="W101" s="189" t="s">
        <v>836</v>
      </c>
    </row>
    <row r="102" spans="1:23" hidden="1" outlineLevel="1">
      <c r="A102" s="1">
        <v>100</v>
      </c>
      <c r="B102" s="188">
        <v>43434</v>
      </c>
      <c r="C102" s="189" t="s">
        <v>7487</v>
      </c>
      <c r="D102" s="210"/>
      <c r="E102" s="173" t="s">
        <v>23</v>
      </c>
      <c r="F102" s="210">
        <v>18555</v>
      </c>
      <c r="G102" s="189" t="s">
        <v>64</v>
      </c>
      <c r="H102" s="189" t="s">
        <v>7164</v>
      </c>
      <c r="I102" s="210" t="s">
        <v>63</v>
      </c>
      <c r="M102" s="174" t="s">
        <v>7488</v>
      </c>
      <c r="N102" s="174" t="s">
        <v>7244</v>
      </c>
      <c r="O102" s="191" t="s">
        <v>7489</v>
      </c>
      <c r="P102" s="189" t="s">
        <v>7458</v>
      </c>
      <c r="Q102" s="188"/>
      <c r="R102" s="188"/>
      <c r="S102" s="182"/>
      <c r="T102" s="182"/>
      <c r="U102" s="189" t="s">
        <v>7163</v>
      </c>
      <c r="V102" s="189"/>
      <c r="W102" s="189" t="s">
        <v>836</v>
      </c>
    </row>
    <row r="103" spans="1:23" ht="38.25" hidden="1" outlineLevel="1">
      <c r="A103" s="1">
        <v>101</v>
      </c>
      <c r="B103" s="188">
        <v>43444</v>
      </c>
      <c r="C103" s="189" t="s">
        <v>7401</v>
      </c>
      <c r="D103" s="210" t="s">
        <v>38</v>
      </c>
      <c r="E103" s="173" t="s">
        <v>23</v>
      </c>
      <c r="F103" s="210">
        <v>865733026694430</v>
      </c>
      <c r="G103" s="189"/>
      <c r="H103" s="189"/>
      <c r="I103" s="210"/>
      <c r="M103" s="174" t="s">
        <v>7490</v>
      </c>
      <c r="N103" s="174" t="s">
        <v>3643</v>
      </c>
      <c r="O103" s="191" t="s">
        <v>7491</v>
      </c>
      <c r="P103" s="189" t="s">
        <v>7384</v>
      </c>
      <c r="Q103" s="188">
        <v>43445</v>
      </c>
      <c r="R103" s="188">
        <v>43483</v>
      </c>
      <c r="S103" s="182">
        <v>480</v>
      </c>
      <c r="T103" s="182" t="s">
        <v>7492</v>
      </c>
      <c r="U103" s="189"/>
      <c r="V103" s="189"/>
      <c r="W103" s="189"/>
    </row>
    <row r="104" spans="1:23" hidden="1" outlineLevel="1">
      <c r="A104" s="1">
        <v>102</v>
      </c>
      <c r="B104" s="188">
        <v>43445</v>
      </c>
      <c r="C104" s="189" t="s">
        <v>7493</v>
      </c>
      <c r="D104" s="210" t="s">
        <v>37</v>
      </c>
      <c r="E104" s="173" t="s">
        <v>23</v>
      </c>
      <c r="F104" s="210">
        <v>2016000272124</v>
      </c>
      <c r="G104" s="189" t="s">
        <v>64</v>
      </c>
      <c r="H104" s="189"/>
      <c r="I104" s="210" t="s">
        <v>63</v>
      </c>
      <c r="M104" s="174" t="s">
        <v>7495</v>
      </c>
      <c r="N104" s="174" t="s">
        <v>7494</v>
      </c>
      <c r="O104" s="191" t="s">
        <v>7496</v>
      </c>
      <c r="P104" s="189"/>
      <c r="Q104" s="188">
        <v>43445</v>
      </c>
      <c r="R104" s="188">
        <v>43461</v>
      </c>
      <c r="S104" s="182" t="s">
        <v>7190</v>
      </c>
      <c r="T104" s="182">
        <v>418</v>
      </c>
      <c r="U104" s="189"/>
      <c r="V104" s="189"/>
      <c r="W104" s="189"/>
    </row>
    <row r="105" spans="1:23" hidden="1" outlineLevel="1">
      <c r="A105" s="1">
        <v>103</v>
      </c>
      <c r="B105" s="188">
        <v>43445</v>
      </c>
      <c r="C105" s="189" t="s">
        <v>7493</v>
      </c>
      <c r="D105" s="210" t="s">
        <v>37</v>
      </c>
      <c r="E105" s="173" t="s">
        <v>23</v>
      </c>
      <c r="F105" s="210">
        <v>2016000163183</v>
      </c>
      <c r="G105" s="189" t="s">
        <v>64</v>
      </c>
      <c r="H105" s="189"/>
      <c r="I105" s="210" t="s">
        <v>63</v>
      </c>
      <c r="M105" s="174" t="s">
        <v>7497</v>
      </c>
      <c r="N105" s="174" t="s">
        <v>7494</v>
      </c>
      <c r="O105" s="191" t="s">
        <v>7496</v>
      </c>
      <c r="P105" s="189"/>
      <c r="Q105" s="188">
        <v>43445</v>
      </c>
      <c r="R105" s="188">
        <v>43461</v>
      </c>
      <c r="S105" s="182" t="s">
        <v>7190</v>
      </c>
      <c r="T105" s="182">
        <v>418</v>
      </c>
      <c r="U105" s="189"/>
      <c r="V105" s="189"/>
      <c r="W105" s="189"/>
    </row>
    <row r="106" spans="1:23" hidden="1" outlineLevel="1">
      <c r="A106" s="1">
        <v>104</v>
      </c>
      <c r="B106" s="188">
        <v>43447</v>
      </c>
      <c r="C106" s="189" t="s">
        <v>7498</v>
      </c>
      <c r="D106" s="210"/>
      <c r="E106" s="173" t="s">
        <v>23</v>
      </c>
      <c r="F106" s="210">
        <v>352094081947712</v>
      </c>
      <c r="G106" s="189" t="s">
        <v>64</v>
      </c>
      <c r="H106" s="189" t="s">
        <v>7164</v>
      </c>
      <c r="I106" s="210" t="s">
        <v>63</v>
      </c>
      <c r="M106" s="174" t="s">
        <v>7499</v>
      </c>
      <c r="N106" s="174" t="s">
        <v>6044</v>
      </c>
      <c r="O106" s="191" t="s">
        <v>7500</v>
      </c>
      <c r="P106" s="189" t="s">
        <v>7501</v>
      </c>
      <c r="Q106" s="188"/>
      <c r="R106" s="188"/>
      <c r="S106" s="182"/>
      <c r="T106" s="182"/>
      <c r="U106" s="189" t="s">
        <v>7163</v>
      </c>
      <c r="V106" s="189"/>
      <c r="W106" s="189">
        <v>9510924906</v>
      </c>
    </row>
    <row r="107" spans="1:23" hidden="1" outlineLevel="1">
      <c r="A107" s="1">
        <v>105</v>
      </c>
      <c r="B107" s="188">
        <v>43447</v>
      </c>
      <c r="C107" s="189" t="s">
        <v>7342</v>
      </c>
      <c r="D107" s="210"/>
      <c r="E107" s="173" t="s">
        <v>23</v>
      </c>
      <c r="F107" s="210">
        <v>11708</v>
      </c>
      <c r="G107" s="189" t="s">
        <v>7482</v>
      </c>
      <c r="H107" s="189" t="s">
        <v>7164</v>
      </c>
      <c r="I107" s="210" t="s">
        <v>63</v>
      </c>
      <c r="M107" s="174" t="s">
        <v>836</v>
      </c>
      <c r="N107" s="174" t="s">
        <v>836</v>
      </c>
      <c r="O107" s="191" t="s">
        <v>7502</v>
      </c>
      <c r="P107" s="189" t="s">
        <v>7501</v>
      </c>
      <c r="Q107" s="188"/>
      <c r="R107" s="188"/>
      <c r="S107" s="182"/>
      <c r="T107" s="182"/>
      <c r="U107" s="189" t="s">
        <v>7163</v>
      </c>
      <c r="V107" s="189"/>
      <c r="W107" s="189" t="s">
        <v>836</v>
      </c>
    </row>
    <row r="108" spans="1:23" hidden="1" outlineLevel="1">
      <c r="A108" s="1">
        <v>106</v>
      </c>
      <c r="B108" s="188">
        <v>43451</v>
      </c>
      <c r="C108" s="189" t="s">
        <v>7503</v>
      </c>
      <c r="D108" s="210" t="s">
        <v>38</v>
      </c>
      <c r="E108" s="173" t="s">
        <v>23</v>
      </c>
      <c r="F108" s="210">
        <v>861693030610539</v>
      </c>
      <c r="G108" s="189" t="s">
        <v>64</v>
      </c>
      <c r="H108" s="189"/>
      <c r="I108" s="210" t="s">
        <v>63</v>
      </c>
      <c r="M108" s="174"/>
      <c r="N108" s="174" t="s">
        <v>7504</v>
      </c>
      <c r="O108" s="191" t="s">
        <v>7505</v>
      </c>
      <c r="P108" s="189" t="s">
        <v>7506</v>
      </c>
      <c r="Q108" s="188">
        <v>43452</v>
      </c>
      <c r="R108" s="188" t="s">
        <v>7507</v>
      </c>
      <c r="S108" s="182">
        <v>847</v>
      </c>
      <c r="T108" s="182" t="s">
        <v>7387</v>
      </c>
      <c r="U108" s="189"/>
      <c r="V108" s="189"/>
      <c r="W108" s="189"/>
    </row>
    <row r="109" spans="1:23" ht="25.5" hidden="1" outlineLevel="1">
      <c r="A109" s="1">
        <v>107</v>
      </c>
      <c r="B109" s="188">
        <v>43448</v>
      </c>
      <c r="C109" s="189" t="s">
        <v>7508</v>
      </c>
      <c r="D109" s="210"/>
      <c r="E109" s="173" t="s">
        <v>23</v>
      </c>
      <c r="F109" s="210">
        <v>868204003260535</v>
      </c>
      <c r="G109" s="189" t="s">
        <v>7511</v>
      </c>
      <c r="H109" s="189" t="s">
        <v>7164</v>
      </c>
      <c r="I109" s="210" t="s">
        <v>90</v>
      </c>
      <c r="M109" s="174" t="s">
        <v>7510</v>
      </c>
      <c r="N109" s="174" t="s">
        <v>7509</v>
      </c>
      <c r="O109" s="191"/>
      <c r="P109" s="189" t="s">
        <v>7384</v>
      </c>
      <c r="Q109" s="188"/>
      <c r="R109" s="188"/>
      <c r="S109" s="182"/>
      <c r="T109" s="182"/>
      <c r="U109" s="189" t="s">
        <v>7163</v>
      </c>
      <c r="V109" s="189"/>
      <c r="W109" s="189">
        <f>79378894697</f>
        <v>79378894697</v>
      </c>
    </row>
    <row r="110" spans="1:23" hidden="1" outlineLevel="1">
      <c r="A110" s="1">
        <v>108</v>
      </c>
      <c r="B110" s="188">
        <v>43451</v>
      </c>
      <c r="C110" s="189" t="s">
        <v>7512</v>
      </c>
      <c r="D110" s="210"/>
      <c r="E110" s="173" t="s">
        <v>23</v>
      </c>
      <c r="F110" s="210">
        <v>356173064503829</v>
      </c>
      <c r="G110" s="189" t="s">
        <v>7482</v>
      </c>
      <c r="H110" s="189" t="s">
        <v>7164</v>
      </c>
      <c r="I110" s="210" t="s">
        <v>63</v>
      </c>
      <c r="M110" s="174" t="s">
        <v>7513</v>
      </c>
      <c r="N110" s="174" t="s">
        <v>6044</v>
      </c>
      <c r="O110" s="191" t="s">
        <v>7514</v>
      </c>
      <c r="P110" s="189" t="s">
        <v>7506</v>
      </c>
      <c r="Q110" s="188"/>
      <c r="R110" s="188"/>
      <c r="S110" s="182"/>
      <c r="T110" s="182"/>
      <c r="U110" s="189" t="s">
        <v>7163</v>
      </c>
      <c r="V110" s="189"/>
      <c r="W110" s="189" t="s">
        <v>836</v>
      </c>
    </row>
    <row r="111" spans="1:23" hidden="1" outlineLevel="1">
      <c r="A111" s="1">
        <v>109</v>
      </c>
      <c r="B111" s="188">
        <v>43454</v>
      </c>
      <c r="C111" s="189" t="s">
        <v>7338</v>
      </c>
      <c r="D111" s="210" t="s">
        <v>37</v>
      </c>
      <c r="E111" s="173" t="s">
        <v>23</v>
      </c>
      <c r="F111" s="210">
        <v>18101525</v>
      </c>
      <c r="G111" s="189"/>
      <c r="H111" s="189"/>
      <c r="I111" s="210" t="s">
        <v>63</v>
      </c>
      <c r="M111" s="174"/>
      <c r="N111" s="174" t="s">
        <v>7410</v>
      </c>
      <c r="O111" s="191" t="s">
        <v>7397</v>
      </c>
      <c r="P111" s="189"/>
      <c r="Q111" s="188">
        <v>43475</v>
      </c>
      <c r="R111" s="188">
        <v>43494</v>
      </c>
      <c r="S111" s="182" t="s">
        <v>7190</v>
      </c>
      <c r="T111" s="182"/>
      <c r="U111" s="189"/>
      <c r="V111" s="189"/>
      <c r="W111" s="189"/>
    </row>
    <row r="112" spans="1:23" hidden="1" outlineLevel="1">
      <c r="A112" s="1">
        <v>110</v>
      </c>
      <c r="B112" s="188">
        <v>43461</v>
      </c>
      <c r="C112" s="189" t="s">
        <v>7401</v>
      </c>
      <c r="D112" s="210" t="s">
        <v>38</v>
      </c>
      <c r="E112" s="173" t="s">
        <v>23</v>
      </c>
      <c r="F112" s="210">
        <v>865733022396345</v>
      </c>
      <c r="G112" s="189" t="s">
        <v>64</v>
      </c>
      <c r="H112" s="189"/>
      <c r="I112" s="210" t="s">
        <v>63</v>
      </c>
      <c r="M112" s="174" t="s">
        <v>7516</v>
      </c>
      <c r="N112" s="174" t="s">
        <v>7515</v>
      </c>
      <c r="O112" s="191" t="s">
        <v>7517</v>
      </c>
      <c r="P112" s="189" t="s">
        <v>7518</v>
      </c>
      <c r="Q112" s="188">
        <v>43491</v>
      </c>
      <c r="R112" s="188">
        <v>43489</v>
      </c>
      <c r="S112" s="182">
        <v>360</v>
      </c>
      <c r="T112" s="182" t="s">
        <v>7519</v>
      </c>
      <c r="U112" s="189"/>
      <c r="V112" s="189"/>
      <c r="W112" s="189"/>
    </row>
    <row r="113" spans="1:23" hidden="1" outlineLevel="1">
      <c r="A113" s="1">
        <v>111</v>
      </c>
      <c r="B113" s="188">
        <v>43461</v>
      </c>
      <c r="C113" s="189" t="s">
        <v>7401</v>
      </c>
      <c r="D113" s="210" t="s">
        <v>38</v>
      </c>
      <c r="E113" s="173" t="s">
        <v>23</v>
      </c>
      <c r="F113" s="210">
        <v>865733022393557</v>
      </c>
      <c r="G113" s="189" t="s">
        <v>64</v>
      </c>
      <c r="H113" s="189"/>
      <c r="I113" s="210" t="s">
        <v>63</v>
      </c>
      <c r="M113" s="174" t="s">
        <v>7520</v>
      </c>
      <c r="N113" s="174" t="s">
        <v>7515</v>
      </c>
      <c r="O113" s="191" t="s">
        <v>7517</v>
      </c>
      <c r="P113" s="189" t="s">
        <v>7518</v>
      </c>
      <c r="Q113" s="188">
        <v>43491</v>
      </c>
      <c r="R113" s="188">
        <v>43489</v>
      </c>
      <c r="S113" s="182">
        <v>360</v>
      </c>
      <c r="T113" s="182" t="s">
        <v>7519</v>
      </c>
      <c r="U113" s="189"/>
      <c r="V113" s="189"/>
      <c r="W113" s="189"/>
    </row>
    <row r="114" spans="1:23" hidden="1" outlineLevel="1">
      <c r="A114" s="1">
        <v>112</v>
      </c>
      <c r="B114" s="188">
        <v>43461</v>
      </c>
      <c r="C114" s="189" t="s">
        <v>7427</v>
      </c>
      <c r="D114" s="210" t="s">
        <v>37</v>
      </c>
      <c r="E114" s="173" t="s">
        <v>23</v>
      </c>
      <c r="F114" s="210">
        <v>864811031550291</v>
      </c>
      <c r="G114" s="189" t="s">
        <v>64</v>
      </c>
      <c r="H114" s="189"/>
      <c r="I114" s="210" t="s">
        <v>63</v>
      </c>
      <c r="M114" s="174" t="s">
        <v>7522</v>
      </c>
      <c r="N114" s="174" t="s">
        <v>7521</v>
      </c>
      <c r="O114" s="191" t="s">
        <v>7523</v>
      </c>
      <c r="P114" s="189" t="s">
        <v>7518</v>
      </c>
      <c r="Q114" s="188">
        <v>43491</v>
      </c>
      <c r="R114" s="188">
        <v>43497</v>
      </c>
      <c r="S114" s="182"/>
      <c r="T114" s="182">
        <v>418</v>
      </c>
      <c r="U114" s="189"/>
      <c r="V114" s="189"/>
      <c r="W114" s="189"/>
    </row>
    <row r="115" spans="1:23" collapsed="1">
      <c r="A115" s="8">
        <v>2019</v>
      </c>
      <c r="B115" s="175"/>
      <c r="C115" s="175"/>
      <c r="D115" s="175"/>
      <c r="E115" s="176"/>
      <c r="F115" s="175"/>
      <c r="G115" s="175"/>
      <c r="H115" s="175"/>
      <c r="I115" s="175"/>
      <c r="J115" s="8"/>
      <c r="K115" s="8"/>
      <c r="L115" s="8"/>
      <c r="M115" s="175"/>
      <c r="N115" s="175"/>
      <c r="O115" s="177"/>
      <c r="P115" s="175"/>
      <c r="Q115" s="178"/>
      <c r="R115" s="178"/>
      <c r="S115" s="175"/>
      <c r="T115" s="175"/>
      <c r="U115" s="175"/>
      <c r="V115" s="175"/>
      <c r="W115" s="175"/>
    </row>
    <row r="116" spans="1:23" hidden="1" outlineLevel="1">
      <c r="A116" s="1">
        <v>1</v>
      </c>
      <c r="B116" s="188">
        <v>43479</v>
      </c>
      <c r="C116" s="189" t="s">
        <v>7338</v>
      </c>
      <c r="D116" s="210" t="s">
        <v>37</v>
      </c>
      <c r="E116" s="173" t="s">
        <v>23</v>
      </c>
      <c r="F116" s="210">
        <v>16041027</v>
      </c>
      <c r="G116" s="189" t="s">
        <v>64</v>
      </c>
      <c r="H116" s="189"/>
      <c r="I116" s="210" t="s">
        <v>63</v>
      </c>
      <c r="M116" s="174" t="s">
        <v>7525</v>
      </c>
      <c r="N116" s="174" t="s">
        <v>7524</v>
      </c>
      <c r="O116" s="191" t="s">
        <v>72</v>
      </c>
      <c r="P116" s="189"/>
      <c r="Q116" s="188">
        <v>43480</v>
      </c>
      <c r="R116" s="188">
        <v>43494</v>
      </c>
      <c r="S116" s="182" t="s">
        <v>7190</v>
      </c>
      <c r="T116" s="182"/>
      <c r="U116" s="189"/>
      <c r="V116" s="189"/>
      <c r="W116" s="189"/>
    </row>
    <row r="117" spans="1:23" ht="25.5" hidden="1" outlineLevel="1">
      <c r="A117" s="1">
        <v>2</v>
      </c>
      <c r="B117" s="188">
        <v>43481</v>
      </c>
      <c r="C117" s="189" t="s">
        <v>170</v>
      </c>
      <c r="D117" s="210"/>
      <c r="E117" s="173" t="s">
        <v>23</v>
      </c>
      <c r="F117" s="210">
        <v>868345038053484</v>
      </c>
      <c r="G117" s="189" t="s">
        <v>7528</v>
      </c>
      <c r="H117" s="189"/>
      <c r="I117" s="210" t="s">
        <v>63</v>
      </c>
      <c r="M117" s="174" t="s">
        <v>7527</v>
      </c>
      <c r="N117" s="174" t="s">
        <v>7526</v>
      </c>
      <c r="O117" s="191"/>
      <c r="P117" s="189" t="s">
        <v>7528</v>
      </c>
      <c r="Q117" s="188">
        <v>43481</v>
      </c>
      <c r="R117" s="188">
        <v>43529</v>
      </c>
      <c r="S117" s="182"/>
      <c r="T117" s="182"/>
      <c r="U117" s="189"/>
      <c r="V117" s="189"/>
      <c r="W117" s="189"/>
    </row>
    <row r="118" spans="1:23" hidden="1" outlineLevel="1">
      <c r="A118" s="1">
        <v>3</v>
      </c>
      <c r="B118" s="188">
        <v>43486</v>
      </c>
      <c r="C118" s="189" t="s">
        <v>7338</v>
      </c>
      <c r="D118" s="210" t="s">
        <v>37</v>
      </c>
      <c r="E118" s="173" t="s">
        <v>23</v>
      </c>
      <c r="F118" s="210">
        <v>18061552</v>
      </c>
      <c r="G118" s="189" t="s">
        <v>64</v>
      </c>
      <c r="H118" s="189"/>
      <c r="I118" s="210" t="s">
        <v>63</v>
      </c>
      <c r="M118" s="174" t="s">
        <v>7529</v>
      </c>
      <c r="N118" s="174" t="s">
        <v>3669</v>
      </c>
      <c r="O118" s="191" t="s">
        <v>7530</v>
      </c>
      <c r="P118" s="189"/>
      <c r="Q118" s="188">
        <v>43486</v>
      </c>
      <c r="R118" s="188">
        <v>43494</v>
      </c>
      <c r="S118" s="182" t="s">
        <v>7190</v>
      </c>
      <c r="T118" s="182"/>
      <c r="U118" s="189"/>
      <c r="V118" s="189"/>
      <c r="W118" s="189"/>
    </row>
    <row r="119" spans="1:23" ht="25.5" hidden="1" outlineLevel="1">
      <c r="A119" s="1">
        <v>4</v>
      </c>
      <c r="B119" s="188">
        <v>43486</v>
      </c>
      <c r="C119" s="189" t="s">
        <v>7531</v>
      </c>
      <c r="D119" s="210"/>
      <c r="E119" s="173" t="s">
        <v>40</v>
      </c>
      <c r="F119" s="210"/>
      <c r="G119" s="189"/>
      <c r="H119" s="189"/>
      <c r="I119" s="210" t="s">
        <v>7225</v>
      </c>
      <c r="M119" s="174"/>
      <c r="N119" s="174" t="s">
        <v>7532</v>
      </c>
      <c r="O119" s="191" t="s">
        <v>7533</v>
      </c>
      <c r="P119" s="189" t="s">
        <v>7534</v>
      </c>
      <c r="Q119" s="188">
        <v>43486</v>
      </c>
      <c r="R119" s="188">
        <v>43672</v>
      </c>
      <c r="S119" s="182"/>
      <c r="T119" s="182"/>
      <c r="U119" s="189"/>
      <c r="V119" s="189"/>
      <c r="W119" s="189"/>
    </row>
    <row r="120" spans="1:23" hidden="1" outlineLevel="1">
      <c r="A120" s="1">
        <v>5</v>
      </c>
      <c r="B120" s="188">
        <v>43503</v>
      </c>
      <c r="C120" s="189" t="s">
        <v>7330</v>
      </c>
      <c r="D120" s="210" t="s">
        <v>38</v>
      </c>
      <c r="E120" s="173" t="s">
        <v>23</v>
      </c>
      <c r="F120" s="210">
        <v>2031000155030</v>
      </c>
      <c r="G120" s="189" t="s">
        <v>64</v>
      </c>
      <c r="H120" s="189"/>
      <c r="I120" s="210" t="s">
        <v>63</v>
      </c>
      <c r="M120" s="174" t="s">
        <v>7536</v>
      </c>
      <c r="N120" s="174" t="s">
        <v>7535</v>
      </c>
      <c r="O120" s="191" t="s">
        <v>7537</v>
      </c>
      <c r="P120" s="189"/>
      <c r="Q120" s="188">
        <v>43504</v>
      </c>
      <c r="R120" s="188">
        <v>43731</v>
      </c>
      <c r="S120" s="182"/>
      <c r="T120" s="182">
        <v>418</v>
      </c>
      <c r="U120" s="189"/>
      <c r="V120" s="189"/>
      <c r="W120" s="189"/>
    </row>
    <row r="121" spans="1:23" ht="25.5" hidden="1" outlineLevel="1">
      <c r="A121" s="1">
        <v>6</v>
      </c>
      <c r="B121" s="188">
        <v>43508</v>
      </c>
      <c r="C121" s="189" t="s">
        <v>7538</v>
      </c>
      <c r="D121" s="210" t="s">
        <v>37</v>
      </c>
      <c r="E121" s="173" t="s">
        <v>23</v>
      </c>
      <c r="F121" s="210">
        <v>516900</v>
      </c>
      <c r="G121" s="189" t="s">
        <v>64</v>
      </c>
      <c r="H121" s="189"/>
      <c r="I121" s="210" t="s">
        <v>63</v>
      </c>
      <c r="M121" s="174" t="s">
        <v>7540</v>
      </c>
      <c r="N121" s="174" t="s">
        <v>7539</v>
      </c>
      <c r="O121" s="191" t="s">
        <v>7541</v>
      </c>
      <c r="P121" s="189" t="s">
        <v>3296</v>
      </c>
      <c r="Q121" s="188">
        <v>43514</v>
      </c>
      <c r="R121" s="188">
        <v>43570</v>
      </c>
      <c r="S121" s="182"/>
      <c r="T121" s="182" t="s">
        <v>7542</v>
      </c>
      <c r="U121" s="189"/>
      <c r="V121" s="189"/>
      <c r="W121" s="189"/>
    </row>
    <row r="122" spans="1:23" hidden="1" outlineLevel="1">
      <c r="A122" s="1">
        <v>7</v>
      </c>
      <c r="B122" s="188">
        <v>43508</v>
      </c>
      <c r="C122" s="189" t="s">
        <v>7338</v>
      </c>
      <c r="D122" s="210" t="s">
        <v>37</v>
      </c>
      <c r="E122" s="173" t="s">
        <v>23</v>
      </c>
      <c r="F122" s="210">
        <v>17030191</v>
      </c>
      <c r="G122" s="189" t="s">
        <v>64</v>
      </c>
      <c r="H122" s="189"/>
      <c r="I122" s="210" t="s">
        <v>63</v>
      </c>
      <c r="M122" s="174" t="s">
        <v>7544</v>
      </c>
      <c r="N122" s="174" t="s">
        <v>7543</v>
      </c>
      <c r="O122" s="191" t="s">
        <v>7545</v>
      </c>
      <c r="P122" s="189"/>
      <c r="Q122" s="188">
        <v>43509</v>
      </c>
      <c r="R122" s="188">
        <v>43529</v>
      </c>
      <c r="S122" s="182" t="s">
        <v>7190</v>
      </c>
      <c r="T122" s="182"/>
      <c r="U122" s="189"/>
      <c r="V122" s="189"/>
      <c r="W122" s="189"/>
    </row>
    <row r="123" spans="1:23" hidden="1" outlineLevel="1">
      <c r="A123" s="1">
        <v>8</v>
      </c>
      <c r="B123" s="188">
        <v>43510</v>
      </c>
      <c r="C123" s="189" t="s">
        <v>7330</v>
      </c>
      <c r="D123" s="210" t="s">
        <v>37</v>
      </c>
      <c r="E123" s="173" t="s">
        <v>23</v>
      </c>
      <c r="F123" s="210">
        <v>2016001054700</v>
      </c>
      <c r="G123" s="189" t="s">
        <v>64</v>
      </c>
      <c r="H123" s="189"/>
      <c r="I123" s="210" t="s">
        <v>63</v>
      </c>
      <c r="M123" s="174" t="s">
        <v>7546</v>
      </c>
      <c r="N123" s="174" t="s">
        <v>7494</v>
      </c>
      <c r="O123" s="191" t="s">
        <v>7530</v>
      </c>
      <c r="P123" s="189" t="s">
        <v>7547</v>
      </c>
      <c r="Q123" s="188">
        <v>43514</v>
      </c>
      <c r="R123" s="188">
        <v>43524</v>
      </c>
      <c r="S123" s="182" t="s">
        <v>7190</v>
      </c>
      <c r="T123" s="182">
        <v>418</v>
      </c>
      <c r="U123" s="189"/>
      <c r="V123" s="189"/>
      <c r="W123" s="189"/>
    </row>
    <row r="124" spans="1:23" hidden="1" outlineLevel="1">
      <c r="A124" s="1">
        <v>9</v>
      </c>
      <c r="B124" s="188">
        <v>43510</v>
      </c>
      <c r="C124" s="189" t="s">
        <v>7330</v>
      </c>
      <c r="D124" s="210" t="s">
        <v>37</v>
      </c>
      <c r="E124" s="173" t="s">
        <v>23</v>
      </c>
      <c r="F124" s="210">
        <v>2016001146677</v>
      </c>
      <c r="G124" s="189" t="s">
        <v>64</v>
      </c>
      <c r="H124" s="189"/>
      <c r="I124" s="210" t="s">
        <v>63</v>
      </c>
      <c r="M124" s="174" t="s">
        <v>7546</v>
      </c>
      <c r="N124" s="174" t="s">
        <v>7494</v>
      </c>
      <c r="O124" s="191" t="s">
        <v>7530</v>
      </c>
      <c r="P124" s="189" t="s">
        <v>7548</v>
      </c>
      <c r="Q124" s="188">
        <v>43514</v>
      </c>
      <c r="R124" s="188">
        <v>43524</v>
      </c>
      <c r="S124" s="182" t="s">
        <v>7190</v>
      </c>
      <c r="T124" s="182">
        <v>418</v>
      </c>
      <c r="U124" s="189"/>
      <c r="V124" s="189"/>
      <c r="W124" s="189"/>
    </row>
    <row r="125" spans="1:23" hidden="1" outlineLevel="1">
      <c r="A125" s="1">
        <v>10</v>
      </c>
      <c r="B125" s="188">
        <v>43510</v>
      </c>
      <c r="C125" s="189" t="s">
        <v>7330</v>
      </c>
      <c r="D125" s="210" t="s">
        <v>37</v>
      </c>
      <c r="E125" s="173" t="s">
        <v>23</v>
      </c>
      <c r="F125" s="210">
        <v>20310006</v>
      </c>
      <c r="G125" s="189" t="s">
        <v>64</v>
      </c>
      <c r="H125" s="189"/>
      <c r="I125" s="210" t="s">
        <v>63</v>
      </c>
      <c r="M125" s="174" t="s">
        <v>7550</v>
      </c>
      <c r="N125" s="174" t="s">
        <v>7549</v>
      </c>
      <c r="O125" s="191" t="s">
        <v>7397</v>
      </c>
      <c r="P125" s="189" t="s">
        <v>7551</v>
      </c>
      <c r="Q125" s="188">
        <v>43514</v>
      </c>
      <c r="R125" s="188">
        <v>43524</v>
      </c>
      <c r="S125" s="182" t="s">
        <v>7190</v>
      </c>
      <c r="T125" s="182">
        <v>418</v>
      </c>
      <c r="U125" s="189"/>
      <c r="V125" s="189"/>
      <c r="W125" s="189"/>
    </row>
    <row r="126" spans="1:23" hidden="1" outlineLevel="1">
      <c r="A126" s="1">
        <v>11</v>
      </c>
      <c r="B126" s="188">
        <v>43516</v>
      </c>
      <c r="C126" s="189" t="s">
        <v>7338</v>
      </c>
      <c r="D126" s="210" t="s">
        <v>37</v>
      </c>
      <c r="E126" s="173" t="s">
        <v>23</v>
      </c>
      <c r="F126" s="210">
        <v>16040281</v>
      </c>
      <c r="G126" s="189" t="s">
        <v>64</v>
      </c>
      <c r="H126" s="189"/>
      <c r="I126" s="210" t="s">
        <v>63</v>
      </c>
      <c r="M126" s="174" t="s">
        <v>7552</v>
      </c>
      <c r="N126" s="174" t="s">
        <v>3771</v>
      </c>
      <c r="O126" s="191" t="s">
        <v>72</v>
      </c>
      <c r="P126" s="189"/>
      <c r="Q126" s="188">
        <v>43518</v>
      </c>
      <c r="R126" s="188">
        <v>43552</v>
      </c>
      <c r="S126" s="182" t="s">
        <v>7190</v>
      </c>
      <c r="T126" s="182"/>
      <c r="U126" s="189"/>
      <c r="V126" s="189"/>
      <c r="W126" s="189"/>
    </row>
    <row r="127" spans="1:23" ht="25.5" hidden="1" outlineLevel="1">
      <c r="A127" s="1">
        <v>12</v>
      </c>
      <c r="B127" s="188">
        <v>43518</v>
      </c>
      <c r="C127" s="189" t="s">
        <v>7553</v>
      </c>
      <c r="D127" s="210" t="s">
        <v>38</v>
      </c>
      <c r="E127" s="173" t="s">
        <v>23</v>
      </c>
      <c r="F127" s="210">
        <v>353386060709827</v>
      </c>
      <c r="G127" s="189" t="s">
        <v>64</v>
      </c>
      <c r="H127" s="189"/>
      <c r="I127" s="210" t="s">
        <v>63</v>
      </c>
      <c r="M127" s="174" t="s">
        <v>7555</v>
      </c>
      <c r="N127" s="174" t="s">
        <v>7554</v>
      </c>
      <c r="O127" s="191" t="s">
        <v>7444</v>
      </c>
      <c r="P127" s="189"/>
      <c r="Q127" s="188" t="s">
        <v>7556</v>
      </c>
      <c r="R127" s="188">
        <v>43552</v>
      </c>
      <c r="S127" s="182">
        <v>1000</v>
      </c>
      <c r="T127" s="182"/>
      <c r="U127" s="189"/>
      <c r="V127" s="189"/>
      <c r="W127" s="189"/>
    </row>
    <row r="128" spans="1:23" hidden="1" outlineLevel="1">
      <c r="A128" s="1">
        <v>13</v>
      </c>
      <c r="B128" s="188">
        <v>43521</v>
      </c>
      <c r="C128" s="189" t="s">
        <v>7391</v>
      </c>
      <c r="D128" s="210"/>
      <c r="E128" s="173" t="s">
        <v>23</v>
      </c>
      <c r="F128" s="210">
        <v>257847</v>
      </c>
      <c r="G128" s="189" t="s">
        <v>64</v>
      </c>
      <c r="H128" s="189"/>
      <c r="I128" s="210" t="s">
        <v>63</v>
      </c>
      <c r="M128" s="174" t="s">
        <v>3469</v>
      </c>
      <c r="N128" s="174" t="s">
        <v>7557</v>
      </c>
      <c r="O128" s="191" t="s">
        <v>7558</v>
      </c>
      <c r="P128" s="189" t="s">
        <v>7559</v>
      </c>
      <c r="Q128" s="188"/>
      <c r="R128" s="188"/>
      <c r="S128" s="182"/>
      <c r="T128" s="182"/>
      <c r="U128" s="189"/>
      <c r="V128" s="189"/>
      <c r="W128" s="189"/>
    </row>
    <row r="129" spans="1:23" hidden="1" outlineLevel="1">
      <c r="A129" s="1">
        <v>14</v>
      </c>
      <c r="B129" s="188">
        <v>43521</v>
      </c>
      <c r="C129" s="189" t="s">
        <v>7401</v>
      </c>
      <c r="D129" s="210" t="s">
        <v>37</v>
      </c>
      <c r="E129" s="173" t="s">
        <v>23</v>
      </c>
      <c r="F129" s="210">
        <v>865733026716746</v>
      </c>
      <c r="G129" s="189" t="s">
        <v>64</v>
      </c>
      <c r="H129" s="189"/>
      <c r="I129" s="210" t="s">
        <v>63</v>
      </c>
      <c r="M129" s="174" t="s">
        <v>7560</v>
      </c>
      <c r="N129" s="174" t="s">
        <v>3702</v>
      </c>
      <c r="O129" s="191" t="s">
        <v>7561</v>
      </c>
      <c r="P129" s="189"/>
      <c r="Q129" s="188">
        <v>43521</v>
      </c>
      <c r="R129" s="188">
        <v>43570</v>
      </c>
      <c r="S129" s="182"/>
      <c r="T129" s="182" t="s">
        <v>7519</v>
      </c>
      <c r="U129" s="189"/>
      <c r="V129" s="189"/>
      <c r="W129" s="189"/>
    </row>
    <row r="130" spans="1:23" hidden="1" outlineLevel="1">
      <c r="A130" s="1">
        <v>15</v>
      </c>
      <c r="B130" s="188">
        <v>43521</v>
      </c>
      <c r="C130" s="189" t="s">
        <v>7330</v>
      </c>
      <c r="D130" s="210" t="s">
        <v>37</v>
      </c>
      <c r="E130" s="173" t="s">
        <v>23</v>
      </c>
      <c r="F130" s="210">
        <v>2016000163146</v>
      </c>
      <c r="G130" s="189" t="s">
        <v>64</v>
      </c>
      <c r="H130" s="189"/>
      <c r="I130" s="210" t="s">
        <v>63</v>
      </c>
      <c r="M130" s="174" t="s">
        <v>7562</v>
      </c>
      <c r="N130" s="174" t="s">
        <v>7494</v>
      </c>
      <c r="O130" s="191" t="s">
        <v>72</v>
      </c>
      <c r="P130" s="189" t="s">
        <v>7563</v>
      </c>
      <c r="Q130" s="188">
        <v>43521</v>
      </c>
      <c r="R130" s="188">
        <v>43531</v>
      </c>
      <c r="S130" s="182"/>
      <c r="T130" s="182">
        <v>418</v>
      </c>
      <c r="U130" s="189"/>
      <c r="V130" s="189"/>
      <c r="W130" s="189"/>
    </row>
    <row r="131" spans="1:23" hidden="1" outlineLevel="1">
      <c r="A131" s="1">
        <v>16</v>
      </c>
      <c r="B131" s="188">
        <v>43521</v>
      </c>
      <c r="C131" s="189" t="s">
        <v>7564</v>
      </c>
      <c r="D131" s="210"/>
      <c r="E131" s="173" t="s">
        <v>23</v>
      </c>
      <c r="F131" s="210">
        <v>422441</v>
      </c>
      <c r="G131" s="189" t="s">
        <v>64</v>
      </c>
      <c r="H131" s="189"/>
      <c r="I131" s="210" t="s">
        <v>63</v>
      </c>
      <c r="M131" s="174" t="s">
        <v>7474</v>
      </c>
      <c r="N131" s="174" t="s">
        <v>7473</v>
      </c>
      <c r="O131" s="191" t="s">
        <v>7565</v>
      </c>
      <c r="P131" s="189" t="s">
        <v>7566</v>
      </c>
      <c r="Q131" s="188">
        <v>43521</v>
      </c>
      <c r="R131" s="188"/>
      <c r="S131" s="182"/>
      <c r="T131" s="182">
        <v>580</v>
      </c>
      <c r="U131" s="189"/>
      <c r="V131" s="189"/>
      <c r="W131" s="189"/>
    </row>
    <row r="132" spans="1:23" hidden="1" outlineLevel="1">
      <c r="A132" s="1">
        <v>17</v>
      </c>
      <c r="B132" s="188">
        <v>43522</v>
      </c>
      <c r="C132" s="189" t="s">
        <v>7450</v>
      </c>
      <c r="D132" s="210" t="s">
        <v>37</v>
      </c>
      <c r="E132" s="173" t="s">
        <v>23</v>
      </c>
      <c r="F132" s="210">
        <v>868183036114911</v>
      </c>
      <c r="G132" s="189" t="s">
        <v>64</v>
      </c>
      <c r="H132" s="189"/>
      <c r="I132" s="210" t="s">
        <v>63</v>
      </c>
      <c r="M132" s="174" t="s">
        <v>7568</v>
      </c>
      <c r="N132" s="174" t="s">
        <v>7567</v>
      </c>
      <c r="O132" s="191" t="s">
        <v>72</v>
      </c>
      <c r="P132" s="189"/>
      <c r="Q132" s="188">
        <v>43524</v>
      </c>
      <c r="R132" s="188">
        <v>43577</v>
      </c>
      <c r="S132" s="182"/>
      <c r="T132" s="182" t="s">
        <v>7569</v>
      </c>
      <c r="U132" s="189"/>
      <c r="V132" s="189"/>
      <c r="W132" s="189"/>
    </row>
    <row r="133" spans="1:23" hidden="1" outlineLevel="1">
      <c r="A133" s="1">
        <v>18</v>
      </c>
      <c r="B133" s="188">
        <v>43524</v>
      </c>
      <c r="C133" s="189" t="s">
        <v>7427</v>
      </c>
      <c r="D133" s="210" t="s">
        <v>37</v>
      </c>
      <c r="E133" s="173" t="s">
        <v>23</v>
      </c>
      <c r="F133" s="210">
        <v>868926035885224</v>
      </c>
      <c r="G133" s="189" t="s">
        <v>64</v>
      </c>
      <c r="H133" s="189"/>
      <c r="I133" s="210" t="s">
        <v>63</v>
      </c>
      <c r="M133" s="174" t="s">
        <v>7570</v>
      </c>
      <c r="N133" s="174" t="s">
        <v>3658</v>
      </c>
      <c r="O133" s="191" t="s">
        <v>7571</v>
      </c>
      <c r="P133" s="189" t="s">
        <v>7572</v>
      </c>
      <c r="Q133" s="188">
        <v>43528</v>
      </c>
      <c r="R133" s="188">
        <v>43578</v>
      </c>
      <c r="S133" s="182"/>
      <c r="T133" s="182">
        <v>418</v>
      </c>
      <c r="U133" s="189"/>
      <c r="V133" s="189"/>
      <c r="W133" s="189"/>
    </row>
    <row r="134" spans="1:23" hidden="1" outlineLevel="1">
      <c r="A134" s="1">
        <v>19</v>
      </c>
      <c r="B134" s="188">
        <v>43528</v>
      </c>
      <c r="C134" s="189" t="s">
        <v>7330</v>
      </c>
      <c r="D134" s="210"/>
      <c r="E134" s="173" t="s">
        <v>23</v>
      </c>
      <c r="F134" s="210">
        <v>2016000153397</v>
      </c>
      <c r="G134" s="189" t="s">
        <v>64</v>
      </c>
      <c r="H134" s="189"/>
      <c r="I134" s="210" t="s">
        <v>63</v>
      </c>
      <c r="M134" s="174" t="s">
        <v>7574</v>
      </c>
      <c r="N134" s="174" t="s">
        <v>7573</v>
      </c>
      <c r="O134" s="191" t="s">
        <v>7575</v>
      </c>
      <c r="P134" s="189" t="s">
        <v>7576</v>
      </c>
      <c r="Q134" s="188">
        <v>43529</v>
      </c>
      <c r="R134" s="188"/>
      <c r="S134" s="182"/>
      <c r="T134" s="182">
        <v>418</v>
      </c>
      <c r="U134" s="189"/>
      <c r="V134" s="189"/>
      <c r="W134" s="189"/>
    </row>
    <row r="135" spans="1:23" hidden="1" outlineLevel="1">
      <c r="A135" s="1">
        <v>20</v>
      </c>
      <c r="B135" s="188">
        <v>43528</v>
      </c>
      <c r="C135" s="189" t="s">
        <v>60</v>
      </c>
      <c r="D135" s="210" t="s">
        <v>37</v>
      </c>
      <c r="E135" s="173" t="s">
        <v>23</v>
      </c>
      <c r="F135" s="210">
        <v>16010218</v>
      </c>
      <c r="G135" s="189" t="s">
        <v>64</v>
      </c>
      <c r="H135" s="189"/>
      <c r="I135" s="210" t="s">
        <v>63</v>
      </c>
      <c r="M135" s="174" t="s">
        <v>7577</v>
      </c>
      <c r="N135" s="174" t="s">
        <v>3647</v>
      </c>
      <c r="O135" s="191" t="s">
        <v>7394</v>
      </c>
      <c r="P135" s="189"/>
      <c r="Q135" s="188">
        <v>43529</v>
      </c>
      <c r="R135" s="188">
        <v>43552</v>
      </c>
      <c r="S135" s="182" t="s">
        <v>7190</v>
      </c>
      <c r="T135" s="182"/>
      <c r="U135" s="189"/>
      <c r="V135" s="189"/>
      <c r="W135" s="189"/>
    </row>
    <row r="136" spans="1:23" hidden="1" outlineLevel="1">
      <c r="A136" s="1">
        <v>21</v>
      </c>
      <c r="B136" s="188">
        <v>43530</v>
      </c>
      <c r="C136" s="189" t="s">
        <v>7330</v>
      </c>
      <c r="D136" s="210" t="s">
        <v>37</v>
      </c>
      <c r="E136" s="173" t="s">
        <v>23</v>
      </c>
      <c r="F136" s="210">
        <v>203100052219</v>
      </c>
      <c r="G136" s="189" t="s">
        <v>64</v>
      </c>
      <c r="H136" s="189"/>
      <c r="I136" s="210" t="s">
        <v>63</v>
      </c>
      <c r="M136" s="174" t="s">
        <v>7578</v>
      </c>
      <c r="N136" s="174" t="s">
        <v>7549</v>
      </c>
      <c r="O136" s="191" t="s">
        <v>7397</v>
      </c>
      <c r="P136" s="189" t="s">
        <v>7579</v>
      </c>
      <c r="Q136" s="188">
        <v>43535</v>
      </c>
      <c r="R136" s="188">
        <v>43544</v>
      </c>
      <c r="S136" s="182"/>
      <c r="T136" s="182">
        <v>418</v>
      </c>
      <c r="U136" s="189"/>
      <c r="V136" s="189"/>
      <c r="W136" s="189"/>
    </row>
    <row r="137" spans="1:23" hidden="1" outlineLevel="1">
      <c r="A137" s="1">
        <v>22</v>
      </c>
      <c r="B137" s="188">
        <v>43530</v>
      </c>
      <c r="C137" s="189" t="s">
        <v>7580</v>
      </c>
      <c r="D137" s="210"/>
      <c r="E137" s="173" t="s">
        <v>23</v>
      </c>
      <c r="F137" s="210">
        <v>356495040673404</v>
      </c>
      <c r="G137" s="189" t="s">
        <v>64</v>
      </c>
      <c r="H137" s="189"/>
      <c r="I137" s="210" t="s">
        <v>63</v>
      </c>
      <c r="M137" s="174" t="s">
        <v>7582</v>
      </c>
      <c r="N137" s="174" t="s">
        <v>7581</v>
      </c>
      <c r="O137" s="191" t="s">
        <v>7583</v>
      </c>
      <c r="P137" s="189" t="s">
        <v>7584</v>
      </c>
      <c r="Q137" s="188">
        <v>43536</v>
      </c>
      <c r="R137" s="188">
        <v>43552</v>
      </c>
      <c r="S137" s="182"/>
      <c r="T137" s="182"/>
      <c r="U137" s="189"/>
      <c r="V137" s="189"/>
      <c r="W137" s="189"/>
    </row>
    <row r="138" spans="1:23" hidden="1" outlineLevel="1">
      <c r="A138" s="1">
        <v>23</v>
      </c>
      <c r="B138" s="188">
        <v>43531</v>
      </c>
      <c r="C138" s="189" t="s">
        <v>7427</v>
      </c>
      <c r="D138" s="210" t="s">
        <v>37</v>
      </c>
      <c r="E138" s="173" t="s">
        <v>23</v>
      </c>
      <c r="F138" s="210">
        <v>866192039824584</v>
      </c>
      <c r="G138" s="189" t="s">
        <v>64</v>
      </c>
      <c r="H138" s="189"/>
      <c r="I138" s="210" t="s">
        <v>63</v>
      </c>
      <c r="M138" s="174" t="s">
        <v>7586</v>
      </c>
      <c r="N138" s="174" t="s">
        <v>7585</v>
      </c>
      <c r="O138" s="191" t="s">
        <v>7587</v>
      </c>
      <c r="P138" s="189"/>
      <c r="Q138" s="188">
        <v>43535</v>
      </c>
      <c r="R138" s="188">
        <v>43578</v>
      </c>
      <c r="S138" s="182"/>
      <c r="T138" s="182">
        <v>418</v>
      </c>
      <c r="U138" s="189"/>
      <c r="V138" s="189"/>
      <c r="W138" s="189"/>
    </row>
    <row r="139" spans="1:23" hidden="1" outlineLevel="1">
      <c r="A139" s="1">
        <v>24</v>
      </c>
      <c r="B139" s="188">
        <v>43539</v>
      </c>
      <c r="C139" s="189" t="s">
        <v>60</v>
      </c>
      <c r="D139" s="210" t="s">
        <v>37</v>
      </c>
      <c r="E139" s="173" t="s">
        <v>23</v>
      </c>
      <c r="F139" s="210">
        <v>18120460</v>
      </c>
      <c r="G139" s="189" t="s">
        <v>64</v>
      </c>
      <c r="H139" s="189"/>
      <c r="I139" s="210" t="s">
        <v>63</v>
      </c>
      <c r="M139" s="174"/>
      <c r="N139" s="174" t="s">
        <v>7410</v>
      </c>
      <c r="O139" s="191" t="s">
        <v>7588</v>
      </c>
      <c r="P139" s="189"/>
      <c r="Q139" s="188">
        <v>43539</v>
      </c>
      <c r="R139" s="188">
        <v>43552</v>
      </c>
      <c r="S139" s="182" t="s">
        <v>7190</v>
      </c>
      <c r="T139" s="182"/>
      <c r="U139" s="189"/>
      <c r="V139" s="189"/>
      <c r="W139" s="189"/>
    </row>
    <row r="140" spans="1:23" ht="25.5" hidden="1" outlineLevel="1">
      <c r="A140" s="1">
        <v>25</v>
      </c>
      <c r="B140" s="188">
        <v>43546</v>
      </c>
      <c r="C140" s="189" t="s">
        <v>7589</v>
      </c>
      <c r="D140" s="210" t="s">
        <v>37</v>
      </c>
      <c r="E140" s="173" t="s">
        <v>23</v>
      </c>
      <c r="F140" s="210">
        <v>867717030387485</v>
      </c>
      <c r="G140" s="189" t="s">
        <v>64</v>
      </c>
      <c r="H140" s="189"/>
      <c r="I140" s="210" t="s">
        <v>63</v>
      </c>
      <c r="M140" s="174" t="s">
        <v>7591</v>
      </c>
      <c r="N140" s="174" t="s">
        <v>7590</v>
      </c>
      <c r="O140" s="191" t="s">
        <v>7592</v>
      </c>
      <c r="P140" s="189" t="s">
        <v>7593</v>
      </c>
      <c r="Q140" s="188">
        <v>43546</v>
      </c>
      <c r="R140" s="188">
        <v>43578</v>
      </c>
      <c r="S140" s="182"/>
      <c r="T140" s="182">
        <v>418</v>
      </c>
      <c r="U140" s="189"/>
      <c r="V140" s="189"/>
      <c r="W140" s="189"/>
    </row>
    <row r="141" spans="1:23" hidden="1" outlineLevel="1">
      <c r="A141" s="1">
        <v>26</v>
      </c>
      <c r="B141" s="188">
        <v>43546</v>
      </c>
      <c r="C141" s="189" t="s">
        <v>7401</v>
      </c>
      <c r="D141" s="210" t="s">
        <v>37</v>
      </c>
      <c r="E141" s="173" t="s">
        <v>23</v>
      </c>
      <c r="F141" s="210">
        <v>865733027524248</v>
      </c>
      <c r="G141" s="189" t="s">
        <v>64</v>
      </c>
      <c r="H141" s="189"/>
      <c r="I141" s="210" t="s">
        <v>63</v>
      </c>
      <c r="M141" s="174" t="s">
        <v>7594</v>
      </c>
      <c r="N141" s="174" t="s">
        <v>3702</v>
      </c>
      <c r="O141" s="191" t="s">
        <v>89</v>
      </c>
      <c r="P141" s="189"/>
      <c r="Q141" s="188">
        <v>43546</v>
      </c>
      <c r="R141" s="188">
        <v>43570</v>
      </c>
      <c r="S141" s="182"/>
      <c r="T141" s="182" t="s">
        <v>7519</v>
      </c>
      <c r="U141" s="189"/>
      <c r="V141" s="189"/>
      <c r="W141" s="189"/>
    </row>
    <row r="142" spans="1:23" hidden="1" outlineLevel="1">
      <c r="A142" s="1">
        <v>27</v>
      </c>
      <c r="B142" s="188">
        <v>43546</v>
      </c>
      <c r="C142" s="189" t="s">
        <v>7401</v>
      </c>
      <c r="D142" s="210" t="s">
        <v>37</v>
      </c>
      <c r="E142" s="173" t="s">
        <v>23</v>
      </c>
      <c r="F142" s="210">
        <v>865733027410877</v>
      </c>
      <c r="G142" s="189" t="s">
        <v>64</v>
      </c>
      <c r="H142" s="189"/>
      <c r="I142" s="210" t="s">
        <v>63</v>
      </c>
      <c r="M142" s="174" t="s">
        <v>7560</v>
      </c>
      <c r="N142" s="174" t="s">
        <v>3702</v>
      </c>
      <c r="O142" s="191" t="s">
        <v>89</v>
      </c>
      <c r="P142" s="189"/>
      <c r="Q142" s="188">
        <v>43546</v>
      </c>
      <c r="R142" s="188">
        <v>43570</v>
      </c>
      <c r="S142" s="182"/>
      <c r="T142" s="182" t="s">
        <v>7519</v>
      </c>
      <c r="U142" s="189"/>
      <c r="V142" s="189"/>
      <c r="W142" s="189"/>
    </row>
    <row r="143" spans="1:23" hidden="1" outlineLevel="1">
      <c r="A143" s="1">
        <v>28</v>
      </c>
      <c r="B143" s="188">
        <v>43549</v>
      </c>
      <c r="C143" s="189" t="s">
        <v>7338</v>
      </c>
      <c r="D143" s="210" t="s">
        <v>37</v>
      </c>
      <c r="E143" s="173" t="s">
        <v>23</v>
      </c>
      <c r="F143" s="210">
        <v>18061541</v>
      </c>
      <c r="G143" s="189" t="s">
        <v>64</v>
      </c>
      <c r="H143" s="189"/>
      <c r="I143" s="210" t="s">
        <v>63</v>
      </c>
      <c r="M143" s="174" t="s">
        <v>7596</v>
      </c>
      <c r="N143" s="174" t="s">
        <v>7595</v>
      </c>
      <c r="O143" s="191" t="s">
        <v>72</v>
      </c>
      <c r="P143" s="189"/>
      <c r="Q143" s="188">
        <v>43550</v>
      </c>
      <c r="R143" s="188">
        <v>43572</v>
      </c>
      <c r="S143" s="182" t="s">
        <v>7190</v>
      </c>
      <c r="T143" s="182"/>
      <c r="U143" s="189"/>
      <c r="V143" s="189"/>
      <c r="W143" s="189"/>
    </row>
    <row r="144" spans="1:23" ht="25.5" hidden="1" outlineLevel="1">
      <c r="A144" s="1">
        <v>29</v>
      </c>
      <c r="B144" s="188">
        <v>43551</v>
      </c>
      <c r="C144" s="189" t="s">
        <v>7597</v>
      </c>
      <c r="D144" s="210" t="s">
        <v>37</v>
      </c>
      <c r="E144" s="173" t="s">
        <v>23</v>
      </c>
      <c r="F144" s="210">
        <v>141</v>
      </c>
      <c r="G144" s="189" t="s">
        <v>64</v>
      </c>
      <c r="H144" s="189"/>
      <c r="I144" s="210" t="s">
        <v>63</v>
      </c>
      <c r="M144" s="174" t="s">
        <v>7599</v>
      </c>
      <c r="N144" s="174" t="s">
        <v>7598</v>
      </c>
      <c r="O144" s="191" t="s">
        <v>7600</v>
      </c>
      <c r="P144" s="189"/>
      <c r="Q144" s="188">
        <v>43551</v>
      </c>
      <c r="R144" s="188">
        <v>43577</v>
      </c>
      <c r="S144" s="182" t="s">
        <v>7190</v>
      </c>
      <c r="T144" s="182"/>
      <c r="U144" s="189"/>
      <c r="V144" s="189"/>
      <c r="W144" s="189"/>
    </row>
    <row r="145" spans="1:23" hidden="1" outlineLevel="1">
      <c r="A145" s="1">
        <v>30</v>
      </c>
      <c r="B145" s="188">
        <v>43567</v>
      </c>
      <c r="C145" s="189" t="s">
        <v>7435</v>
      </c>
      <c r="D145" s="210" t="s">
        <v>38</v>
      </c>
      <c r="E145" s="173" t="s">
        <v>23</v>
      </c>
      <c r="F145" s="210">
        <v>868728033270932</v>
      </c>
      <c r="G145" s="189" t="s">
        <v>64</v>
      </c>
      <c r="H145" s="189"/>
      <c r="I145" s="210" t="s">
        <v>63</v>
      </c>
      <c r="M145" s="174"/>
      <c r="N145" s="174" t="s">
        <v>7410</v>
      </c>
      <c r="O145" s="191" t="s">
        <v>7601</v>
      </c>
      <c r="P145" s="189"/>
      <c r="Q145" s="188">
        <v>43570</v>
      </c>
      <c r="R145" s="188">
        <v>43607</v>
      </c>
      <c r="S145" s="182">
        <v>541</v>
      </c>
      <c r="T145" s="182" t="s">
        <v>7602</v>
      </c>
      <c r="U145" s="189"/>
      <c r="V145" s="189"/>
      <c r="W145" s="189"/>
    </row>
    <row r="146" spans="1:23" hidden="1" outlineLevel="1">
      <c r="A146" s="1">
        <v>31</v>
      </c>
      <c r="B146" s="188">
        <v>43578</v>
      </c>
      <c r="C146" s="189" t="s">
        <v>7603</v>
      </c>
      <c r="D146" s="210" t="s">
        <v>38</v>
      </c>
      <c r="E146" s="173" t="s">
        <v>23</v>
      </c>
      <c r="F146" s="210">
        <v>868204009462705</v>
      </c>
      <c r="G146" s="189" t="s">
        <v>64</v>
      </c>
      <c r="H146" s="189"/>
      <c r="I146" s="210" t="s">
        <v>63</v>
      </c>
      <c r="M146" s="174" t="s">
        <v>7604</v>
      </c>
      <c r="N146" s="174" t="s">
        <v>3708</v>
      </c>
      <c r="O146" s="191" t="s">
        <v>7605</v>
      </c>
      <c r="P146" s="189"/>
      <c r="Q146" s="188">
        <v>25.04</v>
      </c>
      <c r="R146" s="188">
        <v>43612</v>
      </c>
      <c r="S146" s="182">
        <v>615</v>
      </c>
      <c r="T146" s="182" t="s">
        <v>7602</v>
      </c>
      <c r="U146" s="189"/>
      <c r="V146" s="189"/>
      <c r="W146" s="189"/>
    </row>
    <row r="147" spans="1:23" hidden="1" outlineLevel="1">
      <c r="A147" s="1">
        <v>32</v>
      </c>
      <c r="B147" s="188">
        <v>43579</v>
      </c>
      <c r="C147" s="189" t="s">
        <v>154</v>
      </c>
      <c r="D147" s="210" t="s">
        <v>38</v>
      </c>
      <c r="E147" s="173" t="s">
        <v>23</v>
      </c>
      <c r="F147" s="210">
        <v>865733023829922</v>
      </c>
      <c r="G147" s="189" t="s">
        <v>64</v>
      </c>
      <c r="H147" s="189"/>
      <c r="I147" s="210" t="s">
        <v>63</v>
      </c>
      <c r="M147" s="174" t="s">
        <v>7606</v>
      </c>
      <c r="N147" s="174" t="s">
        <v>3960</v>
      </c>
      <c r="O147" s="191" t="s">
        <v>89</v>
      </c>
      <c r="P147" s="189"/>
      <c r="Q147" s="188">
        <v>25.04</v>
      </c>
      <c r="R147" s="188">
        <v>43612</v>
      </c>
      <c r="S147" s="182">
        <v>360</v>
      </c>
      <c r="T147" s="182" t="s">
        <v>7602</v>
      </c>
      <c r="U147" s="189"/>
      <c r="V147" s="189"/>
      <c r="W147" s="189"/>
    </row>
    <row r="148" spans="1:23" hidden="1" outlineLevel="1">
      <c r="A148" s="1">
        <v>33</v>
      </c>
      <c r="B148" s="188">
        <v>43591</v>
      </c>
      <c r="C148" s="189" t="s">
        <v>7330</v>
      </c>
      <c r="D148" s="210" t="s">
        <v>38</v>
      </c>
      <c r="E148" s="173" t="s">
        <v>23</v>
      </c>
      <c r="F148" s="210">
        <v>203100062589</v>
      </c>
      <c r="G148" s="189" t="s">
        <v>64</v>
      </c>
      <c r="H148" s="189"/>
      <c r="I148" s="210" t="s">
        <v>63</v>
      </c>
      <c r="M148" s="174" t="s">
        <v>7607</v>
      </c>
      <c r="N148" s="174" t="s">
        <v>3669</v>
      </c>
      <c r="O148" s="191" t="s">
        <v>7608</v>
      </c>
      <c r="P148" s="189"/>
      <c r="Q148" s="188">
        <v>43591</v>
      </c>
      <c r="R148" s="188"/>
      <c r="S148" s="182"/>
      <c r="T148" s="182">
        <v>418</v>
      </c>
      <c r="U148" s="189"/>
      <c r="V148" s="189"/>
      <c r="W148" s="189"/>
    </row>
    <row r="149" spans="1:23" ht="25.5" hidden="1" outlineLevel="1">
      <c r="A149" s="1">
        <v>34</v>
      </c>
      <c r="B149" s="188">
        <v>43591</v>
      </c>
      <c r="C149" s="189" t="s">
        <v>7609</v>
      </c>
      <c r="D149" s="210" t="s">
        <v>37</v>
      </c>
      <c r="E149" s="173" t="s">
        <v>23</v>
      </c>
      <c r="F149" s="210"/>
      <c r="G149" s="189" t="s">
        <v>64</v>
      </c>
      <c r="H149" s="189"/>
      <c r="I149" s="210" t="s">
        <v>63</v>
      </c>
      <c r="M149" s="174" t="s">
        <v>7611</v>
      </c>
      <c r="N149" s="174" t="s">
        <v>7610</v>
      </c>
      <c r="O149" s="191" t="s">
        <v>7612</v>
      </c>
      <c r="P149" s="189"/>
      <c r="Q149" s="188">
        <v>43593</v>
      </c>
      <c r="R149" s="188">
        <v>43606</v>
      </c>
      <c r="S149" s="182"/>
      <c r="T149" s="182">
        <v>418</v>
      </c>
      <c r="U149" s="189"/>
      <c r="V149" s="189"/>
      <c r="W149" s="189"/>
    </row>
    <row r="150" spans="1:23" hidden="1" outlineLevel="1">
      <c r="A150" s="1">
        <v>35</v>
      </c>
      <c r="B150" s="188">
        <v>43592</v>
      </c>
      <c r="C150" s="189" t="s">
        <v>7435</v>
      </c>
      <c r="D150" s="210" t="s">
        <v>38</v>
      </c>
      <c r="E150" s="173" t="s">
        <v>23</v>
      </c>
      <c r="F150" s="210">
        <v>868204003924247</v>
      </c>
      <c r="G150" s="189" t="s">
        <v>64</v>
      </c>
      <c r="H150" s="189"/>
      <c r="I150" s="210" t="s">
        <v>63</v>
      </c>
      <c r="M150" s="174" t="s">
        <v>7614</v>
      </c>
      <c r="N150" s="174" t="s">
        <v>7613</v>
      </c>
      <c r="O150" s="191" t="s">
        <v>89</v>
      </c>
      <c r="P150" s="189"/>
      <c r="Q150" s="188">
        <v>43593</v>
      </c>
      <c r="R150" s="188">
        <v>43620</v>
      </c>
      <c r="S150" s="182">
        <v>615</v>
      </c>
      <c r="T150" s="182" t="s">
        <v>7602</v>
      </c>
      <c r="U150" s="189"/>
      <c r="V150" s="189"/>
      <c r="W150" s="189"/>
    </row>
    <row r="151" spans="1:23" ht="25.5" hidden="1" outlineLevel="1">
      <c r="A151" s="1">
        <v>36</v>
      </c>
      <c r="B151" s="188">
        <v>43592</v>
      </c>
      <c r="C151" s="189" t="s">
        <v>7609</v>
      </c>
      <c r="D151" s="210" t="s">
        <v>37</v>
      </c>
      <c r="E151" s="173" t="s">
        <v>23</v>
      </c>
      <c r="F151" s="210"/>
      <c r="G151" s="189" t="s">
        <v>64</v>
      </c>
      <c r="H151" s="189"/>
      <c r="I151" s="210" t="s">
        <v>63</v>
      </c>
      <c r="M151" s="174" t="s">
        <v>7615</v>
      </c>
      <c r="N151" s="174" t="s">
        <v>3624</v>
      </c>
      <c r="O151" s="191" t="s">
        <v>7612</v>
      </c>
      <c r="P151" s="189"/>
      <c r="Q151" s="188">
        <v>43593</v>
      </c>
      <c r="R151" s="188">
        <v>43606</v>
      </c>
      <c r="S151" s="182"/>
      <c r="T151" s="182">
        <v>418</v>
      </c>
      <c r="U151" s="189"/>
      <c r="V151" s="189"/>
      <c r="W151" s="189"/>
    </row>
    <row r="152" spans="1:23" ht="25.5" hidden="1" outlineLevel="1">
      <c r="A152" s="1">
        <v>37</v>
      </c>
      <c r="B152" s="188">
        <v>43593</v>
      </c>
      <c r="C152" s="189" t="s">
        <v>7609</v>
      </c>
      <c r="D152" s="210" t="s">
        <v>37</v>
      </c>
      <c r="E152" s="173" t="s">
        <v>23</v>
      </c>
      <c r="F152" s="210"/>
      <c r="G152" s="189" t="s">
        <v>64</v>
      </c>
      <c r="H152" s="189"/>
      <c r="I152" s="210" t="s">
        <v>63</v>
      </c>
      <c r="M152" s="174" t="s">
        <v>7616</v>
      </c>
      <c r="N152" s="174" t="s">
        <v>3658</v>
      </c>
      <c r="O152" s="191" t="s">
        <v>7612</v>
      </c>
      <c r="P152" s="189"/>
      <c r="Q152" s="188">
        <v>43593</v>
      </c>
      <c r="R152" s="188">
        <v>43606</v>
      </c>
      <c r="S152" s="182"/>
      <c r="T152" s="182">
        <v>418</v>
      </c>
      <c r="U152" s="189"/>
      <c r="V152" s="189"/>
      <c r="W152" s="189"/>
    </row>
    <row r="153" spans="1:23" hidden="1" outlineLevel="1">
      <c r="A153" s="1">
        <v>38</v>
      </c>
      <c r="B153" s="188">
        <v>43593</v>
      </c>
      <c r="C153" s="189" t="s">
        <v>60</v>
      </c>
      <c r="D153" s="210" t="s">
        <v>37</v>
      </c>
      <c r="E153" s="173" t="s">
        <v>23</v>
      </c>
      <c r="F153" s="210">
        <v>16070201</v>
      </c>
      <c r="G153" s="189" t="s">
        <v>64</v>
      </c>
      <c r="H153" s="189"/>
      <c r="I153" s="210" t="s">
        <v>63</v>
      </c>
      <c r="M153" s="174" t="s">
        <v>7616</v>
      </c>
      <c r="N153" s="174" t="s">
        <v>3658</v>
      </c>
      <c r="O153" s="191" t="s">
        <v>7617</v>
      </c>
      <c r="P153" s="189"/>
      <c r="Q153" s="188">
        <v>43598</v>
      </c>
      <c r="R153" s="188">
        <v>43607</v>
      </c>
      <c r="S153" s="182"/>
      <c r="T153" s="182"/>
      <c r="U153" s="189"/>
      <c r="V153" s="189"/>
      <c r="W153" s="189"/>
    </row>
    <row r="154" spans="1:23" hidden="1" outlineLevel="1">
      <c r="A154" s="1">
        <v>39</v>
      </c>
      <c r="B154" s="188" t="s">
        <v>7618</v>
      </c>
      <c r="C154" s="189" t="s">
        <v>7342</v>
      </c>
      <c r="D154" s="210" t="s">
        <v>38</v>
      </c>
      <c r="E154" s="173" t="s">
        <v>23</v>
      </c>
      <c r="F154" s="210">
        <v>55005</v>
      </c>
      <c r="G154" s="189" t="s">
        <v>64</v>
      </c>
      <c r="H154" s="189"/>
      <c r="I154" s="210" t="s">
        <v>63</v>
      </c>
      <c r="M154" s="174" t="s">
        <v>7620</v>
      </c>
      <c r="N154" s="174" t="s">
        <v>7619</v>
      </c>
      <c r="O154" s="191" t="s">
        <v>7621</v>
      </c>
      <c r="P154" s="189" t="s">
        <v>173</v>
      </c>
      <c r="Q154" s="188">
        <v>43598</v>
      </c>
      <c r="R154" s="188"/>
      <c r="S154" s="182"/>
      <c r="T154" s="182">
        <v>418</v>
      </c>
      <c r="U154" s="189"/>
      <c r="V154" s="189"/>
      <c r="W154" s="189"/>
    </row>
    <row r="155" spans="1:23" hidden="1" outlineLevel="1">
      <c r="A155" s="1">
        <v>40</v>
      </c>
      <c r="B155" s="188">
        <v>43598</v>
      </c>
      <c r="C155" s="189" t="s">
        <v>60</v>
      </c>
      <c r="D155" s="210" t="s">
        <v>37</v>
      </c>
      <c r="E155" s="173" t="s">
        <v>23</v>
      </c>
      <c r="F155" s="210">
        <v>17071576</v>
      </c>
      <c r="G155" s="189" t="s">
        <v>64</v>
      </c>
      <c r="H155" s="189"/>
      <c r="I155" s="210" t="s">
        <v>63</v>
      </c>
      <c r="M155" s="174" t="s">
        <v>7623</v>
      </c>
      <c r="N155" s="174" t="s">
        <v>7622</v>
      </c>
      <c r="O155" s="191" t="s">
        <v>7617</v>
      </c>
      <c r="P155" s="189"/>
      <c r="Q155" s="188">
        <v>43599</v>
      </c>
      <c r="R155" s="188">
        <v>43619</v>
      </c>
      <c r="S155" s="182"/>
      <c r="T155" s="182"/>
      <c r="U155" s="189"/>
      <c r="V155" s="189"/>
      <c r="W155" s="189"/>
    </row>
    <row r="156" spans="1:23" hidden="1" outlineLevel="1">
      <c r="A156" s="1">
        <v>41</v>
      </c>
      <c r="B156" s="188">
        <v>43600</v>
      </c>
      <c r="C156" s="189" t="s">
        <v>60</v>
      </c>
      <c r="D156" s="210" t="s">
        <v>37</v>
      </c>
      <c r="E156" s="173" t="s">
        <v>23</v>
      </c>
      <c r="F156" s="210">
        <v>17110512</v>
      </c>
      <c r="G156" s="189" t="s">
        <v>64</v>
      </c>
      <c r="H156" s="189"/>
      <c r="I156" s="210" t="s">
        <v>63</v>
      </c>
      <c r="M156" s="174" t="s">
        <v>7624</v>
      </c>
      <c r="N156" s="174" t="s">
        <v>3893</v>
      </c>
      <c r="O156" s="191" t="s">
        <v>7617</v>
      </c>
      <c r="P156" s="189"/>
      <c r="Q156" s="188">
        <v>43600</v>
      </c>
      <c r="R156" s="188">
        <v>43607</v>
      </c>
      <c r="S156" s="182"/>
      <c r="T156" s="182"/>
      <c r="U156" s="189"/>
      <c r="V156" s="189"/>
      <c r="W156" s="189"/>
    </row>
    <row r="157" spans="1:23" hidden="1" outlineLevel="1">
      <c r="A157" s="1">
        <v>42</v>
      </c>
      <c r="B157" s="188">
        <v>43607</v>
      </c>
      <c r="C157" s="189" t="s">
        <v>60</v>
      </c>
      <c r="D157" s="210"/>
      <c r="E157" s="173" t="s">
        <v>23</v>
      </c>
      <c r="F157" s="210">
        <v>17120630</v>
      </c>
      <c r="G157" s="189" t="s">
        <v>64</v>
      </c>
      <c r="H157" s="189"/>
      <c r="I157" s="210" t="s">
        <v>63</v>
      </c>
      <c r="M157" s="174" t="s">
        <v>7625</v>
      </c>
      <c r="N157" s="174" t="s">
        <v>7535</v>
      </c>
      <c r="O157" s="191" t="s">
        <v>7617</v>
      </c>
      <c r="P157" s="189"/>
      <c r="Q157" s="188">
        <v>43607</v>
      </c>
      <c r="R157" s="188">
        <v>43619</v>
      </c>
      <c r="S157" s="182"/>
      <c r="T157" s="182"/>
      <c r="U157" s="189"/>
      <c r="V157" s="189"/>
      <c r="W157" s="189"/>
    </row>
    <row r="158" spans="1:23" hidden="1" outlineLevel="1">
      <c r="A158" s="1">
        <v>43</v>
      </c>
      <c r="B158" s="188">
        <v>43612</v>
      </c>
      <c r="C158" s="189" t="s">
        <v>91</v>
      </c>
      <c r="D158" s="210" t="s">
        <v>38</v>
      </c>
      <c r="E158" s="173" t="s">
        <v>23</v>
      </c>
      <c r="F158" s="210">
        <v>864287037378120</v>
      </c>
      <c r="G158" s="189" t="s">
        <v>64</v>
      </c>
      <c r="H158" s="189"/>
      <c r="I158" s="210" t="s">
        <v>63</v>
      </c>
      <c r="M158" s="174" t="s">
        <v>7627</v>
      </c>
      <c r="N158" s="174" t="s">
        <v>7626</v>
      </c>
      <c r="O158" s="191" t="s">
        <v>152</v>
      </c>
      <c r="P158" s="189" t="s">
        <v>7628</v>
      </c>
      <c r="Q158" s="188">
        <v>43612</v>
      </c>
      <c r="R158" s="188">
        <v>43623</v>
      </c>
      <c r="S158" s="182">
        <v>950</v>
      </c>
      <c r="T158" s="182" t="s">
        <v>7629</v>
      </c>
      <c r="U158" s="189"/>
      <c r="V158" s="189"/>
      <c r="W158" s="189"/>
    </row>
    <row r="159" spans="1:23" hidden="1" outlineLevel="1">
      <c r="A159" s="1">
        <v>44</v>
      </c>
      <c r="B159" s="188">
        <v>43612</v>
      </c>
      <c r="C159" s="189" t="s">
        <v>7630</v>
      </c>
      <c r="D159" s="210" t="s">
        <v>37</v>
      </c>
      <c r="E159" s="173" t="s">
        <v>23</v>
      </c>
      <c r="F159" s="210">
        <v>869158003156243</v>
      </c>
      <c r="G159" s="189" t="s">
        <v>64</v>
      </c>
      <c r="H159" s="189"/>
      <c r="I159" s="210" t="s">
        <v>63</v>
      </c>
      <c r="M159" s="174" t="s">
        <v>7631</v>
      </c>
      <c r="N159" s="174" t="s">
        <v>335</v>
      </c>
      <c r="O159" s="191" t="s">
        <v>89</v>
      </c>
      <c r="P159" s="189"/>
      <c r="Q159" s="188">
        <v>43612</v>
      </c>
      <c r="R159" s="188">
        <v>43649</v>
      </c>
      <c r="S159" s="182"/>
      <c r="T159" s="182">
        <v>485</v>
      </c>
      <c r="U159" s="189"/>
      <c r="V159" s="189"/>
      <c r="W159" s="189"/>
    </row>
    <row r="160" spans="1:23" hidden="1" outlineLevel="1">
      <c r="A160" s="1">
        <v>45</v>
      </c>
      <c r="B160" s="188">
        <v>43619</v>
      </c>
      <c r="C160" s="189" t="s">
        <v>91</v>
      </c>
      <c r="D160" s="210" t="s">
        <v>7636</v>
      </c>
      <c r="E160" s="173" t="s">
        <v>23</v>
      </c>
      <c r="F160" s="210">
        <v>89752</v>
      </c>
      <c r="G160" s="189" t="s">
        <v>64</v>
      </c>
      <c r="H160" s="189"/>
      <c r="I160" s="210" t="s">
        <v>63</v>
      </c>
      <c r="M160" s="174" t="s">
        <v>7633</v>
      </c>
      <c r="N160" s="174" t="s">
        <v>7632</v>
      </c>
      <c r="O160" s="191" t="s">
        <v>7431</v>
      </c>
      <c r="P160" s="189" t="s">
        <v>7634</v>
      </c>
      <c r="Q160" s="188">
        <v>43621</v>
      </c>
      <c r="R160" s="188">
        <v>43642</v>
      </c>
      <c r="S160" s="182">
        <v>600</v>
      </c>
      <c r="T160" s="182" t="s">
        <v>7635</v>
      </c>
      <c r="U160" s="189"/>
      <c r="V160" s="189"/>
      <c r="W160" s="189"/>
    </row>
    <row r="161" spans="1:23" hidden="1" outlineLevel="1">
      <c r="A161" s="1">
        <v>46</v>
      </c>
      <c r="B161" s="188">
        <v>43635</v>
      </c>
      <c r="C161" s="189" t="s">
        <v>7637</v>
      </c>
      <c r="D161" s="210" t="s">
        <v>38</v>
      </c>
      <c r="E161" s="173" t="s">
        <v>23</v>
      </c>
      <c r="F161" s="210">
        <v>865733022345359</v>
      </c>
      <c r="G161" s="189" t="s">
        <v>64</v>
      </c>
      <c r="H161" s="189"/>
      <c r="I161" s="210" t="s">
        <v>63</v>
      </c>
      <c r="M161" s="174"/>
      <c r="N161" s="174" t="s">
        <v>7638</v>
      </c>
      <c r="O161" s="191" t="s">
        <v>7639</v>
      </c>
      <c r="P161" s="189" t="s">
        <v>90</v>
      </c>
      <c r="Q161" s="188">
        <v>43658</v>
      </c>
      <c r="R161" s="188">
        <v>43738</v>
      </c>
      <c r="S161" s="182">
        <v>360</v>
      </c>
      <c r="T161" s="182"/>
      <c r="U161" s="189"/>
      <c r="V161" s="189"/>
      <c r="W161" s="189"/>
    </row>
    <row r="162" spans="1:23" ht="38.25" hidden="1" outlineLevel="1">
      <c r="A162" s="1">
        <v>47</v>
      </c>
      <c r="B162" s="188">
        <v>43641</v>
      </c>
      <c r="C162" s="189" t="s">
        <v>91</v>
      </c>
      <c r="D162" s="210" t="s">
        <v>37</v>
      </c>
      <c r="E162" s="173" t="s">
        <v>23</v>
      </c>
      <c r="F162" s="210">
        <v>868345039585054</v>
      </c>
      <c r="G162" s="189" t="s">
        <v>64</v>
      </c>
      <c r="H162" s="189"/>
      <c r="I162" s="210" t="s">
        <v>63</v>
      </c>
      <c r="M162" s="174" t="s">
        <v>7640</v>
      </c>
      <c r="N162" s="174" t="s">
        <v>3762</v>
      </c>
      <c r="O162" s="191" t="s">
        <v>7431</v>
      </c>
      <c r="P162" s="189" t="s">
        <v>7641</v>
      </c>
      <c r="Q162" s="188">
        <v>43642</v>
      </c>
      <c r="R162" s="188">
        <v>43668</v>
      </c>
      <c r="S162" s="182"/>
      <c r="T162" s="182" t="s">
        <v>7642</v>
      </c>
      <c r="U162" s="189"/>
      <c r="V162" s="189" t="s">
        <v>7643</v>
      </c>
      <c r="W162" s="189"/>
    </row>
    <row r="163" spans="1:23" ht="25.5" hidden="1" outlineLevel="1">
      <c r="A163" s="1">
        <v>48</v>
      </c>
      <c r="B163" s="188">
        <v>43650</v>
      </c>
      <c r="C163" s="189" t="s">
        <v>7644</v>
      </c>
      <c r="D163" s="210"/>
      <c r="E163" s="173" t="s">
        <v>23</v>
      </c>
      <c r="F163" s="210">
        <v>506717</v>
      </c>
      <c r="G163" s="189" t="s">
        <v>64</v>
      </c>
      <c r="H163" s="189"/>
      <c r="I163" s="210" t="s">
        <v>63</v>
      </c>
      <c r="M163" s="174" t="s">
        <v>7646</v>
      </c>
      <c r="N163" s="174" t="s">
        <v>7645</v>
      </c>
      <c r="O163" s="191" t="s">
        <v>7647</v>
      </c>
      <c r="P163" s="189" t="s">
        <v>7648</v>
      </c>
      <c r="Q163" s="188">
        <v>43651</v>
      </c>
      <c r="R163" s="188"/>
      <c r="S163" s="182"/>
      <c r="T163" s="182"/>
      <c r="U163" s="189"/>
      <c r="V163" s="189"/>
      <c r="W163" s="189"/>
    </row>
    <row r="164" spans="1:23" ht="25.5" hidden="1" outlineLevel="1">
      <c r="A164" s="1">
        <v>49</v>
      </c>
      <c r="B164" s="188">
        <v>43650</v>
      </c>
      <c r="C164" s="189" t="s">
        <v>7364</v>
      </c>
      <c r="D164" s="210" t="s">
        <v>38</v>
      </c>
      <c r="E164" s="173" t="s">
        <v>23</v>
      </c>
      <c r="F164" s="210">
        <v>356895039844603</v>
      </c>
      <c r="G164" s="189" t="s">
        <v>64</v>
      </c>
      <c r="H164" s="189"/>
      <c r="I164" s="210" t="s">
        <v>63</v>
      </c>
      <c r="M164" s="174" t="s">
        <v>7649</v>
      </c>
      <c r="N164" s="174" t="s">
        <v>3649</v>
      </c>
      <c r="O164" s="191" t="s">
        <v>7647</v>
      </c>
      <c r="P164" s="189"/>
      <c r="Q164" s="188">
        <v>43651</v>
      </c>
      <c r="R164" s="188">
        <v>43693</v>
      </c>
      <c r="S164" s="182">
        <v>705</v>
      </c>
      <c r="T164" s="182" t="s">
        <v>7650</v>
      </c>
      <c r="U164" s="189"/>
      <c r="V164" s="189" t="s">
        <v>7651</v>
      </c>
      <c r="W164" s="189"/>
    </row>
    <row r="165" spans="1:23" hidden="1" outlineLevel="1">
      <c r="A165" s="1">
        <v>50</v>
      </c>
      <c r="B165" s="188">
        <v>43651</v>
      </c>
      <c r="C165" s="189" t="s">
        <v>7435</v>
      </c>
      <c r="D165" s="210" t="s">
        <v>38</v>
      </c>
      <c r="E165" s="173" t="s">
        <v>23</v>
      </c>
      <c r="F165" s="210">
        <v>358173050317364</v>
      </c>
      <c r="G165" s="189" t="s">
        <v>64</v>
      </c>
      <c r="H165" s="189"/>
      <c r="I165" s="210" t="s">
        <v>63</v>
      </c>
      <c r="M165" s="174" t="s">
        <v>7653</v>
      </c>
      <c r="N165" s="174" t="s">
        <v>7652</v>
      </c>
      <c r="O165" s="191" t="s">
        <v>7647</v>
      </c>
      <c r="P165" s="189"/>
      <c r="Q165" s="188">
        <v>43651</v>
      </c>
      <c r="R165" s="188">
        <v>43693</v>
      </c>
      <c r="S165" s="182">
        <v>405</v>
      </c>
      <c r="T165" s="182" t="s">
        <v>7650</v>
      </c>
      <c r="U165" s="189"/>
      <c r="V165" s="189"/>
      <c r="W165" s="189"/>
    </row>
    <row r="166" spans="1:23" hidden="1" outlineLevel="1">
      <c r="A166" s="1">
        <v>51</v>
      </c>
      <c r="B166" s="188">
        <v>43654</v>
      </c>
      <c r="C166" s="189" t="s">
        <v>7654</v>
      </c>
      <c r="D166" s="210"/>
      <c r="E166" s="173" t="s">
        <v>23</v>
      </c>
      <c r="F166" s="210">
        <v>356495042193146</v>
      </c>
      <c r="G166" s="189" t="s">
        <v>64</v>
      </c>
      <c r="H166" s="189"/>
      <c r="I166" s="210" t="s">
        <v>63</v>
      </c>
      <c r="M166" s="174" t="s">
        <v>7656</v>
      </c>
      <c r="N166" s="174" t="s">
        <v>7655</v>
      </c>
      <c r="O166" s="191" t="s">
        <v>89</v>
      </c>
      <c r="P166" s="189"/>
      <c r="Q166" s="188">
        <v>43654</v>
      </c>
      <c r="R166" s="188"/>
      <c r="S166" s="182"/>
      <c r="T166" s="182"/>
      <c r="U166" s="189"/>
      <c r="V166" s="189"/>
      <c r="W166" s="189"/>
    </row>
    <row r="167" spans="1:23" hidden="1" outlineLevel="1">
      <c r="A167" s="1">
        <v>52</v>
      </c>
      <c r="B167" s="188">
        <v>43655</v>
      </c>
      <c r="C167" s="189" t="s">
        <v>154</v>
      </c>
      <c r="D167" s="210" t="s">
        <v>38</v>
      </c>
      <c r="E167" s="173" t="s">
        <v>23</v>
      </c>
      <c r="F167" s="210">
        <v>868324026501283</v>
      </c>
      <c r="G167" s="189" t="s">
        <v>64</v>
      </c>
      <c r="H167" s="189"/>
      <c r="I167" s="210" t="s">
        <v>63</v>
      </c>
      <c r="M167" s="174"/>
      <c r="N167" s="174" t="s">
        <v>7638</v>
      </c>
      <c r="O167" s="191" t="s">
        <v>7583</v>
      </c>
      <c r="P167" s="189" t="s">
        <v>7657</v>
      </c>
      <c r="Q167" s="188">
        <v>43658</v>
      </c>
      <c r="R167" s="188">
        <v>43738</v>
      </c>
      <c r="S167" s="182">
        <v>600</v>
      </c>
      <c r="T167" s="182"/>
      <c r="U167" s="189"/>
      <c r="V167" s="189"/>
      <c r="W167" s="189"/>
    </row>
    <row r="168" spans="1:23" hidden="1" outlineLevel="1">
      <c r="A168" s="1">
        <v>53</v>
      </c>
      <c r="B168" s="188">
        <v>43655</v>
      </c>
      <c r="C168" s="189" t="s">
        <v>7630</v>
      </c>
      <c r="D168" s="210" t="s">
        <v>38</v>
      </c>
      <c r="E168" s="173" t="s">
        <v>23</v>
      </c>
      <c r="F168" s="210">
        <v>869158005702069</v>
      </c>
      <c r="G168" s="189" t="s">
        <v>64</v>
      </c>
      <c r="H168" s="189"/>
      <c r="I168" s="210" t="s">
        <v>63</v>
      </c>
      <c r="M168" s="174" t="s">
        <v>7658</v>
      </c>
      <c r="N168" s="174" t="s">
        <v>3669</v>
      </c>
      <c r="O168" s="191" t="s">
        <v>89</v>
      </c>
      <c r="P168" s="195" t="s">
        <v>7659</v>
      </c>
      <c r="Q168" s="188">
        <v>43658</v>
      </c>
      <c r="R168" s="188">
        <v>43738</v>
      </c>
      <c r="S168" s="182">
        <v>360</v>
      </c>
      <c r="T168" s="182" t="s">
        <v>7660</v>
      </c>
      <c r="U168" s="189"/>
      <c r="V168" s="189"/>
      <c r="W168" s="189"/>
    </row>
    <row r="169" spans="1:23" hidden="1" outlineLevel="1">
      <c r="A169" s="1">
        <v>54</v>
      </c>
      <c r="B169" s="188">
        <v>43662</v>
      </c>
      <c r="C169" s="189" t="s">
        <v>7364</v>
      </c>
      <c r="D169" s="210" t="s">
        <v>38</v>
      </c>
      <c r="E169" s="173" t="s">
        <v>23</v>
      </c>
      <c r="F169" s="210">
        <v>356895039797983</v>
      </c>
      <c r="G169" s="189" t="s">
        <v>64</v>
      </c>
      <c r="H169" s="189"/>
      <c r="I169" s="210" t="s">
        <v>63</v>
      </c>
      <c r="M169" s="174"/>
      <c r="N169" s="174" t="s">
        <v>7638</v>
      </c>
      <c r="O169" s="191" t="s">
        <v>7394</v>
      </c>
      <c r="P169" s="189"/>
      <c r="Q169" s="188">
        <v>43692</v>
      </c>
      <c r="R169" s="188">
        <v>43739</v>
      </c>
      <c r="S169" s="182">
        <v>1805</v>
      </c>
      <c r="T169" s="182"/>
      <c r="U169" s="189"/>
      <c r="V169" s="189"/>
      <c r="W169" s="189"/>
    </row>
    <row r="170" spans="1:23" hidden="1" outlineLevel="1">
      <c r="A170" s="1">
        <v>55</v>
      </c>
      <c r="B170" s="188">
        <v>43664</v>
      </c>
      <c r="C170" s="189" t="s">
        <v>60</v>
      </c>
      <c r="D170" s="210" t="s">
        <v>37</v>
      </c>
      <c r="E170" s="173" t="s">
        <v>23</v>
      </c>
      <c r="F170" s="210">
        <v>15110732</v>
      </c>
      <c r="G170" s="189" t="s">
        <v>64</v>
      </c>
      <c r="H170" s="189"/>
      <c r="I170" s="210" t="s">
        <v>63</v>
      </c>
      <c r="M170" s="174" t="s">
        <v>7661</v>
      </c>
      <c r="N170" s="174" t="s">
        <v>335</v>
      </c>
      <c r="O170" s="191" t="s">
        <v>7617</v>
      </c>
      <c r="P170" s="189"/>
      <c r="Q170" s="188">
        <v>43664</v>
      </c>
      <c r="R170" s="188">
        <v>43669</v>
      </c>
      <c r="S170" s="182"/>
      <c r="T170" s="182"/>
      <c r="U170" s="189"/>
      <c r="V170" s="189"/>
      <c r="W170" s="189"/>
    </row>
    <row r="171" spans="1:23" hidden="1" outlineLevel="1">
      <c r="A171" s="1">
        <v>56</v>
      </c>
      <c r="B171" s="188">
        <v>43664</v>
      </c>
      <c r="C171" s="189" t="s">
        <v>60</v>
      </c>
      <c r="D171" s="210" t="s">
        <v>37</v>
      </c>
      <c r="E171" s="173" t="s">
        <v>23</v>
      </c>
      <c r="F171" s="210">
        <v>18090632</v>
      </c>
      <c r="G171" s="189" t="s">
        <v>64</v>
      </c>
      <c r="H171" s="189"/>
      <c r="I171" s="210" t="s">
        <v>63</v>
      </c>
      <c r="M171" s="174" t="s">
        <v>7662</v>
      </c>
      <c r="N171" s="174" t="s">
        <v>7521</v>
      </c>
      <c r="O171" s="191" t="s">
        <v>7617</v>
      </c>
      <c r="P171" s="189"/>
      <c r="Q171" s="188">
        <v>43664</v>
      </c>
      <c r="R171" s="188">
        <v>43669</v>
      </c>
      <c r="S171" s="182"/>
      <c r="T171" s="182"/>
      <c r="U171" s="189"/>
      <c r="V171" s="189"/>
      <c r="W171" s="189"/>
    </row>
    <row r="172" spans="1:23" ht="51" hidden="1" outlineLevel="1">
      <c r="A172" s="1">
        <v>57</v>
      </c>
      <c r="B172" s="188">
        <v>43664</v>
      </c>
      <c r="C172" s="189" t="s">
        <v>154</v>
      </c>
      <c r="D172" s="210" t="s">
        <v>38</v>
      </c>
      <c r="E172" s="173" t="s">
        <v>23</v>
      </c>
      <c r="F172" s="210">
        <v>865733023880552</v>
      </c>
      <c r="G172" s="189" t="s">
        <v>64</v>
      </c>
      <c r="H172" s="189"/>
      <c r="I172" s="210" t="s">
        <v>63</v>
      </c>
      <c r="M172" s="174" t="s">
        <v>7664</v>
      </c>
      <c r="N172" s="174" t="s">
        <v>7663</v>
      </c>
      <c r="O172" s="191" t="s">
        <v>7657</v>
      </c>
      <c r="P172" s="195" t="s">
        <v>7482</v>
      </c>
      <c r="Q172" s="188">
        <v>43668</v>
      </c>
      <c r="R172" s="188">
        <v>43738</v>
      </c>
      <c r="S172" s="182">
        <v>360</v>
      </c>
      <c r="T172" s="182" t="s">
        <v>7660</v>
      </c>
      <c r="U172" s="189"/>
      <c r="V172" s="189" t="s">
        <v>7665</v>
      </c>
      <c r="W172" s="189"/>
    </row>
    <row r="173" spans="1:23" hidden="1" outlineLevel="1">
      <c r="A173" s="1">
        <v>58</v>
      </c>
      <c r="B173" s="188">
        <v>43664</v>
      </c>
      <c r="C173" s="189" t="s">
        <v>154</v>
      </c>
      <c r="D173" s="210" t="s">
        <v>38</v>
      </c>
      <c r="E173" s="173" t="s">
        <v>23</v>
      </c>
      <c r="F173" s="210">
        <v>868324020989724</v>
      </c>
      <c r="G173" s="189" t="s">
        <v>64</v>
      </c>
      <c r="H173" s="189"/>
      <c r="I173" s="210" t="s">
        <v>63</v>
      </c>
      <c r="M173" s="174" t="s">
        <v>7667</v>
      </c>
      <c r="N173" s="174" t="s">
        <v>7666</v>
      </c>
      <c r="O173" s="191" t="s">
        <v>93</v>
      </c>
      <c r="P173" s="189"/>
      <c r="Q173" s="188">
        <v>43668</v>
      </c>
      <c r="R173" s="188">
        <v>43738</v>
      </c>
      <c r="S173" s="182">
        <v>360</v>
      </c>
      <c r="T173" s="182" t="s">
        <v>7660</v>
      </c>
      <c r="U173" s="189"/>
      <c r="V173" s="189" t="s">
        <v>7668</v>
      </c>
      <c r="W173" s="189"/>
    </row>
    <row r="174" spans="1:23" hidden="1" outlineLevel="1">
      <c r="A174" s="1">
        <v>59</v>
      </c>
      <c r="B174" s="188">
        <v>43664</v>
      </c>
      <c r="C174" s="189" t="s">
        <v>7630</v>
      </c>
      <c r="D174" s="210" t="s">
        <v>37</v>
      </c>
      <c r="E174" s="173" t="s">
        <v>23</v>
      </c>
      <c r="F174" s="210">
        <v>869158005720244</v>
      </c>
      <c r="G174" s="189" t="s">
        <v>64</v>
      </c>
      <c r="H174" s="189"/>
      <c r="I174" s="210" t="s">
        <v>63</v>
      </c>
      <c r="M174" s="174"/>
      <c r="N174" s="174" t="s">
        <v>7638</v>
      </c>
      <c r="O174" s="191" t="s">
        <v>89</v>
      </c>
      <c r="P174" s="189"/>
      <c r="Q174" s="188">
        <v>43668</v>
      </c>
      <c r="R174" s="188">
        <v>43738</v>
      </c>
      <c r="S174" s="182"/>
      <c r="T174" s="182"/>
      <c r="U174" s="189"/>
      <c r="V174" s="189"/>
      <c r="W174" s="189"/>
    </row>
    <row r="175" spans="1:23" hidden="1" outlineLevel="1">
      <c r="A175" s="1">
        <v>60</v>
      </c>
      <c r="B175" s="188">
        <v>43679</v>
      </c>
      <c r="C175" s="189" t="s">
        <v>7669</v>
      </c>
      <c r="D175" s="210" t="s">
        <v>37</v>
      </c>
      <c r="E175" s="173" t="s">
        <v>23</v>
      </c>
      <c r="F175" s="210">
        <v>16020823</v>
      </c>
      <c r="G175" s="189" t="s">
        <v>64</v>
      </c>
      <c r="H175" s="189"/>
      <c r="I175" s="210" t="s">
        <v>63</v>
      </c>
      <c r="M175" s="174" t="s">
        <v>7670</v>
      </c>
      <c r="N175" s="174" t="s">
        <v>3702</v>
      </c>
      <c r="O175" s="191" t="s">
        <v>7617</v>
      </c>
      <c r="P175" s="189"/>
      <c r="Q175" s="188">
        <v>43679</v>
      </c>
      <c r="R175" s="188">
        <v>43685</v>
      </c>
      <c r="S175" s="182"/>
      <c r="T175" s="182"/>
      <c r="U175" s="189"/>
      <c r="V175" s="189"/>
      <c r="W175" s="189"/>
    </row>
    <row r="176" spans="1:23" hidden="1" outlineLevel="1">
      <c r="A176" s="1">
        <v>61</v>
      </c>
      <c r="B176" s="188">
        <v>43679</v>
      </c>
      <c r="C176" s="189" t="s">
        <v>154</v>
      </c>
      <c r="D176" s="210"/>
      <c r="E176" s="173" t="s">
        <v>23</v>
      </c>
      <c r="F176" s="210">
        <v>865733027410877</v>
      </c>
      <c r="G176" s="189" t="s">
        <v>64</v>
      </c>
      <c r="H176" s="189"/>
      <c r="I176" s="210" t="s">
        <v>63</v>
      </c>
      <c r="M176" s="174" t="s">
        <v>7671</v>
      </c>
      <c r="N176" s="174" t="s">
        <v>3702</v>
      </c>
      <c r="O176" s="191" t="s">
        <v>89</v>
      </c>
      <c r="P176" s="189" t="s">
        <v>7672</v>
      </c>
      <c r="Q176" s="188"/>
      <c r="R176" s="188"/>
      <c r="S176" s="182"/>
      <c r="T176" s="182"/>
      <c r="U176" s="189"/>
      <c r="V176" s="189"/>
      <c r="W176" s="189"/>
    </row>
    <row r="177" spans="1:23" hidden="1" outlineLevel="1">
      <c r="A177" s="1">
        <v>62</v>
      </c>
      <c r="B177" s="188">
        <v>43683</v>
      </c>
      <c r="C177" s="189" t="s">
        <v>7673</v>
      </c>
      <c r="D177" s="210" t="s">
        <v>37</v>
      </c>
      <c r="E177" s="173" t="s">
        <v>39</v>
      </c>
      <c r="F177" s="210">
        <v>32497004062</v>
      </c>
      <c r="G177" s="189" t="s">
        <v>64</v>
      </c>
      <c r="H177" s="189"/>
      <c r="I177" s="210" t="s">
        <v>63</v>
      </c>
      <c r="M177" s="174" t="s">
        <v>7675</v>
      </c>
      <c r="N177" s="174" t="s">
        <v>7674</v>
      </c>
      <c r="O177" s="191" t="s">
        <v>7676</v>
      </c>
      <c r="P177" s="189"/>
      <c r="Q177" s="188">
        <v>43683</v>
      </c>
      <c r="R177" s="188">
        <v>43697</v>
      </c>
      <c r="S177" s="182"/>
      <c r="T177" s="182">
        <v>350</v>
      </c>
      <c r="U177" s="189"/>
      <c r="V177" s="189"/>
      <c r="W177" s="189"/>
    </row>
    <row r="178" spans="1:23" hidden="1" outlineLevel="1">
      <c r="A178" s="1">
        <v>63</v>
      </c>
      <c r="B178" s="188">
        <v>43690</v>
      </c>
      <c r="C178" s="189" t="s">
        <v>7364</v>
      </c>
      <c r="D178" s="210"/>
      <c r="E178" s="173" t="s">
        <v>23</v>
      </c>
      <c r="F178" s="210">
        <v>356895035618597</v>
      </c>
      <c r="G178" s="189" t="s">
        <v>64</v>
      </c>
      <c r="H178" s="189"/>
      <c r="I178" s="210" t="s">
        <v>63</v>
      </c>
      <c r="M178" s="174" t="s">
        <v>7678</v>
      </c>
      <c r="N178" s="174" t="s">
        <v>7677</v>
      </c>
      <c r="O178" s="191" t="s">
        <v>7679</v>
      </c>
      <c r="P178" s="189"/>
      <c r="Q178" s="188">
        <v>43692</v>
      </c>
      <c r="R178" s="188">
        <v>43739</v>
      </c>
      <c r="S178" s="182">
        <v>895</v>
      </c>
      <c r="T178" s="182" t="s">
        <v>7650</v>
      </c>
      <c r="U178" s="189"/>
      <c r="V178" s="189"/>
      <c r="W178" s="189"/>
    </row>
    <row r="179" spans="1:23" hidden="1" outlineLevel="1">
      <c r="A179" s="1">
        <v>64</v>
      </c>
      <c r="B179" s="188">
        <v>43696</v>
      </c>
      <c r="C179" s="189" t="s">
        <v>7637</v>
      </c>
      <c r="D179" s="210" t="s">
        <v>38</v>
      </c>
      <c r="E179" s="173" t="s">
        <v>23</v>
      </c>
      <c r="F179" s="210">
        <v>865733022377378</v>
      </c>
      <c r="G179" s="189" t="s">
        <v>64</v>
      </c>
      <c r="H179" s="189"/>
      <c r="I179" s="210" t="s">
        <v>63</v>
      </c>
      <c r="M179" s="174" t="s">
        <v>7680</v>
      </c>
      <c r="N179" s="174" t="s">
        <v>3820</v>
      </c>
      <c r="O179" s="191" t="s">
        <v>89</v>
      </c>
      <c r="P179" s="195" t="s">
        <v>7681</v>
      </c>
      <c r="Q179" s="188"/>
      <c r="R179" s="188">
        <v>43738</v>
      </c>
      <c r="S179" s="182">
        <v>360</v>
      </c>
      <c r="T179" s="182" t="s">
        <v>7682</v>
      </c>
      <c r="U179" s="189"/>
      <c r="V179" s="189"/>
      <c r="W179" s="189"/>
    </row>
    <row r="180" spans="1:23" hidden="1" outlineLevel="1">
      <c r="A180" s="1">
        <v>65</v>
      </c>
      <c r="B180" s="188">
        <v>43696</v>
      </c>
      <c r="C180" s="189" t="s">
        <v>60</v>
      </c>
      <c r="D180" s="210" t="s">
        <v>37</v>
      </c>
      <c r="E180" s="173" t="s">
        <v>23</v>
      </c>
      <c r="F180" s="210">
        <v>17041412</v>
      </c>
      <c r="G180" s="189" t="s">
        <v>64</v>
      </c>
      <c r="H180" s="189"/>
      <c r="I180" s="210" t="s">
        <v>63</v>
      </c>
      <c r="M180" s="174" t="s">
        <v>7683</v>
      </c>
      <c r="N180" s="174" t="s">
        <v>7652</v>
      </c>
      <c r="O180" s="191" t="s">
        <v>7684</v>
      </c>
      <c r="P180" s="189"/>
      <c r="Q180" s="188">
        <v>43697</v>
      </c>
      <c r="R180" s="188">
        <v>43711</v>
      </c>
      <c r="S180" s="182"/>
      <c r="T180" s="182"/>
      <c r="U180" s="189"/>
      <c r="V180" s="189"/>
      <c r="W180" s="189"/>
    </row>
    <row r="181" spans="1:23" hidden="1" outlineLevel="1">
      <c r="A181" s="1">
        <v>66</v>
      </c>
      <c r="B181" s="188">
        <v>43697</v>
      </c>
      <c r="C181" s="189" t="s">
        <v>60</v>
      </c>
      <c r="D181" s="210" t="s">
        <v>37</v>
      </c>
      <c r="E181" s="173" t="s">
        <v>23</v>
      </c>
      <c r="F181" s="210">
        <v>17120627</v>
      </c>
      <c r="G181" s="189" t="s">
        <v>64</v>
      </c>
      <c r="H181" s="189"/>
      <c r="I181" s="210" t="s">
        <v>63</v>
      </c>
      <c r="M181" s="174" t="s">
        <v>7685</v>
      </c>
      <c r="N181" s="174" t="s">
        <v>6044</v>
      </c>
      <c r="O181" s="191" t="s">
        <v>7686</v>
      </c>
      <c r="P181" s="189"/>
      <c r="Q181" s="188">
        <v>43697</v>
      </c>
      <c r="R181" s="188">
        <v>43711</v>
      </c>
      <c r="S181" s="182"/>
      <c r="T181" s="182"/>
      <c r="U181" s="189"/>
      <c r="V181" s="189"/>
      <c r="W181" s="189"/>
    </row>
    <row r="182" spans="1:23" hidden="1" outlineLevel="1">
      <c r="A182" s="1">
        <v>67</v>
      </c>
      <c r="B182" s="188">
        <v>43698</v>
      </c>
      <c r="C182" s="189" t="s">
        <v>7330</v>
      </c>
      <c r="D182" s="210" t="s">
        <v>38</v>
      </c>
      <c r="E182" s="173" t="s">
        <v>23</v>
      </c>
      <c r="F182" s="210">
        <v>203100046158</v>
      </c>
      <c r="G182" s="189" t="s">
        <v>64</v>
      </c>
      <c r="H182" s="189"/>
      <c r="I182" s="210" t="s">
        <v>63</v>
      </c>
      <c r="M182" s="174" t="s">
        <v>7687</v>
      </c>
      <c r="N182" s="174" t="s">
        <v>7169</v>
      </c>
      <c r="O182" s="191" t="s">
        <v>7688</v>
      </c>
      <c r="P182" s="189"/>
      <c r="Q182" s="188">
        <v>43706</v>
      </c>
      <c r="R182" s="188">
        <v>43731</v>
      </c>
      <c r="S182" s="182"/>
      <c r="T182" s="182" t="s">
        <v>7689</v>
      </c>
      <c r="U182" s="189"/>
      <c r="V182" s="189"/>
      <c r="W182" s="189"/>
    </row>
    <row r="183" spans="1:23" hidden="1" outlineLevel="1">
      <c r="A183" s="1">
        <v>68</v>
      </c>
      <c r="B183" s="188">
        <v>43699</v>
      </c>
      <c r="C183" s="189" t="s">
        <v>60</v>
      </c>
      <c r="D183" s="210" t="s">
        <v>37</v>
      </c>
      <c r="E183" s="173" t="s">
        <v>23</v>
      </c>
      <c r="F183" s="210">
        <v>17041418</v>
      </c>
      <c r="G183" s="189" t="s">
        <v>64</v>
      </c>
      <c r="H183" s="189"/>
      <c r="I183" s="210" t="s">
        <v>63</v>
      </c>
      <c r="M183" s="174" t="s">
        <v>7690</v>
      </c>
      <c r="N183" s="174" t="s">
        <v>7652</v>
      </c>
      <c r="O183" s="191" t="s">
        <v>7684</v>
      </c>
      <c r="P183" s="189"/>
      <c r="Q183" s="188">
        <v>43700</v>
      </c>
      <c r="R183" s="188">
        <v>43711</v>
      </c>
      <c r="S183" s="182"/>
      <c r="T183" s="182"/>
      <c r="U183" s="189"/>
      <c r="V183" s="189"/>
      <c r="W183" s="189"/>
    </row>
    <row r="184" spans="1:23" hidden="1" outlineLevel="1">
      <c r="A184" s="1">
        <v>69</v>
      </c>
      <c r="B184" s="188">
        <v>43699</v>
      </c>
      <c r="C184" s="189" t="s">
        <v>60</v>
      </c>
      <c r="D184" s="210" t="s">
        <v>37</v>
      </c>
      <c r="E184" s="173" t="s">
        <v>23</v>
      </c>
      <c r="F184" s="210">
        <v>17041400</v>
      </c>
      <c r="G184" s="189" t="s">
        <v>64</v>
      </c>
      <c r="H184" s="189"/>
      <c r="I184" s="210" t="s">
        <v>63</v>
      </c>
      <c r="M184" s="174" t="s">
        <v>7691</v>
      </c>
      <c r="N184" s="174" t="s">
        <v>7652</v>
      </c>
      <c r="O184" s="191" t="s">
        <v>7684</v>
      </c>
      <c r="P184" s="189"/>
      <c r="Q184" s="188">
        <v>43700</v>
      </c>
      <c r="R184" s="188">
        <v>43711</v>
      </c>
      <c r="S184" s="182"/>
      <c r="T184" s="182"/>
      <c r="U184" s="189"/>
      <c r="V184" s="189"/>
      <c r="W184" s="189"/>
    </row>
    <row r="185" spans="1:23" hidden="1" outlineLevel="1">
      <c r="A185" s="1">
        <v>70</v>
      </c>
      <c r="B185" s="188">
        <v>43699</v>
      </c>
      <c r="C185" s="189" t="s">
        <v>60</v>
      </c>
      <c r="D185" s="210" t="s">
        <v>37</v>
      </c>
      <c r="E185" s="173" t="s">
        <v>23</v>
      </c>
      <c r="F185" s="210">
        <v>17081165</v>
      </c>
      <c r="G185" s="189" t="s">
        <v>64</v>
      </c>
      <c r="H185" s="189"/>
      <c r="I185" s="210" t="s">
        <v>63</v>
      </c>
      <c r="M185" s="174" t="s">
        <v>7692</v>
      </c>
      <c r="N185" s="174" t="s">
        <v>7652</v>
      </c>
      <c r="O185" s="191" t="s">
        <v>7684</v>
      </c>
      <c r="P185" s="189"/>
      <c r="Q185" s="188">
        <v>43700</v>
      </c>
      <c r="R185" s="188">
        <v>43711</v>
      </c>
      <c r="S185" s="182"/>
      <c r="T185" s="182"/>
      <c r="U185" s="189"/>
      <c r="V185" s="189"/>
      <c r="W185" s="189"/>
    </row>
    <row r="186" spans="1:23" hidden="1" outlineLevel="1">
      <c r="A186" s="1">
        <v>71</v>
      </c>
      <c r="B186" s="188">
        <v>43699</v>
      </c>
      <c r="C186" s="189" t="s">
        <v>7693</v>
      </c>
      <c r="D186" s="210" t="s">
        <v>37</v>
      </c>
      <c r="E186" s="173" t="s">
        <v>23</v>
      </c>
      <c r="F186" s="210">
        <v>869286036928567</v>
      </c>
      <c r="G186" s="189" t="s">
        <v>64</v>
      </c>
      <c r="H186" s="189"/>
      <c r="I186" s="210" t="s">
        <v>63</v>
      </c>
      <c r="M186" s="174" t="s">
        <v>7694</v>
      </c>
      <c r="N186" s="174" t="s">
        <v>546</v>
      </c>
      <c r="O186" s="191" t="s">
        <v>7695</v>
      </c>
      <c r="P186" s="189"/>
      <c r="Q186" s="188">
        <v>43700</v>
      </c>
      <c r="R186" s="188">
        <v>43731</v>
      </c>
      <c r="S186" s="182"/>
      <c r="T186" s="182"/>
      <c r="U186" s="189"/>
      <c r="V186" s="189"/>
      <c r="W186" s="189"/>
    </row>
    <row r="187" spans="1:23" hidden="1" outlineLevel="1">
      <c r="A187" s="1">
        <v>72</v>
      </c>
      <c r="B187" s="188">
        <v>43699</v>
      </c>
      <c r="C187" s="189" t="s">
        <v>7693</v>
      </c>
      <c r="D187" s="210" t="s">
        <v>37</v>
      </c>
      <c r="E187" s="173" t="s">
        <v>23</v>
      </c>
      <c r="F187" s="210">
        <v>869286036925910</v>
      </c>
      <c r="G187" s="189" t="s">
        <v>64</v>
      </c>
      <c r="H187" s="189"/>
      <c r="I187" s="210" t="s">
        <v>63</v>
      </c>
      <c r="M187" s="174" t="s">
        <v>7696</v>
      </c>
      <c r="N187" s="174" t="s">
        <v>546</v>
      </c>
      <c r="O187" s="191" t="s">
        <v>7695</v>
      </c>
      <c r="P187" s="189"/>
      <c r="Q187" s="188">
        <v>43700</v>
      </c>
      <c r="R187" s="188">
        <v>43731</v>
      </c>
      <c r="S187" s="182"/>
      <c r="T187" s="182" t="s">
        <v>7697</v>
      </c>
      <c r="U187" s="189"/>
      <c r="V187" s="189"/>
      <c r="W187" s="189"/>
    </row>
    <row r="188" spans="1:23" hidden="1" outlineLevel="1">
      <c r="A188" s="1">
        <v>73</v>
      </c>
      <c r="B188" s="188">
        <v>43703</v>
      </c>
      <c r="C188" s="189" t="s">
        <v>7330</v>
      </c>
      <c r="D188" s="210" t="s">
        <v>38</v>
      </c>
      <c r="E188" s="173" t="s">
        <v>23</v>
      </c>
      <c r="F188" s="210">
        <v>2031000177430</v>
      </c>
      <c r="G188" s="189" t="s">
        <v>64</v>
      </c>
      <c r="H188" s="189"/>
      <c r="I188" s="210" t="s">
        <v>63</v>
      </c>
      <c r="M188" s="174" t="s">
        <v>7698</v>
      </c>
      <c r="N188" s="174" t="s">
        <v>7169</v>
      </c>
      <c r="O188" s="191" t="s">
        <v>7617</v>
      </c>
      <c r="P188" s="195" t="s">
        <v>7699</v>
      </c>
      <c r="Q188" s="188">
        <v>43706</v>
      </c>
      <c r="R188" s="188">
        <v>43731</v>
      </c>
      <c r="S188" s="182"/>
      <c r="T188" s="182">
        <v>350</v>
      </c>
      <c r="U188" s="189"/>
      <c r="V188" s="189"/>
      <c r="W188" s="189"/>
    </row>
    <row r="189" spans="1:23" hidden="1" outlineLevel="1">
      <c r="A189" s="1">
        <v>74</v>
      </c>
      <c r="B189" s="188">
        <v>43707</v>
      </c>
      <c r="C189" s="189" t="s">
        <v>7435</v>
      </c>
      <c r="D189" s="210" t="s">
        <v>7703</v>
      </c>
      <c r="E189" s="173" t="s">
        <v>23</v>
      </c>
      <c r="F189" s="210">
        <v>863591028257248</v>
      </c>
      <c r="G189" s="189" t="s">
        <v>64</v>
      </c>
      <c r="H189" s="189"/>
      <c r="I189" s="210" t="s">
        <v>63</v>
      </c>
      <c r="M189" s="174" t="s">
        <v>7701</v>
      </c>
      <c r="N189" s="174" t="s">
        <v>7700</v>
      </c>
      <c r="O189" s="191" t="s">
        <v>7702</v>
      </c>
      <c r="P189" s="189"/>
      <c r="Q189" s="188">
        <v>3.09</v>
      </c>
      <c r="R189" s="188">
        <v>43739</v>
      </c>
      <c r="S189" s="182">
        <v>795</v>
      </c>
      <c r="T189" s="182" t="s">
        <v>7650</v>
      </c>
      <c r="U189" s="189"/>
      <c r="V189" s="189"/>
      <c r="W189" s="189"/>
    </row>
    <row r="190" spans="1:23" ht="25.5" hidden="1" outlineLevel="1">
      <c r="A190" s="1">
        <v>75</v>
      </c>
      <c r="B190" s="188">
        <v>43712</v>
      </c>
      <c r="C190" s="189" t="s">
        <v>7704</v>
      </c>
      <c r="D190" s="210" t="s">
        <v>7703</v>
      </c>
      <c r="E190" s="173" t="s">
        <v>23</v>
      </c>
      <c r="F190" s="210">
        <v>202006656</v>
      </c>
      <c r="G190" s="189" t="s">
        <v>64</v>
      </c>
      <c r="H190" s="189"/>
      <c r="I190" s="210" t="s">
        <v>63</v>
      </c>
      <c r="M190" s="174" t="s">
        <v>7705</v>
      </c>
      <c r="N190" s="174" t="s">
        <v>100</v>
      </c>
      <c r="O190" s="191" t="s">
        <v>7706</v>
      </c>
      <c r="P190" s="189"/>
      <c r="Q190" s="188">
        <v>43712</v>
      </c>
      <c r="R190" s="188">
        <v>43731</v>
      </c>
      <c r="S190" s="182"/>
      <c r="T190" s="182">
        <v>350</v>
      </c>
      <c r="U190" s="189"/>
      <c r="V190" s="189"/>
      <c r="W190" s="189"/>
    </row>
    <row r="191" spans="1:23" hidden="1" outlineLevel="1">
      <c r="A191" s="1">
        <v>76</v>
      </c>
      <c r="B191" s="188">
        <v>43718</v>
      </c>
      <c r="C191" s="189" t="s">
        <v>60</v>
      </c>
      <c r="D191" s="210" t="s">
        <v>37</v>
      </c>
      <c r="E191" s="173" t="s">
        <v>23</v>
      </c>
      <c r="F191" s="210">
        <v>16020398</v>
      </c>
      <c r="G191" s="189" t="s">
        <v>64</v>
      </c>
      <c r="H191" s="189"/>
      <c r="I191" s="210" t="s">
        <v>63</v>
      </c>
      <c r="M191" s="174" t="s">
        <v>3396</v>
      </c>
      <c r="N191" s="174" t="s">
        <v>7707</v>
      </c>
      <c r="O191" s="191" t="s">
        <v>72</v>
      </c>
      <c r="P191" s="189"/>
      <c r="Q191" s="188">
        <v>43721</v>
      </c>
      <c r="R191" s="188">
        <v>43732</v>
      </c>
      <c r="S191" s="182"/>
      <c r="T191" s="182"/>
      <c r="U191" s="189"/>
      <c r="V191" s="189"/>
      <c r="W191" s="189"/>
    </row>
    <row r="192" spans="1:23" hidden="1" outlineLevel="1">
      <c r="A192" s="1">
        <v>77</v>
      </c>
      <c r="B192" s="188">
        <v>43721</v>
      </c>
      <c r="C192" s="189" t="s">
        <v>154</v>
      </c>
      <c r="D192" s="210" t="s">
        <v>37</v>
      </c>
      <c r="E192" s="173" t="s">
        <v>23</v>
      </c>
      <c r="F192" s="210">
        <v>865733026654426</v>
      </c>
      <c r="G192" s="189" t="s">
        <v>64</v>
      </c>
      <c r="H192" s="189"/>
      <c r="I192" s="210" t="s">
        <v>63</v>
      </c>
      <c r="M192" s="174" t="s">
        <v>7709</v>
      </c>
      <c r="N192" s="174" t="s">
        <v>7708</v>
      </c>
      <c r="O192" s="191" t="s">
        <v>89</v>
      </c>
      <c r="P192" s="189"/>
      <c r="Q192" s="188">
        <v>43727</v>
      </c>
      <c r="R192" s="188">
        <v>43794</v>
      </c>
      <c r="S192" s="182"/>
      <c r="T192" s="182" t="s">
        <v>7710</v>
      </c>
      <c r="U192" s="189"/>
      <c r="V192" s="189"/>
      <c r="W192" s="189"/>
    </row>
    <row r="193" spans="1:23" hidden="1" outlineLevel="1">
      <c r="A193" s="1">
        <v>78</v>
      </c>
      <c r="B193" s="188">
        <v>43726</v>
      </c>
      <c r="C193" s="189" t="s">
        <v>7330</v>
      </c>
      <c r="D193" s="210" t="s">
        <v>37</v>
      </c>
      <c r="E193" s="173" t="s">
        <v>23</v>
      </c>
      <c r="F193" s="210">
        <v>203100053995</v>
      </c>
      <c r="G193" s="189" t="s">
        <v>64</v>
      </c>
      <c r="H193" s="189"/>
      <c r="I193" s="210" t="s">
        <v>63</v>
      </c>
      <c r="M193" s="174" t="s">
        <v>7711</v>
      </c>
      <c r="N193" s="174" t="s">
        <v>7169</v>
      </c>
      <c r="O193" s="191" t="s">
        <v>7712</v>
      </c>
      <c r="P193" s="189" t="s">
        <v>7713</v>
      </c>
      <c r="Q193" s="188">
        <v>43727</v>
      </c>
      <c r="R193" s="188">
        <v>43741</v>
      </c>
      <c r="S193" s="182"/>
      <c r="T193" s="182">
        <v>350</v>
      </c>
      <c r="U193" s="189"/>
      <c r="V193" s="189"/>
      <c r="W193" s="189"/>
    </row>
    <row r="194" spans="1:23" hidden="1" outlineLevel="1">
      <c r="A194" s="1">
        <v>79</v>
      </c>
      <c r="B194" s="188">
        <v>43727</v>
      </c>
      <c r="C194" s="189" t="s">
        <v>60</v>
      </c>
      <c r="D194" s="210" t="s">
        <v>37</v>
      </c>
      <c r="E194" s="173" t="s">
        <v>23</v>
      </c>
      <c r="F194" s="210">
        <v>17030983</v>
      </c>
      <c r="G194" s="189" t="s">
        <v>64</v>
      </c>
      <c r="H194" s="189"/>
      <c r="I194" s="210" t="s">
        <v>63</v>
      </c>
      <c r="M194" s="174" t="s">
        <v>7714</v>
      </c>
      <c r="N194" s="174" t="s">
        <v>3863</v>
      </c>
      <c r="O194" s="191" t="s">
        <v>72</v>
      </c>
      <c r="P194" s="189"/>
      <c r="Q194" s="188">
        <v>43735</v>
      </c>
      <c r="R194" s="188">
        <v>43748</v>
      </c>
      <c r="S194" s="182"/>
      <c r="T194" s="182"/>
      <c r="U194" s="189"/>
      <c r="V194" s="189"/>
      <c r="W194" s="189"/>
    </row>
    <row r="195" spans="1:23" hidden="1" outlineLevel="1">
      <c r="A195" s="1">
        <v>80</v>
      </c>
      <c r="B195" s="188">
        <v>43735</v>
      </c>
      <c r="C195" s="189" t="s">
        <v>60</v>
      </c>
      <c r="D195" s="210" t="s">
        <v>37</v>
      </c>
      <c r="E195" s="173" t="s">
        <v>23</v>
      </c>
      <c r="F195" s="210">
        <v>17120642</v>
      </c>
      <c r="G195" s="189" t="s">
        <v>64</v>
      </c>
      <c r="H195" s="189"/>
      <c r="I195" s="210" t="s">
        <v>63</v>
      </c>
      <c r="M195" s="174" t="s">
        <v>7715</v>
      </c>
      <c r="N195" s="174" t="s">
        <v>6044</v>
      </c>
      <c r="O195" s="191" t="s">
        <v>7716</v>
      </c>
      <c r="P195" s="189"/>
      <c r="Q195" s="188">
        <v>43738</v>
      </c>
      <c r="R195" s="188">
        <v>43748</v>
      </c>
      <c r="S195" s="182"/>
      <c r="T195" s="182"/>
      <c r="U195" s="189"/>
      <c r="V195" s="189"/>
      <c r="W195" s="189"/>
    </row>
    <row r="196" spans="1:23" hidden="1" outlineLevel="1">
      <c r="A196" s="1">
        <v>81</v>
      </c>
      <c r="B196" s="188">
        <v>43740</v>
      </c>
      <c r="C196" s="189" t="s">
        <v>7330</v>
      </c>
      <c r="D196" s="210" t="s">
        <v>37</v>
      </c>
      <c r="E196" s="173" t="s">
        <v>23</v>
      </c>
      <c r="F196" s="210">
        <v>203100046156</v>
      </c>
      <c r="G196" s="189" t="s">
        <v>64</v>
      </c>
      <c r="H196" s="189"/>
      <c r="I196" s="210" t="s">
        <v>63</v>
      </c>
      <c r="M196" s="174" t="s">
        <v>7717</v>
      </c>
      <c r="N196" s="174" t="s">
        <v>7169</v>
      </c>
      <c r="O196" s="191" t="s">
        <v>7397</v>
      </c>
      <c r="P196" s="189" t="s">
        <v>7718</v>
      </c>
      <c r="Q196" s="188">
        <v>43742</v>
      </c>
      <c r="R196" s="188">
        <v>43753</v>
      </c>
      <c r="S196" s="182"/>
      <c r="T196" s="182">
        <v>360</v>
      </c>
      <c r="U196" s="189"/>
      <c r="V196" s="189"/>
      <c r="W196" s="189"/>
    </row>
    <row r="197" spans="1:23" hidden="1" outlineLevel="1">
      <c r="A197" s="1">
        <v>82</v>
      </c>
      <c r="B197" s="188">
        <v>43740</v>
      </c>
      <c r="C197" s="189" t="s">
        <v>7719</v>
      </c>
      <c r="D197" s="210"/>
      <c r="E197" s="173" t="s">
        <v>23</v>
      </c>
      <c r="F197" s="210">
        <v>46537</v>
      </c>
      <c r="G197" s="189" t="s">
        <v>64</v>
      </c>
      <c r="H197" s="189"/>
      <c r="I197" s="210" t="s">
        <v>63</v>
      </c>
      <c r="M197" s="174" t="s">
        <v>7720</v>
      </c>
      <c r="N197" s="174" t="s">
        <v>7169</v>
      </c>
      <c r="O197" s="191" t="s">
        <v>7721</v>
      </c>
      <c r="P197" s="189" t="s">
        <v>7722</v>
      </c>
      <c r="Q197" s="188"/>
      <c r="R197" s="188"/>
      <c r="S197" s="182"/>
      <c r="T197" s="182"/>
      <c r="U197" s="189"/>
      <c r="V197" s="189"/>
      <c r="W197" s="189"/>
    </row>
    <row r="198" spans="1:23" hidden="1" outlineLevel="1">
      <c r="A198" s="1">
        <v>83</v>
      </c>
      <c r="B198" s="188">
        <v>43747</v>
      </c>
      <c r="C198" s="189" t="s">
        <v>7723</v>
      </c>
      <c r="D198" s="210" t="s">
        <v>37</v>
      </c>
      <c r="E198" s="173" t="s">
        <v>39</v>
      </c>
      <c r="F198" s="210" t="s">
        <v>7724</v>
      </c>
      <c r="G198" s="189" t="s">
        <v>64</v>
      </c>
      <c r="H198" s="189"/>
      <c r="I198" s="210" t="s">
        <v>63</v>
      </c>
      <c r="M198" s="174" t="s">
        <v>7725</v>
      </c>
      <c r="N198" s="174" t="s">
        <v>3888</v>
      </c>
      <c r="O198" s="191" t="s">
        <v>7726</v>
      </c>
      <c r="P198" s="189"/>
      <c r="Q198" s="188">
        <v>43748</v>
      </c>
      <c r="R198" s="188">
        <v>43763</v>
      </c>
      <c r="S198" s="182"/>
      <c r="T198" s="182">
        <v>360</v>
      </c>
      <c r="U198" s="189"/>
      <c r="V198" s="189"/>
      <c r="W198" s="189"/>
    </row>
    <row r="199" spans="1:23" hidden="1" outlineLevel="1">
      <c r="A199" s="1">
        <v>84</v>
      </c>
      <c r="B199" s="188">
        <v>43755</v>
      </c>
      <c r="C199" s="189" t="s">
        <v>60</v>
      </c>
      <c r="D199" s="210" t="s">
        <v>37</v>
      </c>
      <c r="E199" s="173" t="s">
        <v>23</v>
      </c>
      <c r="F199" s="210">
        <v>19062000</v>
      </c>
      <c r="G199" s="189" t="s">
        <v>64</v>
      </c>
      <c r="H199" s="189"/>
      <c r="I199" s="210" t="s">
        <v>63</v>
      </c>
      <c r="M199" s="174"/>
      <c r="N199" s="174" t="s">
        <v>7410</v>
      </c>
      <c r="O199" s="191" t="s">
        <v>7727</v>
      </c>
      <c r="P199" s="189"/>
      <c r="Q199" s="188">
        <v>43755</v>
      </c>
      <c r="R199" s="188">
        <v>43780</v>
      </c>
      <c r="S199" s="182"/>
      <c r="T199" s="182"/>
      <c r="U199" s="189"/>
      <c r="V199" s="189"/>
      <c r="W199" s="189"/>
    </row>
    <row r="200" spans="1:23" hidden="1" outlineLevel="1">
      <c r="A200" s="1">
        <v>85</v>
      </c>
      <c r="B200" s="188">
        <v>43755</v>
      </c>
      <c r="C200" s="189" t="s">
        <v>60</v>
      </c>
      <c r="D200" s="210" t="s">
        <v>38</v>
      </c>
      <c r="E200" s="173" t="s">
        <v>23</v>
      </c>
      <c r="F200" s="210">
        <v>181220479</v>
      </c>
      <c r="G200" s="189" t="s">
        <v>64</v>
      </c>
      <c r="H200" s="189"/>
      <c r="I200" s="210" t="s">
        <v>63</v>
      </c>
      <c r="M200" s="174" t="s">
        <v>7729</v>
      </c>
      <c r="N200" s="174" t="s">
        <v>7728</v>
      </c>
      <c r="O200" s="191" t="s">
        <v>72</v>
      </c>
      <c r="P200" s="189"/>
      <c r="Q200" s="188">
        <v>43755</v>
      </c>
      <c r="R200" s="188"/>
      <c r="S200" s="182"/>
      <c r="T200" s="182"/>
      <c r="U200" s="189"/>
      <c r="V200" s="189"/>
      <c r="W200" s="189"/>
    </row>
    <row r="201" spans="1:23" hidden="1" outlineLevel="1">
      <c r="A201" s="1">
        <v>86</v>
      </c>
      <c r="B201" s="188">
        <v>43755</v>
      </c>
      <c r="C201" s="189" t="s">
        <v>60</v>
      </c>
      <c r="D201" s="210" t="s">
        <v>37</v>
      </c>
      <c r="E201" s="173" t="s">
        <v>23</v>
      </c>
      <c r="F201" s="210">
        <v>17120651</v>
      </c>
      <c r="G201" s="189" t="s">
        <v>64</v>
      </c>
      <c r="H201" s="189"/>
      <c r="I201" s="210" t="s">
        <v>63</v>
      </c>
      <c r="M201" s="174" t="s">
        <v>7730</v>
      </c>
      <c r="N201" s="174" t="s">
        <v>3771</v>
      </c>
      <c r="O201" s="191" t="s">
        <v>7731</v>
      </c>
      <c r="P201" s="189"/>
      <c r="Q201" s="188">
        <v>43755</v>
      </c>
      <c r="R201" s="188">
        <v>43780</v>
      </c>
      <c r="S201" s="182"/>
      <c r="T201" s="182"/>
      <c r="U201" s="189"/>
      <c r="V201" s="189"/>
      <c r="W201" s="189"/>
    </row>
    <row r="202" spans="1:23" hidden="1" outlineLevel="1">
      <c r="A202" s="1">
        <v>87</v>
      </c>
      <c r="B202" s="188">
        <v>43755</v>
      </c>
      <c r="C202" s="189" t="s">
        <v>7435</v>
      </c>
      <c r="D202" s="210" t="s">
        <v>38</v>
      </c>
      <c r="E202" s="173" t="s">
        <v>23</v>
      </c>
      <c r="F202" s="210">
        <v>868204003384277</v>
      </c>
      <c r="G202" s="189" t="s">
        <v>64</v>
      </c>
      <c r="H202" s="189"/>
      <c r="I202" s="210" t="s">
        <v>63</v>
      </c>
      <c r="M202" s="174" t="s">
        <v>7733</v>
      </c>
      <c r="N202" s="174" t="s">
        <v>7732</v>
      </c>
      <c r="O202" s="191" t="s">
        <v>7621</v>
      </c>
      <c r="P202" s="189"/>
      <c r="Q202" s="188">
        <v>43755</v>
      </c>
      <c r="R202" s="188">
        <v>43776</v>
      </c>
      <c r="S202" s="182">
        <v>865</v>
      </c>
      <c r="T202" s="182" t="s">
        <v>7734</v>
      </c>
      <c r="U202" s="189"/>
      <c r="V202" s="189"/>
      <c r="W202" s="189"/>
    </row>
    <row r="203" spans="1:23" hidden="1" outlineLevel="1">
      <c r="A203" s="1">
        <v>88</v>
      </c>
      <c r="B203" s="188">
        <v>43755</v>
      </c>
      <c r="C203" s="189" t="s">
        <v>154</v>
      </c>
      <c r="D203" s="210" t="s">
        <v>38</v>
      </c>
      <c r="E203" s="173" t="s">
        <v>23</v>
      </c>
      <c r="F203" s="210">
        <v>865733023866460</v>
      </c>
      <c r="G203" s="189" t="s">
        <v>64</v>
      </c>
      <c r="H203" s="189"/>
      <c r="I203" s="210" t="s">
        <v>63</v>
      </c>
      <c r="M203" s="174" t="s">
        <v>7730</v>
      </c>
      <c r="N203" s="174" t="s">
        <v>3771</v>
      </c>
      <c r="O203" s="191" t="s">
        <v>7583</v>
      </c>
      <c r="P203" s="189"/>
      <c r="Q203" s="188">
        <v>43755</v>
      </c>
      <c r="R203" s="188">
        <v>43794</v>
      </c>
      <c r="S203" s="196">
        <v>360</v>
      </c>
      <c r="T203" s="182" t="s">
        <v>7735</v>
      </c>
      <c r="U203" s="189"/>
      <c r="V203" s="189"/>
      <c r="W203" s="189"/>
    </row>
    <row r="204" spans="1:23" hidden="1" outlineLevel="1">
      <c r="A204" s="1">
        <v>89</v>
      </c>
      <c r="B204" s="188">
        <v>43755</v>
      </c>
      <c r="C204" s="189" t="s">
        <v>7391</v>
      </c>
      <c r="D204" s="210" t="s">
        <v>38</v>
      </c>
      <c r="E204" s="173" t="s">
        <v>23</v>
      </c>
      <c r="F204" s="210">
        <v>2019270</v>
      </c>
      <c r="G204" s="189" t="s">
        <v>64</v>
      </c>
      <c r="H204" s="189"/>
      <c r="I204" s="210" t="s">
        <v>63</v>
      </c>
      <c r="M204" s="174" t="s">
        <v>7736</v>
      </c>
      <c r="N204" s="174" t="s">
        <v>3771</v>
      </c>
      <c r="O204" s="191" t="s">
        <v>7621</v>
      </c>
      <c r="P204" s="189"/>
      <c r="Q204" s="188">
        <v>43755</v>
      </c>
      <c r="R204" s="188">
        <v>43771</v>
      </c>
      <c r="S204" s="182">
        <v>1000</v>
      </c>
      <c r="T204" s="182" t="s">
        <v>7735</v>
      </c>
      <c r="U204" s="189"/>
      <c r="V204" s="189"/>
      <c r="W204" s="189"/>
    </row>
    <row r="205" spans="1:23" hidden="1" outlineLevel="1">
      <c r="A205" s="1">
        <v>90</v>
      </c>
      <c r="B205" s="188">
        <v>43763</v>
      </c>
      <c r="C205" s="189" t="s">
        <v>60</v>
      </c>
      <c r="D205" s="210" t="s">
        <v>37</v>
      </c>
      <c r="E205" s="173" t="s">
        <v>23</v>
      </c>
      <c r="F205" s="210">
        <v>15100445</v>
      </c>
      <c r="G205" s="189" t="s">
        <v>64</v>
      </c>
      <c r="H205" s="189"/>
      <c r="I205" s="210" t="s">
        <v>63</v>
      </c>
      <c r="M205" s="174" t="s">
        <v>7737</v>
      </c>
      <c r="N205" s="174" t="s">
        <v>3658</v>
      </c>
      <c r="O205" s="191" t="s">
        <v>7738</v>
      </c>
      <c r="P205" s="189"/>
      <c r="Q205" s="188">
        <v>43766</v>
      </c>
      <c r="R205" s="188">
        <v>43780</v>
      </c>
      <c r="S205" s="182"/>
      <c r="T205" s="182"/>
      <c r="U205" s="189"/>
      <c r="V205" s="189"/>
      <c r="W205" s="189"/>
    </row>
    <row r="206" spans="1:23" hidden="1" outlineLevel="1">
      <c r="A206" s="1">
        <v>91</v>
      </c>
      <c r="B206" s="188">
        <v>43763</v>
      </c>
      <c r="C206" s="189" t="s">
        <v>154</v>
      </c>
      <c r="D206" s="210" t="s">
        <v>37</v>
      </c>
      <c r="E206" s="173" t="s">
        <v>23</v>
      </c>
      <c r="F206" s="210">
        <v>868324023794535</v>
      </c>
      <c r="G206" s="189" t="s">
        <v>64</v>
      </c>
      <c r="H206" s="189"/>
      <c r="I206" s="210" t="s">
        <v>63</v>
      </c>
      <c r="M206" s="174" t="s">
        <v>7739</v>
      </c>
      <c r="N206" s="174" t="s">
        <v>3649</v>
      </c>
      <c r="O206" s="191" t="s">
        <v>7740</v>
      </c>
      <c r="P206" s="189"/>
      <c r="Q206" s="188">
        <v>43770</v>
      </c>
      <c r="R206" s="188">
        <v>43794</v>
      </c>
      <c r="S206" s="182"/>
      <c r="T206" s="182" t="s">
        <v>7735</v>
      </c>
      <c r="U206" s="189"/>
      <c r="V206" s="189"/>
      <c r="W206" s="189"/>
    </row>
    <row r="207" spans="1:23" hidden="1" outlineLevel="1">
      <c r="A207" s="1">
        <v>92</v>
      </c>
      <c r="B207" s="188">
        <v>43767</v>
      </c>
      <c r="C207" s="189" t="s">
        <v>7330</v>
      </c>
      <c r="D207" s="210" t="s">
        <v>37</v>
      </c>
      <c r="E207" s="173" t="s">
        <v>23</v>
      </c>
      <c r="F207" s="210">
        <v>203100046155</v>
      </c>
      <c r="G207" s="189" t="s">
        <v>64</v>
      </c>
      <c r="H207" s="189"/>
      <c r="I207" s="210" t="s">
        <v>63</v>
      </c>
      <c r="M207" s="174" t="s">
        <v>7741</v>
      </c>
      <c r="N207" s="174" t="s">
        <v>7169</v>
      </c>
      <c r="O207" s="191" t="s">
        <v>7742</v>
      </c>
      <c r="P207" s="189" t="s">
        <v>7743</v>
      </c>
      <c r="Q207" s="188">
        <v>43767</v>
      </c>
      <c r="R207" s="188">
        <v>43781</v>
      </c>
      <c r="S207" s="182"/>
      <c r="T207" s="182"/>
      <c r="U207" s="189"/>
      <c r="V207" s="189"/>
      <c r="W207" s="189"/>
    </row>
    <row r="208" spans="1:23" hidden="1" outlineLevel="1">
      <c r="A208" s="1">
        <v>93</v>
      </c>
      <c r="B208" s="188">
        <v>43769</v>
      </c>
      <c r="C208" s="189" t="s">
        <v>60</v>
      </c>
      <c r="D208" s="210" t="s">
        <v>37</v>
      </c>
      <c r="E208" s="173" t="s">
        <v>23</v>
      </c>
      <c r="F208" s="210">
        <v>16020482</v>
      </c>
      <c r="G208" s="189" t="s">
        <v>64</v>
      </c>
      <c r="H208" s="189"/>
      <c r="I208" s="210" t="s">
        <v>63</v>
      </c>
      <c r="M208" s="174" t="s">
        <v>7744</v>
      </c>
      <c r="N208" s="174" t="s">
        <v>3960</v>
      </c>
      <c r="O208" s="191" t="s">
        <v>7745</v>
      </c>
      <c r="P208" s="189"/>
      <c r="Q208" s="188">
        <v>43770</v>
      </c>
      <c r="R208" s="188">
        <v>43780</v>
      </c>
      <c r="S208" s="182"/>
      <c r="T208" s="182"/>
      <c r="U208" s="189"/>
      <c r="V208" s="189"/>
      <c r="W208" s="189"/>
    </row>
    <row r="209" spans="1:23" hidden="1" outlineLevel="1">
      <c r="A209" s="1">
        <v>94</v>
      </c>
      <c r="B209" s="188">
        <v>43782</v>
      </c>
      <c r="C209" s="189" t="s">
        <v>60</v>
      </c>
      <c r="D209" s="210" t="s">
        <v>38</v>
      </c>
      <c r="E209" s="173" t="s">
        <v>23</v>
      </c>
      <c r="F209" s="210">
        <v>17041401</v>
      </c>
      <c r="G209" s="189" t="s">
        <v>64</v>
      </c>
      <c r="H209" s="189"/>
      <c r="I209" s="210" t="s">
        <v>63</v>
      </c>
      <c r="M209" s="174" t="s">
        <v>7746</v>
      </c>
      <c r="N209" s="174" t="s">
        <v>7652</v>
      </c>
      <c r="O209" s="191" t="s">
        <v>7747</v>
      </c>
      <c r="P209" s="189"/>
      <c r="Q209" s="188">
        <v>43783</v>
      </c>
      <c r="R209" s="188"/>
      <c r="S209" s="182"/>
      <c r="T209" s="182"/>
      <c r="U209" s="189"/>
      <c r="V209" s="189"/>
      <c r="W209" s="189"/>
    </row>
    <row r="210" spans="1:23" hidden="1" outlineLevel="1">
      <c r="A210" s="1">
        <v>95</v>
      </c>
      <c r="B210" s="188">
        <v>43783</v>
      </c>
      <c r="C210" s="189" t="s">
        <v>154</v>
      </c>
      <c r="D210" s="210" t="s">
        <v>38</v>
      </c>
      <c r="E210" s="173" t="s">
        <v>23</v>
      </c>
      <c r="F210" s="210">
        <v>868324025335477</v>
      </c>
      <c r="G210" s="189" t="s">
        <v>64</v>
      </c>
      <c r="H210" s="189"/>
      <c r="I210" s="210" t="s">
        <v>63</v>
      </c>
      <c r="M210" s="174" t="s">
        <v>7748</v>
      </c>
      <c r="N210" s="174" t="s">
        <v>7585</v>
      </c>
      <c r="O210" s="191" t="s">
        <v>7394</v>
      </c>
      <c r="P210" s="189"/>
      <c r="Q210" s="188">
        <v>43784</v>
      </c>
      <c r="R210" s="188">
        <v>43861</v>
      </c>
      <c r="S210" s="182">
        <v>360</v>
      </c>
      <c r="T210" s="182" t="s">
        <v>7749</v>
      </c>
      <c r="U210" s="189"/>
      <c r="V210" s="189"/>
      <c r="W210" s="189"/>
    </row>
    <row r="211" spans="1:23" hidden="1" outlineLevel="1">
      <c r="A211" s="1">
        <v>96</v>
      </c>
      <c r="B211" s="188">
        <v>43783</v>
      </c>
      <c r="C211" s="189" t="s">
        <v>7750</v>
      </c>
      <c r="D211" s="210" t="s">
        <v>37</v>
      </c>
      <c r="E211" s="173" t="s">
        <v>39</v>
      </c>
      <c r="F211" s="210" t="s">
        <v>7751</v>
      </c>
      <c r="G211" s="189" t="s">
        <v>64</v>
      </c>
      <c r="H211" s="189"/>
      <c r="I211" s="210" t="s">
        <v>63</v>
      </c>
      <c r="M211" s="174"/>
      <c r="N211" s="174" t="s">
        <v>7752</v>
      </c>
      <c r="O211" s="191" t="s">
        <v>7753</v>
      </c>
      <c r="P211" s="189"/>
      <c r="Q211" s="188">
        <v>43784</v>
      </c>
      <c r="R211" s="188">
        <v>43794</v>
      </c>
      <c r="S211" s="182"/>
      <c r="T211" s="182">
        <v>350</v>
      </c>
      <c r="U211" s="189"/>
      <c r="V211" s="189"/>
      <c r="W211" s="189"/>
    </row>
    <row r="212" spans="1:23" ht="25.5" hidden="1" outlineLevel="1">
      <c r="A212" s="1">
        <v>97</v>
      </c>
      <c r="B212" s="188">
        <v>43783</v>
      </c>
      <c r="C212" s="189" t="s">
        <v>7754</v>
      </c>
      <c r="D212" s="210" t="s">
        <v>37</v>
      </c>
      <c r="E212" s="173" t="s">
        <v>40</v>
      </c>
      <c r="F212" s="210"/>
      <c r="G212" s="189" t="s">
        <v>64</v>
      </c>
      <c r="H212" s="189"/>
      <c r="I212" s="210" t="s">
        <v>63</v>
      </c>
      <c r="M212" s="174" t="s">
        <v>7756</v>
      </c>
      <c r="N212" s="174" t="s">
        <v>7755</v>
      </c>
      <c r="O212" s="191"/>
      <c r="P212" s="189"/>
      <c r="Q212" s="188">
        <v>43784</v>
      </c>
      <c r="R212" s="188">
        <v>43818</v>
      </c>
      <c r="S212" s="182"/>
      <c r="T212" s="182" t="s">
        <v>7689</v>
      </c>
      <c r="U212" s="189"/>
      <c r="V212" s="189"/>
      <c r="W212" s="189"/>
    </row>
    <row r="213" spans="1:23" hidden="1" outlineLevel="1">
      <c r="A213" s="1">
        <v>98</v>
      </c>
      <c r="B213" s="188">
        <v>43791</v>
      </c>
      <c r="C213" s="189" t="s">
        <v>60</v>
      </c>
      <c r="D213" s="210" t="s">
        <v>37</v>
      </c>
      <c r="E213" s="173" t="s">
        <v>23</v>
      </c>
      <c r="F213" s="210">
        <v>17060965</v>
      </c>
      <c r="G213" s="189" t="s">
        <v>64</v>
      </c>
      <c r="H213" s="189"/>
      <c r="I213" s="210" t="s">
        <v>63</v>
      </c>
      <c r="M213" s="174" t="s">
        <v>7757</v>
      </c>
      <c r="N213" s="174" t="s">
        <v>3774</v>
      </c>
      <c r="O213" s="191"/>
      <c r="P213" s="189"/>
      <c r="Q213" s="188">
        <v>43794</v>
      </c>
      <c r="R213" s="188">
        <v>43808</v>
      </c>
      <c r="S213" s="182"/>
      <c r="T213" s="182"/>
      <c r="U213" s="189"/>
      <c r="V213" s="189"/>
      <c r="W213" s="189"/>
    </row>
    <row r="214" spans="1:23" hidden="1" outlineLevel="1">
      <c r="A214" s="1">
        <v>99</v>
      </c>
      <c r="B214" s="188">
        <v>43791</v>
      </c>
      <c r="C214" s="189" t="s">
        <v>170</v>
      </c>
      <c r="D214" s="210"/>
      <c r="E214" s="173" t="s">
        <v>23</v>
      </c>
      <c r="F214" s="210">
        <v>868345038048302</v>
      </c>
      <c r="G214" s="189" t="s">
        <v>64</v>
      </c>
      <c r="H214" s="189"/>
      <c r="I214" s="210" t="s">
        <v>63</v>
      </c>
      <c r="M214" s="174" t="s">
        <v>7758</v>
      </c>
      <c r="N214" s="174" t="s">
        <v>7638</v>
      </c>
      <c r="O214" s="191"/>
      <c r="P214" s="189"/>
      <c r="Q214" s="188">
        <v>43808</v>
      </c>
      <c r="R214" s="188"/>
      <c r="S214" s="182"/>
      <c r="T214" s="182"/>
      <c r="U214" s="189"/>
      <c r="V214" s="189"/>
      <c r="W214" s="189"/>
    </row>
    <row r="215" spans="1:23" hidden="1" outlineLevel="1">
      <c r="A215" s="1">
        <v>100</v>
      </c>
      <c r="B215" s="188">
        <v>43791</v>
      </c>
      <c r="C215" s="189" t="s">
        <v>7630</v>
      </c>
      <c r="D215" s="210" t="s">
        <v>38</v>
      </c>
      <c r="E215" s="173" t="s">
        <v>23</v>
      </c>
      <c r="F215" s="210">
        <v>869158003156243</v>
      </c>
      <c r="G215" s="189" t="s">
        <v>64</v>
      </c>
      <c r="H215" s="189"/>
      <c r="I215" s="210" t="s">
        <v>63</v>
      </c>
      <c r="M215" s="174"/>
      <c r="N215" s="174" t="s">
        <v>335</v>
      </c>
      <c r="O215" s="191"/>
      <c r="P215" s="189"/>
      <c r="Q215" s="188">
        <v>43794</v>
      </c>
      <c r="R215" s="188">
        <v>43861</v>
      </c>
      <c r="S215" s="182">
        <v>1660</v>
      </c>
      <c r="T215" s="182" t="s">
        <v>7749</v>
      </c>
      <c r="U215" s="189"/>
      <c r="V215" s="189"/>
      <c r="W215" s="189"/>
    </row>
    <row r="216" spans="1:23" hidden="1" outlineLevel="1">
      <c r="A216" s="1">
        <v>101</v>
      </c>
      <c r="B216" s="188">
        <v>43797</v>
      </c>
      <c r="C216" s="189" t="s">
        <v>7435</v>
      </c>
      <c r="D216" s="210" t="s">
        <v>38</v>
      </c>
      <c r="E216" s="173" t="s">
        <v>23</v>
      </c>
      <c r="F216" s="210">
        <v>861785001388440</v>
      </c>
      <c r="G216" s="189" t="s">
        <v>64</v>
      </c>
      <c r="H216" s="189"/>
      <c r="I216" s="210" t="s">
        <v>63</v>
      </c>
      <c r="M216" s="174" t="s">
        <v>7759</v>
      </c>
      <c r="N216" s="174" t="s">
        <v>3657</v>
      </c>
      <c r="O216" s="191"/>
      <c r="P216" s="189"/>
      <c r="Q216" s="188">
        <v>43797</v>
      </c>
      <c r="R216" s="188">
        <v>43817</v>
      </c>
      <c r="S216" s="182">
        <v>669</v>
      </c>
      <c r="T216" s="182" t="s">
        <v>7760</v>
      </c>
      <c r="U216" s="189"/>
      <c r="V216" s="189"/>
      <c r="W216" s="189"/>
    </row>
    <row r="217" spans="1:23" hidden="1" outlineLevel="1">
      <c r="A217" s="1">
        <v>102</v>
      </c>
      <c r="B217" s="188">
        <v>43805</v>
      </c>
      <c r="C217" s="189" t="s">
        <v>117</v>
      </c>
      <c r="D217" s="210"/>
      <c r="E217" s="173" t="s">
        <v>39</v>
      </c>
      <c r="F217" s="210">
        <v>67367580012</v>
      </c>
      <c r="G217" s="189" t="s">
        <v>64</v>
      </c>
      <c r="H217" s="189"/>
      <c r="I217" s="210" t="s">
        <v>63</v>
      </c>
      <c r="M217" s="174" t="s">
        <v>7762</v>
      </c>
      <c r="N217" s="174" t="s">
        <v>7761</v>
      </c>
      <c r="O217" s="191" t="s">
        <v>7763</v>
      </c>
      <c r="P217" s="189"/>
      <c r="Q217" s="188">
        <v>43805</v>
      </c>
      <c r="R217" s="188">
        <v>26.02</v>
      </c>
      <c r="S217" s="182"/>
      <c r="T217" s="182" t="s">
        <v>7764</v>
      </c>
      <c r="U217" s="189"/>
      <c r="V217" s="189"/>
      <c r="W217" s="189"/>
    </row>
    <row r="218" spans="1:23" hidden="1" outlineLevel="1">
      <c r="A218" s="1">
        <v>103</v>
      </c>
      <c r="B218" s="188">
        <v>43809</v>
      </c>
      <c r="C218" s="189" t="s">
        <v>149</v>
      </c>
      <c r="D218" s="210" t="s">
        <v>38</v>
      </c>
      <c r="E218" s="173" t="s">
        <v>23</v>
      </c>
      <c r="F218" s="210">
        <v>866795035251444</v>
      </c>
      <c r="G218" s="189" t="s">
        <v>64</v>
      </c>
      <c r="H218" s="189"/>
      <c r="I218" s="210" t="s">
        <v>63</v>
      </c>
      <c r="M218" s="174"/>
      <c r="N218" s="174" t="s">
        <v>7410</v>
      </c>
      <c r="O218" s="191" t="s">
        <v>7765</v>
      </c>
      <c r="P218" s="189" t="s">
        <v>90</v>
      </c>
      <c r="Q218" s="188">
        <v>43810</v>
      </c>
      <c r="R218" s="188">
        <v>43861</v>
      </c>
      <c r="S218" s="182"/>
      <c r="T218" s="182">
        <v>290</v>
      </c>
      <c r="U218" s="189"/>
      <c r="V218" s="189"/>
      <c r="W218" s="189"/>
    </row>
    <row r="219" spans="1:23" ht="51" hidden="1" outlineLevel="1">
      <c r="A219" s="1">
        <v>104</v>
      </c>
      <c r="B219" s="188">
        <v>43810</v>
      </c>
      <c r="C219" s="189" t="s">
        <v>7766</v>
      </c>
      <c r="D219" s="210" t="s">
        <v>37</v>
      </c>
      <c r="E219" s="173" t="s">
        <v>39</v>
      </c>
      <c r="F219" s="210" t="s">
        <v>7767</v>
      </c>
      <c r="G219" s="189" t="s">
        <v>64</v>
      </c>
      <c r="H219" s="189"/>
      <c r="I219" s="210" t="s">
        <v>63</v>
      </c>
      <c r="M219" s="174"/>
      <c r="N219" s="174" t="s">
        <v>7410</v>
      </c>
      <c r="O219" s="191"/>
      <c r="P219" s="189"/>
      <c r="Q219" s="188">
        <v>43810</v>
      </c>
      <c r="R219" s="188">
        <v>44195</v>
      </c>
      <c r="S219" s="182"/>
      <c r="T219" s="182">
        <v>350</v>
      </c>
      <c r="U219" s="189"/>
      <c r="V219" s="189"/>
      <c r="W219" s="189"/>
    </row>
    <row r="220" spans="1:23" hidden="1" outlineLevel="1">
      <c r="A220" s="1">
        <v>105</v>
      </c>
      <c r="B220" s="188">
        <v>43812</v>
      </c>
      <c r="C220" s="189" t="s">
        <v>7330</v>
      </c>
      <c r="D220" s="210" t="s">
        <v>38</v>
      </c>
      <c r="E220" s="173" t="s">
        <v>23</v>
      </c>
      <c r="F220" s="210">
        <v>203100118370</v>
      </c>
      <c r="G220" s="189" t="s">
        <v>64</v>
      </c>
      <c r="H220" s="189"/>
      <c r="I220" s="210" t="s">
        <v>90</v>
      </c>
      <c r="M220" s="174" t="s">
        <v>7768</v>
      </c>
      <c r="N220" s="174" t="s">
        <v>3703</v>
      </c>
      <c r="O220" s="191" t="s">
        <v>7769</v>
      </c>
      <c r="P220" s="189"/>
      <c r="Q220" s="188">
        <v>43812</v>
      </c>
      <c r="R220" s="188"/>
      <c r="S220" s="182"/>
      <c r="T220" s="182">
        <v>350</v>
      </c>
      <c r="U220" s="189"/>
      <c r="V220" s="189"/>
      <c r="W220" s="189"/>
    </row>
    <row r="221" spans="1:23" hidden="1" outlineLevel="1">
      <c r="A221" s="1">
        <v>106</v>
      </c>
      <c r="B221" s="188">
        <v>43817</v>
      </c>
      <c r="C221" s="189" t="s">
        <v>154</v>
      </c>
      <c r="D221" s="210" t="s">
        <v>38</v>
      </c>
      <c r="E221" s="173" t="s">
        <v>23</v>
      </c>
      <c r="F221" s="210">
        <v>863071013333205</v>
      </c>
      <c r="G221" s="189" t="s">
        <v>64</v>
      </c>
      <c r="H221" s="189"/>
      <c r="I221" s="210" t="s">
        <v>63</v>
      </c>
      <c r="M221" s="174" t="s">
        <v>7770</v>
      </c>
      <c r="N221" s="174" t="s">
        <v>335</v>
      </c>
      <c r="O221" s="191" t="s">
        <v>7771</v>
      </c>
      <c r="P221" s="189" t="s">
        <v>7482</v>
      </c>
      <c r="Q221" s="188">
        <v>43818</v>
      </c>
      <c r="R221" s="188">
        <v>43861</v>
      </c>
      <c r="S221" s="182">
        <v>360</v>
      </c>
      <c r="T221" s="182" t="s">
        <v>7749</v>
      </c>
      <c r="U221" s="189"/>
      <c r="V221" s="189"/>
      <c r="W221" s="189"/>
    </row>
    <row r="222" spans="1:23" hidden="1" outlineLevel="1">
      <c r="A222" s="1">
        <v>107</v>
      </c>
      <c r="B222" s="188">
        <v>43817</v>
      </c>
      <c r="C222" s="189" t="s">
        <v>7630</v>
      </c>
      <c r="D222" s="210" t="s">
        <v>38</v>
      </c>
      <c r="E222" s="173" t="s">
        <v>23</v>
      </c>
      <c r="F222" s="210">
        <v>869158006439471</v>
      </c>
      <c r="G222" s="189" t="s">
        <v>64</v>
      </c>
      <c r="H222" s="189"/>
      <c r="I222" s="210" t="s">
        <v>63</v>
      </c>
      <c r="M222" s="174"/>
      <c r="N222" s="174" t="s">
        <v>335</v>
      </c>
      <c r="O222" s="191" t="s">
        <v>7772</v>
      </c>
      <c r="P222" s="189"/>
      <c r="Q222" s="188">
        <v>43818</v>
      </c>
      <c r="R222" s="188">
        <v>43861</v>
      </c>
      <c r="S222" s="182">
        <v>250</v>
      </c>
      <c r="T222" s="182" t="s">
        <v>7749</v>
      </c>
      <c r="U222" s="189"/>
      <c r="V222" s="189"/>
      <c r="W222" s="189"/>
    </row>
    <row r="223" spans="1:23" hidden="1" outlineLevel="1">
      <c r="A223" s="1">
        <v>108</v>
      </c>
      <c r="B223" s="188">
        <v>43817</v>
      </c>
      <c r="C223" s="189" t="s">
        <v>60</v>
      </c>
      <c r="D223" s="210" t="s">
        <v>37</v>
      </c>
      <c r="E223" s="173" t="s">
        <v>23</v>
      </c>
      <c r="F223" s="210">
        <v>17041413</v>
      </c>
      <c r="G223" s="189" t="s">
        <v>64</v>
      </c>
      <c r="H223" s="189"/>
      <c r="I223" s="210" t="s">
        <v>63</v>
      </c>
      <c r="M223" s="174" t="s">
        <v>7773</v>
      </c>
      <c r="N223" s="174" t="s">
        <v>335</v>
      </c>
      <c r="O223" s="191" t="s">
        <v>72</v>
      </c>
      <c r="P223" s="189"/>
      <c r="Q223" s="188">
        <v>43818</v>
      </c>
      <c r="R223" s="188">
        <v>43852</v>
      </c>
      <c r="S223" s="182"/>
      <c r="T223" s="182"/>
      <c r="U223" s="189"/>
      <c r="V223" s="189"/>
      <c r="W223" s="189"/>
    </row>
    <row r="224" spans="1:23" hidden="1" outlineLevel="1">
      <c r="A224" s="1">
        <v>109</v>
      </c>
      <c r="B224" s="188">
        <v>43829</v>
      </c>
      <c r="C224" s="189" t="s">
        <v>60</v>
      </c>
      <c r="D224" s="210" t="s">
        <v>37</v>
      </c>
      <c r="E224" s="173" t="s">
        <v>23</v>
      </c>
      <c r="F224" s="210">
        <v>17100352</v>
      </c>
      <c r="G224" s="189" t="s">
        <v>64</v>
      </c>
      <c r="H224" s="189"/>
      <c r="I224" s="210" t="s">
        <v>63</v>
      </c>
      <c r="M224" s="174" t="s">
        <v>7774</v>
      </c>
      <c r="N224" s="174" t="s">
        <v>3788</v>
      </c>
      <c r="O224" s="191" t="s">
        <v>7775</v>
      </c>
      <c r="P224" s="189"/>
      <c r="Q224" s="188">
        <v>43840</v>
      </c>
      <c r="R224" s="188">
        <v>43861</v>
      </c>
      <c r="S224" s="182"/>
      <c r="T224" s="182"/>
      <c r="U224" s="189"/>
      <c r="V224" s="189"/>
      <c r="W224" s="189"/>
    </row>
    <row r="225" spans="1:23" collapsed="1">
      <c r="A225" s="8">
        <v>2020</v>
      </c>
      <c r="B225" s="175"/>
      <c r="C225" s="175"/>
      <c r="D225" s="175"/>
      <c r="E225" s="176"/>
      <c r="F225" s="175"/>
      <c r="G225" s="175"/>
      <c r="H225" s="175"/>
      <c r="I225" s="175"/>
      <c r="J225" s="8"/>
      <c r="K225" s="8"/>
      <c r="L225" s="8"/>
      <c r="M225" s="175"/>
      <c r="N225" s="175"/>
      <c r="O225" s="177"/>
      <c r="P225" s="175"/>
      <c r="Q225" s="178"/>
      <c r="R225" s="178"/>
      <c r="S225" s="175"/>
      <c r="T225" s="175"/>
      <c r="U225" s="175"/>
      <c r="V225" s="175"/>
      <c r="W225" s="175"/>
    </row>
    <row r="226" spans="1:23" hidden="1" outlineLevel="1">
      <c r="A226" s="1">
        <v>1</v>
      </c>
      <c r="B226" s="188">
        <v>43843</v>
      </c>
      <c r="C226" s="189" t="s">
        <v>7693</v>
      </c>
      <c r="D226" s="210" t="s">
        <v>37</v>
      </c>
      <c r="E226" s="173" t="s">
        <v>23</v>
      </c>
      <c r="F226" s="210">
        <v>869286036928567</v>
      </c>
      <c r="G226" s="189" t="s">
        <v>64</v>
      </c>
      <c r="H226" s="189"/>
      <c r="I226" s="210" t="s">
        <v>63</v>
      </c>
      <c r="M226" s="174" t="s">
        <v>7776</v>
      </c>
      <c r="N226" s="174" t="s">
        <v>546</v>
      </c>
      <c r="O226" s="191" t="s">
        <v>7777</v>
      </c>
      <c r="P226" s="189"/>
      <c r="Q226" s="188">
        <v>43844</v>
      </c>
      <c r="R226" s="188">
        <v>43896</v>
      </c>
      <c r="S226" s="182"/>
      <c r="T226" s="182">
        <v>290</v>
      </c>
      <c r="U226" s="189"/>
      <c r="V226" s="189"/>
      <c r="W226" s="189"/>
    </row>
    <row r="227" spans="1:23" hidden="1" outlineLevel="1">
      <c r="A227" s="1">
        <v>2</v>
      </c>
      <c r="B227" s="188">
        <v>43847</v>
      </c>
      <c r="C227" s="189" t="s">
        <v>7450</v>
      </c>
      <c r="D227" s="210" t="s">
        <v>37</v>
      </c>
      <c r="E227" s="173" t="s">
        <v>23</v>
      </c>
      <c r="F227" s="210">
        <v>868183036113897</v>
      </c>
      <c r="G227" s="189" t="s">
        <v>64</v>
      </c>
      <c r="H227" s="189"/>
      <c r="I227" s="210" t="s">
        <v>63</v>
      </c>
      <c r="M227" s="174" t="s">
        <v>7779</v>
      </c>
      <c r="N227" s="174" t="s">
        <v>7778</v>
      </c>
      <c r="O227" s="191" t="s">
        <v>89</v>
      </c>
      <c r="P227" s="189" t="s">
        <v>7780</v>
      </c>
      <c r="Q227" s="188">
        <v>43850</v>
      </c>
      <c r="R227" s="188">
        <v>43886</v>
      </c>
      <c r="S227" s="182"/>
      <c r="T227" s="182" t="s">
        <v>7689</v>
      </c>
      <c r="U227" s="189"/>
      <c r="V227" s="189"/>
      <c r="W227" s="189"/>
    </row>
    <row r="228" spans="1:23" hidden="1" outlineLevel="1">
      <c r="A228" s="1">
        <v>3</v>
      </c>
      <c r="B228" s="188">
        <v>43851</v>
      </c>
      <c r="C228" s="189" t="s">
        <v>154</v>
      </c>
      <c r="D228" s="210" t="s">
        <v>37</v>
      </c>
      <c r="E228" s="173" t="s">
        <v>23</v>
      </c>
      <c r="F228" s="210">
        <v>865733027525666</v>
      </c>
      <c r="G228" s="189" t="s">
        <v>64</v>
      </c>
      <c r="H228" s="189"/>
      <c r="I228" s="210" t="s">
        <v>63</v>
      </c>
      <c r="M228" s="174" t="s">
        <v>7782</v>
      </c>
      <c r="N228" s="174" t="s">
        <v>7781</v>
      </c>
      <c r="O228" s="191" t="s">
        <v>89</v>
      </c>
      <c r="P228" s="189"/>
      <c r="Q228" s="188">
        <v>43852</v>
      </c>
      <c r="R228" s="188">
        <v>43867</v>
      </c>
      <c r="S228" s="182"/>
      <c r="T228" s="182" t="s">
        <v>7783</v>
      </c>
      <c r="U228" s="189"/>
      <c r="V228" s="189"/>
      <c r="W228" s="189"/>
    </row>
    <row r="229" spans="1:23" hidden="1" outlineLevel="1">
      <c r="A229" s="1">
        <v>4</v>
      </c>
      <c r="B229" s="188">
        <v>43854</v>
      </c>
      <c r="C229" s="189" t="s">
        <v>7330</v>
      </c>
      <c r="D229" s="210" t="s">
        <v>37</v>
      </c>
      <c r="E229" s="173" t="s">
        <v>23</v>
      </c>
      <c r="F229" s="210">
        <v>203100048946</v>
      </c>
      <c r="G229" s="189" t="s">
        <v>64</v>
      </c>
      <c r="H229" s="189"/>
      <c r="I229" s="210" t="s">
        <v>63</v>
      </c>
      <c r="M229" s="174" t="s">
        <v>7784</v>
      </c>
      <c r="N229" s="174" t="s">
        <v>3703</v>
      </c>
      <c r="O229" s="191" t="s">
        <v>7785</v>
      </c>
      <c r="P229" s="189" t="s">
        <v>7786</v>
      </c>
      <c r="Q229" s="188">
        <v>43861</v>
      </c>
      <c r="R229" s="188">
        <v>43878</v>
      </c>
      <c r="S229" s="182"/>
      <c r="T229" s="182">
        <v>350</v>
      </c>
      <c r="U229" s="189"/>
      <c r="V229" s="189"/>
      <c r="W229" s="189"/>
    </row>
    <row r="230" spans="1:23" hidden="1" outlineLevel="1">
      <c r="A230" s="1">
        <v>5</v>
      </c>
      <c r="B230" s="188">
        <v>43860</v>
      </c>
      <c r="C230" s="189" t="s">
        <v>60</v>
      </c>
      <c r="D230" s="210" t="s">
        <v>37</v>
      </c>
      <c r="E230" s="173" t="s">
        <v>23</v>
      </c>
      <c r="F230" s="210">
        <v>18120549</v>
      </c>
      <c r="G230" s="189" t="s">
        <v>64</v>
      </c>
      <c r="H230" s="189"/>
      <c r="I230" s="210" t="s">
        <v>63</v>
      </c>
      <c r="M230" s="174" t="s">
        <v>3437</v>
      </c>
      <c r="N230" s="174" t="s">
        <v>7787</v>
      </c>
      <c r="O230" s="191" t="s">
        <v>7788</v>
      </c>
      <c r="P230" s="189"/>
      <c r="Q230" s="188">
        <v>43861</v>
      </c>
      <c r="R230" s="188">
        <v>43895</v>
      </c>
      <c r="S230" s="182"/>
      <c r="T230" s="182"/>
      <c r="U230" s="189"/>
      <c r="V230" s="189"/>
      <c r="W230" s="189"/>
    </row>
    <row r="231" spans="1:23" ht="51" hidden="1" outlineLevel="1">
      <c r="A231" s="1">
        <v>6</v>
      </c>
      <c r="B231" s="188">
        <v>43866</v>
      </c>
      <c r="C231" s="189" t="s">
        <v>7766</v>
      </c>
      <c r="D231" s="210" t="s">
        <v>37</v>
      </c>
      <c r="E231" s="173" t="s">
        <v>39</v>
      </c>
      <c r="F231" s="210" t="s">
        <v>7789</v>
      </c>
      <c r="G231" s="189" t="s">
        <v>64</v>
      </c>
      <c r="H231" s="189"/>
      <c r="I231" s="210" t="s">
        <v>63</v>
      </c>
      <c r="M231" s="174" t="s">
        <v>7790</v>
      </c>
      <c r="N231" s="174" t="s">
        <v>3967</v>
      </c>
      <c r="O231" s="191" t="s">
        <v>7791</v>
      </c>
      <c r="P231" s="189"/>
      <c r="Q231" s="188">
        <v>43866</v>
      </c>
      <c r="R231" s="188">
        <v>43906</v>
      </c>
      <c r="S231" s="182"/>
      <c r="T231" s="182">
        <v>350</v>
      </c>
      <c r="U231" s="189"/>
      <c r="V231" s="189"/>
      <c r="W231" s="189"/>
    </row>
    <row r="232" spans="1:23" hidden="1" outlineLevel="1">
      <c r="A232" s="1">
        <v>7</v>
      </c>
      <c r="B232" s="188">
        <v>43868</v>
      </c>
      <c r="C232" s="189" t="s">
        <v>60</v>
      </c>
      <c r="D232" s="210" t="s">
        <v>37</v>
      </c>
      <c r="E232" s="173" t="s">
        <v>23</v>
      </c>
      <c r="F232" s="210">
        <v>18051235</v>
      </c>
      <c r="G232" s="189" t="s">
        <v>64</v>
      </c>
      <c r="H232" s="189"/>
      <c r="I232" s="210" t="s">
        <v>63</v>
      </c>
      <c r="M232" s="174" t="s">
        <v>7792</v>
      </c>
      <c r="N232" s="174" t="s">
        <v>3786</v>
      </c>
      <c r="O232" s="191" t="s">
        <v>7712</v>
      </c>
      <c r="P232" s="189"/>
      <c r="Q232" s="188">
        <v>43871</v>
      </c>
      <c r="R232" s="188">
        <v>43893</v>
      </c>
      <c r="S232" s="182"/>
      <c r="T232" s="182"/>
      <c r="U232" s="189"/>
      <c r="V232" s="189"/>
      <c r="W232" s="189"/>
    </row>
    <row r="233" spans="1:23" hidden="1" outlineLevel="1">
      <c r="A233" s="1">
        <v>8</v>
      </c>
      <c r="B233" s="188">
        <v>43872</v>
      </c>
      <c r="C233" s="189" t="s">
        <v>117</v>
      </c>
      <c r="D233" s="210" t="s">
        <v>38</v>
      </c>
      <c r="E233" s="173" t="s">
        <v>39</v>
      </c>
      <c r="F233" s="210">
        <v>83354205032</v>
      </c>
      <c r="G233" s="189" t="s">
        <v>64</v>
      </c>
      <c r="H233" s="189"/>
      <c r="I233" s="210" t="s">
        <v>63</v>
      </c>
      <c r="M233" s="174" t="s">
        <v>7793</v>
      </c>
      <c r="N233" s="174" t="s">
        <v>7494</v>
      </c>
      <c r="O233" s="191" t="s">
        <v>7794</v>
      </c>
      <c r="P233" s="189"/>
      <c r="Q233" s="188">
        <v>43872</v>
      </c>
      <c r="R233" s="188">
        <v>43913</v>
      </c>
      <c r="S233" s="182">
        <v>2740</v>
      </c>
      <c r="T233" s="182" t="s">
        <v>7795</v>
      </c>
      <c r="U233" s="189"/>
      <c r="V233" s="189"/>
      <c r="W233" s="189"/>
    </row>
    <row r="234" spans="1:23" hidden="1" outlineLevel="1">
      <c r="A234" s="1">
        <v>9</v>
      </c>
      <c r="B234" s="188">
        <v>43873</v>
      </c>
      <c r="C234" s="189" t="s">
        <v>7796</v>
      </c>
      <c r="D234" s="210" t="s">
        <v>37</v>
      </c>
      <c r="E234" s="173" t="s">
        <v>39</v>
      </c>
      <c r="F234" s="210" t="s">
        <v>4180</v>
      </c>
      <c r="G234" s="189" t="s">
        <v>64</v>
      </c>
      <c r="H234" s="189"/>
      <c r="I234" s="210" t="s">
        <v>63</v>
      </c>
      <c r="M234" s="174" t="s">
        <v>7798</v>
      </c>
      <c r="N234" s="174" t="s">
        <v>7797</v>
      </c>
      <c r="O234" s="191" t="s">
        <v>7799</v>
      </c>
      <c r="P234" s="189"/>
      <c r="Q234" s="188">
        <v>43873</v>
      </c>
      <c r="R234" s="188">
        <v>43887</v>
      </c>
      <c r="S234" s="182"/>
      <c r="T234" s="182" t="s">
        <v>7800</v>
      </c>
      <c r="U234" s="189"/>
      <c r="V234" s="189"/>
      <c r="W234" s="189"/>
    </row>
    <row r="235" spans="1:23" hidden="1" outlineLevel="1">
      <c r="A235" s="1">
        <v>10</v>
      </c>
      <c r="B235" s="188">
        <v>43878</v>
      </c>
      <c r="C235" s="189" t="s">
        <v>7723</v>
      </c>
      <c r="D235" s="210"/>
      <c r="E235" s="173" t="s">
        <v>39</v>
      </c>
      <c r="F235" s="210" t="s">
        <v>7801</v>
      </c>
      <c r="G235" s="189" t="s">
        <v>64</v>
      </c>
      <c r="H235" s="189"/>
      <c r="I235" s="210" t="s">
        <v>63</v>
      </c>
      <c r="M235" s="174" t="s">
        <v>7803</v>
      </c>
      <c r="N235" s="174" t="s">
        <v>7802</v>
      </c>
      <c r="O235" s="191" t="s">
        <v>7804</v>
      </c>
      <c r="P235" s="189" t="s">
        <v>7805</v>
      </c>
      <c r="Q235" s="188">
        <v>43878</v>
      </c>
      <c r="R235" s="188">
        <v>43915</v>
      </c>
      <c r="S235" s="182"/>
      <c r="T235" s="182" t="s">
        <v>7795</v>
      </c>
      <c r="U235" s="189"/>
      <c r="V235" s="189"/>
      <c r="W235" s="189"/>
    </row>
    <row r="236" spans="1:23" hidden="1" outlineLevel="1">
      <c r="A236" s="1">
        <v>11</v>
      </c>
      <c r="B236" s="188">
        <v>43879</v>
      </c>
      <c r="C236" s="189" t="s">
        <v>117</v>
      </c>
      <c r="D236" s="210" t="s">
        <v>38</v>
      </c>
      <c r="E236" s="173" t="s">
        <v>39</v>
      </c>
      <c r="F236" s="210">
        <v>47879899006</v>
      </c>
      <c r="G236" s="189" t="s">
        <v>64</v>
      </c>
      <c r="H236" s="189"/>
      <c r="I236" s="210" t="s">
        <v>63</v>
      </c>
      <c r="M236" s="174" t="s">
        <v>7806</v>
      </c>
      <c r="N236" s="174" t="s">
        <v>1057</v>
      </c>
      <c r="O236" s="191" t="s">
        <v>7807</v>
      </c>
      <c r="P236" s="189"/>
      <c r="Q236" s="188">
        <v>43886</v>
      </c>
      <c r="R236" s="188">
        <v>43915</v>
      </c>
      <c r="S236" s="182">
        <v>2200</v>
      </c>
      <c r="T236" s="182" t="s">
        <v>7795</v>
      </c>
      <c r="U236" s="189"/>
      <c r="V236" s="189"/>
      <c r="W236" s="189"/>
    </row>
    <row r="237" spans="1:23" hidden="1" outlineLevel="1">
      <c r="A237" s="1">
        <v>12</v>
      </c>
      <c r="B237" s="188">
        <v>43882</v>
      </c>
      <c r="C237" s="189" t="s">
        <v>7330</v>
      </c>
      <c r="D237" s="210" t="s">
        <v>37</v>
      </c>
      <c r="E237" s="173" t="s">
        <v>23</v>
      </c>
      <c r="F237" s="210" t="s">
        <v>7808</v>
      </c>
      <c r="G237" s="189" t="s">
        <v>64</v>
      </c>
      <c r="H237" s="189"/>
      <c r="I237" s="210" t="s">
        <v>63</v>
      </c>
      <c r="M237" s="174" t="s">
        <v>7809</v>
      </c>
      <c r="N237" s="174" t="s">
        <v>3703</v>
      </c>
      <c r="O237" s="191" t="s">
        <v>7769</v>
      </c>
      <c r="P237" s="189" t="s">
        <v>7810</v>
      </c>
      <c r="Q237" s="188">
        <v>43886</v>
      </c>
      <c r="R237" s="188">
        <v>43900</v>
      </c>
      <c r="S237" s="182"/>
      <c r="T237" s="182">
        <v>350</v>
      </c>
      <c r="U237" s="189"/>
      <c r="V237" s="189"/>
      <c r="W237" s="189"/>
    </row>
    <row r="238" spans="1:23" hidden="1" outlineLevel="1">
      <c r="A238" s="1">
        <v>13</v>
      </c>
      <c r="B238" s="188">
        <v>43882</v>
      </c>
      <c r="C238" s="189" t="s">
        <v>608</v>
      </c>
      <c r="D238" s="210" t="s">
        <v>37</v>
      </c>
      <c r="E238" s="173" t="s">
        <v>23</v>
      </c>
      <c r="F238" s="210">
        <v>866795035284171</v>
      </c>
      <c r="G238" s="189" t="s">
        <v>64</v>
      </c>
      <c r="H238" s="189"/>
      <c r="I238" s="210" t="s">
        <v>63</v>
      </c>
      <c r="M238" s="174" t="s">
        <v>7812</v>
      </c>
      <c r="N238" s="174" t="s">
        <v>7811</v>
      </c>
      <c r="O238" s="191" t="s">
        <v>7813</v>
      </c>
      <c r="P238" s="189" t="s">
        <v>7814</v>
      </c>
      <c r="Q238" s="188">
        <v>43886</v>
      </c>
      <c r="R238" s="188">
        <v>43958</v>
      </c>
      <c r="S238" s="182"/>
      <c r="T238" s="182" t="s">
        <v>7815</v>
      </c>
      <c r="U238" s="189"/>
      <c r="V238" s="189"/>
      <c r="W238" s="189"/>
    </row>
    <row r="239" spans="1:23" hidden="1" outlineLevel="1">
      <c r="A239" s="1">
        <v>14</v>
      </c>
      <c r="B239" s="188">
        <v>43882</v>
      </c>
      <c r="C239" s="189" t="s">
        <v>7816</v>
      </c>
      <c r="D239" s="210" t="s">
        <v>37</v>
      </c>
      <c r="E239" s="173" t="s">
        <v>23</v>
      </c>
      <c r="F239" s="210">
        <v>866795035209046</v>
      </c>
      <c r="G239" s="189" t="s">
        <v>64</v>
      </c>
      <c r="H239" s="189"/>
      <c r="I239" s="210" t="s">
        <v>63</v>
      </c>
      <c r="M239" s="174" t="s">
        <v>7817</v>
      </c>
      <c r="N239" s="174" t="s">
        <v>3778</v>
      </c>
      <c r="O239" s="191" t="s">
        <v>7321</v>
      </c>
      <c r="P239" s="189" t="s">
        <v>7818</v>
      </c>
      <c r="Q239" s="188">
        <v>43886</v>
      </c>
      <c r="R239" s="188">
        <v>43958</v>
      </c>
      <c r="S239" s="182"/>
      <c r="T239" s="182" t="s">
        <v>7815</v>
      </c>
      <c r="U239" s="189"/>
      <c r="V239" s="189"/>
      <c r="W239" s="189"/>
    </row>
    <row r="240" spans="1:23" hidden="1" outlineLevel="1">
      <c r="A240" s="1">
        <v>15</v>
      </c>
      <c r="B240" s="188">
        <v>43902</v>
      </c>
      <c r="C240" s="189" t="s">
        <v>117</v>
      </c>
      <c r="D240" s="210" t="s">
        <v>38</v>
      </c>
      <c r="E240" s="173" t="s">
        <v>39</v>
      </c>
      <c r="F240" s="210">
        <v>87949432034</v>
      </c>
      <c r="G240" s="189" t="s">
        <v>64</v>
      </c>
      <c r="H240" s="189"/>
      <c r="I240" s="210" t="s">
        <v>63</v>
      </c>
      <c r="M240" s="174">
        <v>538</v>
      </c>
      <c r="N240" s="174" t="s">
        <v>7819</v>
      </c>
      <c r="O240" s="191" t="s">
        <v>7820</v>
      </c>
      <c r="P240" s="189"/>
      <c r="Q240" s="188">
        <v>43902</v>
      </c>
      <c r="R240" s="188">
        <v>43938</v>
      </c>
      <c r="S240" s="182">
        <v>4114</v>
      </c>
      <c r="T240" s="182" t="s">
        <v>7800</v>
      </c>
      <c r="U240" s="189"/>
      <c r="V240" s="189"/>
      <c r="W240" s="189"/>
    </row>
    <row r="241" spans="1:23" hidden="1" outlineLevel="1">
      <c r="A241" s="1">
        <v>16</v>
      </c>
      <c r="B241" s="188">
        <v>43903</v>
      </c>
      <c r="C241" s="189" t="s">
        <v>7723</v>
      </c>
      <c r="D241" s="210" t="s">
        <v>37</v>
      </c>
      <c r="E241" s="173" t="s">
        <v>39</v>
      </c>
      <c r="F241" s="210" t="s">
        <v>4180</v>
      </c>
      <c r="G241" s="189" t="s">
        <v>64</v>
      </c>
      <c r="H241" s="189"/>
      <c r="I241" s="210" t="s">
        <v>63</v>
      </c>
      <c r="M241" s="174" t="s">
        <v>7822</v>
      </c>
      <c r="N241" s="174" t="s">
        <v>7821</v>
      </c>
      <c r="O241" s="191" t="s">
        <v>7726</v>
      </c>
      <c r="P241" s="189"/>
      <c r="Q241" s="188">
        <v>16.03</v>
      </c>
      <c r="R241" s="188">
        <v>43918</v>
      </c>
      <c r="S241" s="182"/>
      <c r="T241" s="182" t="s">
        <v>7795</v>
      </c>
      <c r="U241" s="189"/>
      <c r="V241" s="189"/>
      <c r="W241" s="189"/>
    </row>
    <row r="242" spans="1:23" hidden="1" outlineLevel="1">
      <c r="A242" s="1">
        <v>17</v>
      </c>
      <c r="B242" s="188">
        <v>43906</v>
      </c>
      <c r="C242" s="189" t="s">
        <v>117</v>
      </c>
      <c r="D242" s="210" t="s">
        <v>38</v>
      </c>
      <c r="E242" s="173" t="s">
        <v>39</v>
      </c>
      <c r="F242" s="210">
        <v>76904021006</v>
      </c>
      <c r="G242" s="189" t="s">
        <v>64</v>
      </c>
      <c r="H242" s="189"/>
      <c r="I242" s="210" t="s">
        <v>63</v>
      </c>
      <c r="M242" s="174" t="s">
        <v>7823</v>
      </c>
      <c r="N242" s="174" t="s">
        <v>1057</v>
      </c>
      <c r="O242" s="191" t="s">
        <v>7824</v>
      </c>
      <c r="P242" s="189"/>
      <c r="Q242" s="188">
        <v>43906</v>
      </c>
      <c r="R242" s="188">
        <v>43943</v>
      </c>
      <c r="S242" s="182">
        <v>3162</v>
      </c>
      <c r="T242" s="182" t="s">
        <v>7795</v>
      </c>
      <c r="U242" s="189"/>
      <c r="V242" s="189"/>
      <c r="W242" s="189"/>
    </row>
    <row r="243" spans="1:23" hidden="1" outlineLevel="1">
      <c r="A243" s="1">
        <v>18</v>
      </c>
      <c r="B243" s="188">
        <v>43907</v>
      </c>
      <c r="C243" s="189" t="s">
        <v>7825</v>
      </c>
      <c r="D243" s="210" t="s">
        <v>38</v>
      </c>
      <c r="E243" s="173" t="s">
        <v>39</v>
      </c>
      <c r="F243" s="210">
        <v>37003452001</v>
      </c>
      <c r="G243" s="189" t="s">
        <v>64</v>
      </c>
      <c r="H243" s="189"/>
      <c r="I243" s="210" t="s">
        <v>63</v>
      </c>
      <c r="M243" s="174" t="s">
        <v>7827</v>
      </c>
      <c r="N243" s="174" t="s">
        <v>7826</v>
      </c>
      <c r="O243" s="191" t="s">
        <v>7657</v>
      </c>
      <c r="P243" s="189"/>
      <c r="Q243" s="188">
        <v>43907</v>
      </c>
      <c r="R243" s="188">
        <v>43998</v>
      </c>
      <c r="S243" s="182">
        <v>11205</v>
      </c>
      <c r="T243" s="182" t="s">
        <v>7828</v>
      </c>
      <c r="U243" s="189"/>
      <c r="V243" s="189"/>
      <c r="W243" s="189"/>
    </row>
    <row r="244" spans="1:23" ht="25.5" hidden="1" outlineLevel="1">
      <c r="A244" s="1">
        <v>19</v>
      </c>
      <c r="B244" s="188">
        <v>43914</v>
      </c>
      <c r="C244" s="189" t="s">
        <v>60</v>
      </c>
      <c r="D244" s="210" t="s">
        <v>37</v>
      </c>
      <c r="E244" s="173" t="s">
        <v>23</v>
      </c>
      <c r="F244" s="210">
        <v>18071075</v>
      </c>
      <c r="G244" s="189" t="s">
        <v>64</v>
      </c>
      <c r="H244" s="189"/>
      <c r="I244" s="210" t="s">
        <v>63</v>
      </c>
      <c r="M244" s="174" t="s">
        <v>7829</v>
      </c>
      <c r="N244" s="174" t="s">
        <v>3658</v>
      </c>
      <c r="O244" s="191" t="s">
        <v>7712</v>
      </c>
      <c r="P244" s="189"/>
      <c r="Q244" s="188">
        <v>43915</v>
      </c>
      <c r="R244" s="188">
        <v>43965</v>
      </c>
      <c r="S244" s="182"/>
      <c r="T244" s="182"/>
      <c r="U244" s="189"/>
      <c r="V244" s="189"/>
      <c r="W244" s="189"/>
    </row>
    <row r="245" spans="1:23" hidden="1" outlineLevel="1">
      <c r="A245" s="1">
        <v>20</v>
      </c>
      <c r="B245" s="188">
        <v>43914</v>
      </c>
      <c r="C245" s="189" t="s">
        <v>7364</v>
      </c>
      <c r="D245" s="210" t="s">
        <v>38</v>
      </c>
      <c r="E245" s="173" t="s">
        <v>23</v>
      </c>
      <c r="F245" s="210">
        <v>861785001388440</v>
      </c>
      <c r="G245" s="189" t="s">
        <v>64</v>
      </c>
      <c r="H245" s="189"/>
      <c r="I245" s="210" t="s">
        <v>63</v>
      </c>
      <c r="M245" s="174" t="s">
        <v>7830</v>
      </c>
      <c r="N245" s="174" t="s">
        <v>3657</v>
      </c>
      <c r="O245" s="191" t="s">
        <v>152</v>
      </c>
      <c r="P245" s="189"/>
      <c r="Q245" s="188">
        <v>43914</v>
      </c>
      <c r="R245" s="188">
        <v>43938</v>
      </c>
      <c r="S245" s="182">
        <v>576</v>
      </c>
      <c r="T245" s="182" t="s">
        <v>7831</v>
      </c>
      <c r="U245" s="189"/>
      <c r="V245" s="189"/>
      <c r="W245" s="189"/>
    </row>
    <row r="246" spans="1:23" hidden="1" outlineLevel="1">
      <c r="A246" s="1">
        <v>21</v>
      </c>
      <c r="B246" s="188">
        <v>43916</v>
      </c>
      <c r="C246" s="189" t="s">
        <v>60</v>
      </c>
      <c r="D246" s="210" t="s">
        <v>37</v>
      </c>
      <c r="E246" s="173" t="s">
        <v>23</v>
      </c>
      <c r="F246" s="210">
        <v>18090669</v>
      </c>
      <c r="G246" s="189" t="s">
        <v>64</v>
      </c>
      <c r="H246" s="189"/>
      <c r="I246" s="210" t="s">
        <v>63</v>
      </c>
      <c r="M246" s="174" t="s">
        <v>7833</v>
      </c>
      <c r="N246" s="174" t="s">
        <v>7832</v>
      </c>
      <c r="O246" s="191" t="s">
        <v>7834</v>
      </c>
      <c r="P246" s="189"/>
      <c r="Q246" s="188">
        <v>43917</v>
      </c>
      <c r="R246" s="188">
        <v>43965</v>
      </c>
      <c r="S246" s="182"/>
      <c r="T246" s="182"/>
      <c r="U246" s="189"/>
      <c r="V246" s="189"/>
      <c r="W246" s="189"/>
    </row>
    <row r="247" spans="1:23" ht="25.5" hidden="1" outlineLevel="1">
      <c r="A247" s="1">
        <v>22</v>
      </c>
      <c r="B247" s="188">
        <v>43918</v>
      </c>
      <c r="C247" s="189" t="s">
        <v>7835</v>
      </c>
      <c r="D247" s="210" t="s">
        <v>37</v>
      </c>
      <c r="E247" s="173" t="s">
        <v>43</v>
      </c>
      <c r="F247" s="210"/>
      <c r="G247" s="189" t="s">
        <v>64</v>
      </c>
      <c r="H247" s="189"/>
      <c r="I247" s="210" t="s">
        <v>63</v>
      </c>
      <c r="M247" s="174" t="s">
        <v>7836</v>
      </c>
      <c r="N247" s="174" t="s">
        <v>7598</v>
      </c>
      <c r="O247" s="191" t="s">
        <v>7837</v>
      </c>
      <c r="P247" s="189" t="s">
        <v>7838</v>
      </c>
      <c r="Q247" s="188">
        <v>43928</v>
      </c>
      <c r="R247" s="188">
        <v>43991</v>
      </c>
      <c r="S247" s="182"/>
      <c r="T247" s="182">
        <v>350</v>
      </c>
      <c r="U247" s="189"/>
      <c r="V247" s="189"/>
      <c r="W247" s="189"/>
    </row>
    <row r="248" spans="1:23" hidden="1" outlineLevel="1">
      <c r="A248" s="1">
        <v>23</v>
      </c>
      <c r="B248" s="188">
        <v>43928</v>
      </c>
      <c r="C248" s="189" t="s">
        <v>60</v>
      </c>
      <c r="D248" s="210"/>
      <c r="E248" s="173" t="s">
        <v>23</v>
      </c>
      <c r="F248" s="210">
        <v>20031053</v>
      </c>
      <c r="G248" s="189" t="s">
        <v>64</v>
      </c>
      <c r="H248" s="189"/>
      <c r="I248" s="210" t="s">
        <v>63</v>
      </c>
      <c r="M248" s="174" t="s">
        <v>7410</v>
      </c>
      <c r="N248" s="174"/>
      <c r="O248" s="191" t="s">
        <v>7712</v>
      </c>
      <c r="P248" s="189" t="s">
        <v>90</v>
      </c>
      <c r="Q248" s="188">
        <v>43931</v>
      </c>
      <c r="R248" s="188">
        <v>43977</v>
      </c>
      <c r="S248" s="182"/>
      <c r="T248" s="182"/>
      <c r="U248" s="189"/>
      <c r="V248" s="189"/>
      <c r="W248" s="189"/>
    </row>
    <row r="249" spans="1:23" hidden="1" outlineLevel="1">
      <c r="A249" s="1">
        <v>24</v>
      </c>
      <c r="B249" s="188">
        <v>43936</v>
      </c>
      <c r="C249" s="189" t="s">
        <v>117</v>
      </c>
      <c r="D249" s="210" t="s">
        <v>38</v>
      </c>
      <c r="E249" s="173" t="s">
        <v>39</v>
      </c>
      <c r="F249" s="210">
        <v>82309120034</v>
      </c>
      <c r="G249" s="189" t="s">
        <v>64</v>
      </c>
      <c r="H249" s="189"/>
      <c r="I249" s="210" t="s">
        <v>63</v>
      </c>
      <c r="M249" s="174">
        <v>842</v>
      </c>
      <c r="N249" s="174" t="s">
        <v>7494</v>
      </c>
      <c r="O249" s="191" t="s">
        <v>7839</v>
      </c>
      <c r="P249" s="189"/>
      <c r="Q249" s="188">
        <v>43937</v>
      </c>
      <c r="R249" s="188">
        <v>43991</v>
      </c>
      <c r="S249" s="182">
        <v>5894</v>
      </c>
      <c r="T249" s="182" t="s">
        <v>7828</v>
      </c>
      <c r="U249" s="189"/>
      <c r="V249" s="189"/>
      <c r="W249" s="189"/>
    </row>
    <row r="250" spans="1:23" hidden="1" outlineLevel="1">
      <c r="A250" s="1">
        <v>25</v>
      </c>
      <c r="B250" s="188">
        <v>43937</v>
      </c>
      <c r="C250" s="189" t="s">
        <v>7840</v>
      </c>
      <c r="D250" s="210" t="s">
        <v>38</v>
      </c>
      <c r="E250" s="173" t="s">
        <v>39</v>
      </c>
      <c r="F250" s="210">
        <v>110063</v>
      </c>
      <c r="G250" s="189" t="s">
        <v>64</v>
      </c>
      <c r="H250" s="189"/>
      <c r="I250" s="210" t="s">
        <v>63</v>
      </c>
      <c r="M250" s="174"/>
      <c r="N250" s="174" t="s">
        <v>7841</v>
      </c>
      <c r="O250" s="191" t="s">
        <v>152</v>
      </c>
      <c r="P250" s="189"/>
      <c r="Q250" s="188">
        <v>43938</v>
      </c>
      <c r="R250" s="188">
        <v>43938</v>
      </c>
      <c r="S250" s="182">
        <v>900</v>
      </c>
      <c r="T250" s="182"/>
      <c r="U250" s="189"/>
      <c r="V250" s="189"/>
      <c r="W250" s="189"/>
    </row>
    <row r="251" spans="1:23" hidden="1" outlineLevel="1">
      <c r="A251" s="1">
        <v>26</v>
      </c>
      <c r="B251" s="188">
        <v>43941</v>
      </c>
      <c r="C251" s="189" t="s">
        <v>60</v>
      </c>
      <c r="D251" s="210" t="s">
        <v>37</v>
      </c>
      <c r="E251" s="173" t="s">
        <v>23</v>
      </c>
      <c r="F251" s="210">
        <v>18090621</v>
      </c>
      <c r="G251" s="189" t="s">
        <v>64</v>
      </c>
      <c r="H251" s="189"/>
      <c r="I251" s="210" t="s">
        <v>63</v>
      </c>
      <c r="M251" s="174" t="s">
        <v>7842</v>
      </c>
      <c r="N251" s="174" t="s">
        <v>3786</v>
      </c>
      <c r="O251" s="191" t="s">
        <v>7394</v>
      </c>
      <c r="P251" s="189"/>
      <c r="Q251" s="188">
        <v>43941</v>
      </c>
      <c r="R251" s="188">
        <v>43965</v>
      </c>
      <c r="S251" s="182"/>
      <c r="T251" s="182"/>
      <c r="U251" s="189"/>
      <c r="V251" s="189"/>
      <c r="W251" s="189"/>
    </row>
    <row r="252" spans="1:23" hidden="1" outlineLevel="1">
      <c r="A252" s="1">
        <v>27</v>
      </c>
      <c r="B252" s="188">
        <v>43943</v>
      </c>
      <c r="C252" s="189" t="s">
        <v>154</v>
      </c>
      <c r="D252" s="210" t="s">
        <v>38</v>
      </c>
      <c r="E252" s="173" t="s">
        <v>23</v>
      </c>
      <c r="F252" s="210">
        <v>868324025275624</v>
      </c>
      <c r="G252" s="189" t="s">
        <v>64</v>
      </c>
      <c r="H252" s="189"/>
      <c r="I252" s="210" t="s">
        <v>63</v>
      </c>
      <c r="M252" s="174" t="s">
        <v>7844</v>
      </c>
      <c r="N252" s="174" t="s">
        <v>7843</v>
      </c>
      <c r="O252" s="191" t="s">
        <v>7845</v>
      </c>
      <c r="P252" s="189"/>
      <c r="Q252" s="188">
        <v>43943</v>
      </c>
      <c r="R252" s="188">
        <v>43997</v>
      </c>
      <c r="S252" s="182">
        <v>360</v>
      </c>
      <c r="T252" s="182" t="s">
        <v>7846</v>
      </c>
      <c r="U252" s="189"/>
      <c r="V252" s="189"/>
      <c r="W252" s="189"/>
    </row>
    <row r="253" spans="1:23" hidden="1" outlineLevel="1">
      <c r="A253" s="1">
        <v>28</v>
      </c>
      <c r="B253" s="188">
        <v>43943</v>
      </c>
      <c r="C253" s="189" t="s">
        <v>7847</v>
      </c>
      <c r="D253" s="210" t="s">
        <v>37</v>
      </c>
      <c r="E253" s="173" t="s">
        <v>39</v>
      </c>
      <c r="F253" s="210" t="s">
        <v>4156</v>
      </c>
      <c r="G253" s="189" t="s">
        <v>64</v>
      </c>
      <c r="H253" s="189"/>
      <c r="I253" s="210" t="s">
        <v>63</v>
      </c>
      <c r="M253" s="174" t="s">
        <v>3330</v>
      </c>
      <c r="N253" s="174" t="s">
        <v>7848</v>
      </c>
      <c r="O253" s="191" t="s">
        <v>152</v>
      </c>
      <c r="P253" s="189"/>
      <c r="Q253" s="188">
        <v>43944</v>
      </c>
      <c r="R253" s="188">
        <v>43957</v>
      </c>
      <c r="S253" s="182"/>
      <c r="T253" s="182">
        <v>350</v>
      </c>
      <c r="U253" s="189"/>
      <c r="V253" s="189"/>
      <c r="W253" s="189"/>
    </row>
    <row r="254" spans="1:23" hidden="1" outlineLevel="1">
      <c r="A254" s="1">
        <v>29</v>
      </c>
      <c r="B254" s="188">
        <v>43950</v>
      </c>
      <c r="C254" s="189" t="s">
        <v>138</v>
      </c>
      <c r="D254" s="210" t="s">
        <v>37</v>
      </c>
      <c r="E254" s="173" t="s">
        <v>23</v>
      </c>
      <c r="F254" s="210">
        <v>403541</v>
      </c>
      <c r="G254" s="189" t="s">
        <v>64</v>
      </c>
      <c r="H254" s="189"/>
      <c r="I254" s="210" t="s">
        <v>63</v>
      </c>
      <c r="M254" s="174"/>
      <c r="N254" s="174" t="s">
        <v>7849</v>
      </c>
      <c r="O254" s="191" t="s">
        <v>72</v>
      </c>
      <c r="P254" s="189"/>
      <c r="Q254" s="188">
        <v>43951</v>
      </c>
      <c r="R254" s="188">
        <v>43977</v>
      </c>
      <c r="S254" s="182"/>
      <c r="T254" s="182" t="s">
        <v>7850</v>
      </c>
      <c r="U254" s="189"/>
      <c r="V254" s="189"/>
      <c r="W254" s="189"/>
    </row>
    <row r="255" spans="1:23" hidden="1" outlineLevel="1">
      <c r="A255" s="1">
        <v>30</v>
      </c>
      <c r="B255" s="188">
        <v>43950</v>
      </c>
      <c r="C255" s="189" t="s">
        <v>138</v>
      </c>
      <c r="D255" s="210" t="s">
        <v>38</v>
      </c>
      <c r="E255" s="173" t="s">
        <v>23</v>
      </c>
      <c r="F255" s="210">
        <v>299868</v>
      </c>
      <c r="G255" s="189" t="s">
        <v>64</v>
      </c>
      <c r="H255" s="189"/>
      <c r="I255" s="210" t="s">
        <v>63</v>
      </c>
      <c r="M255" s="174"/>
      <c r="N255" s="174" t="s">
        <v>7851</v>
      </c>
      <c r="O255" s="191" t="s">
        <v>93</v>
      </c>
      <c r="P255" s="189"/>
      <c r="Q255" s="188">
        <v>43951</v>
      </c>
      <c r="R255" s="188">
        <v>43977</v>
      </c>
      <c r="S255" s="182">
        <v>500</v>
      </c>
      <c r="T255" s="182" t="s">
        <v>7850</v>
      </c>
      <c r="U255" s="189"/>
      <c r="V255" s="189"/>
      <c r="W255" s="189"/>
    </row>
    <row r="256" spans="1:23" hidden="1" outlineLevel="1">
      <c r="A256" s="1">
        <v>31</v>
      </c>
      <c r="B256" s="188">
        <v>43958</v>
      </c>
      <c r="C256" s="189" t="s">
        <v>91</v>
      </c>
      <c r="D256" s="210" t="s">
        <v>37</v>
      </c>
      <c r="E256" s="173" t="s">
        <v>23</v>
      </c>
      <c r="F256" s="210">
        <v>868345031711757</v>
      </c>
      <c r="G256" s="189" t="s">
        <v>64</v>
      </c>
      <c r="H256" s="189"/>
      <c r="I256" s="210" t="s">
        <v>63</v>
      </c>
      <c r="M256" s="174" t="s">
        <v>7852</v>
      </c>
      <c r="N256" s="174" t="s">
        <v>2655</v>
      </c>
      <c r="O256" s="191" t="s">
        <v>7394</v>
      </c>
      <c r="P256" s="189"/>
      <c r="Q256" s="188">
        <v>43958</v>
      </c>
      <c r="R256" s="188">
        <v>43998</v>
      </c>
      <c r="S256" s="182"/>
      <c r="T256" s="182">
        <v>261</v>
      </c>
      <c r="U256" s="189"/>
      <c r="V256" s="189"/>
      <c r="W256" s="189"/>
    </row>
    <row r="257" spans="1:23" hidden="1" outlineLevel="1">
      <c r="A257" s="1">
        <v>32</v>
      </c>
      <c r="B257" s="188">
        <v>43970</v>
      </c>
      <c r="C257" s="189" t="s">
        <v>154</v>
      </c>
      <c r="D257" s="210" t="s">
        <v>37</v>
      </c>
      <c r="E257" s="173" t="s">
        <v>23</v>
      </c>
      <c r="F257" s="210">
        <v>865733023832264</v>
      </c>
      <c r="G257" s="189" t="s">
        <v>64</v>
      </c>
      <c r="H257" s="189"/>
      <c r="I257" s="210" t="s">
        <v>63</v>
      </c>
      <c r="M257" s="174" t="s">
        <v>7854</v>
      </c>
      <c r="N257" s="174" t="s">
        <v>7853</v>
      </c>
      <c r="O257" s="191" t="s">
        <v>7855</v>
      </c>
      <c r="P257" s="189"/>
      <c r="Q257" s="188">
        <v>43970</v>
      </c>
      <c r="R257" s="188">
        <v>43997</v>
      </c>
      <c r="S257" s="182"/>
      <c r="T257" s="182" t="s">
        <v>7846</v>
      </c>
      <c r="U257" s="189"/>
      <c r="V257" s="189"/>
      <c r="W257" s="189"/>
    </row>
    <row r="258" spans="1:23" hidden="1" outlineLevel="1">
      <c r="A258" s="1">
        <v>33</v>
      </c>
      <c r="B258" s="188">
        <v>43971</v>
      </c>
      <c r="C258" s="189" t="s">
        <v>91</v>
      </c>
      <c r="D258" s="210" t="s">
        <v>37</v>
      </c>
      <c r="E258" s="173" t="s">
        <v>23</v>
      </c>
      <c r="F258" s="210">
        <v>864287031854530</v>
      </c>
      <c r="G258" s="189" t="s">
        <v>64</v>
      </c>
      <c r="H258" s="189"/>
      <c r="I258" s="210" t="s">
        <v>63</v>
      </c>
      <c r="M258" s="174" t="s">
        <v>7856</v>
      </c>
      <c r="N258" s="174" t="s">
        <v>919</v>
      </c>
      <c r="O258" s="191" t="s">
        <v>7394</v>
      </c>
      <c r="P258" s="189"/>
      <c r="Q258" s="188">
        <v>43972</v>
      </c>
      <c r="R258" s="188">
        <v>43998</v>
      </c>
      <c r="S258" s="182"/>
      <c r="T258" s="182">
        <v>261</v>
      </c>
      <c r="U258" s="189"/>
      <c r="V258" s="189"/>
      <c r="W258" s="189"/>
    </row>
    <row r="259" spans="1:23" hidden="1" outlineLevel="1">
      <c r="A259" s="1">
        <v>34</v>
      </c>
      <c r="B259" s="188">
        <v>43977</v>
      </c>
      <c r="C259" s="189" t="s">
        <v>60</v>
      </c>
      <c r="D259" s="210" t="s">
        <v>37</v>
      </c>
      <c r="E259" s="173" t="s">
        <v>23</v>
      </c>
      <c r="F259" s="210">
        <v>15110400</v>
      </c>
      <c r="G259" s="189" t="s">
        <v>64</v>
      </c>
      <c r="H259" s="189"/>
      <c r="I259" s="210" t="s">
        <v>63</v>
      </c>
      <c r="M259" s="174" t="s">
        <v>3464</v>
      </c>
      <c r="N259" s="174" t="s">
        <v>7857</v>
      </c>
      <c r="O259" s="191" t="s">
        <v>7712</v>
      </c>
      <c r="P259" s="189"/>
      <c r="Q259" s="188">
        <v>43977</v>
      </c>
      <c r="R259" s="188">
        <v>44004</v>
      </c>
      <c r="S259" s="182"/>
      <c r="T259" s="182"/>
      <c r="U259" s="189"/>
      <c r="V259" s="189"/>
      <c r="W259" s="189"/>
    </row>
    <row r="260" spans="1:23" hidden="1" outlineLevel="1">
      <c r="A260" s="1">
        <v>35</v>
      </c>
      <c r="B260" s="188">
        <v>43977</v>
      </c>
      <c r="C260" s="189" t="s">
        <v>60</v>
      </c>
      <c r="D260" s="210" t="s">
        <v>37</v>
      </c>
      <c r="E260" s="173" t="s">
        <v>23</v>
      </c>
      <c r="F260" s="210">
        <v>18120501</v>
      </c>
      <c r="G260" s="189" t="s">
        <v>64</v>
      </c>
      <c r="H260" s="189"/>
      <c r="I260" s="210" t="s">
        <v>63</v>
      </c>
      <c r="M260" s="174" t="s">
        <v>7859</v>
      </c>
      <c r="N260" s="174" t="s">
        <v>7858</v>
      </c>
      <c r="O260" s="191" t="s">
        <v>72</v>
      </c>
      <c r="P260" s="189"/>
      <c r="Q260" s="188">
        <v>43977</v>
      </c>
      <c r="R260" s="188">
        <v>44004</v>
      </c>
      <c r="S260" s="182"/>
      <c r="T260" s="182"/>
      <c r="U260" s="189"/>
      <c r="V260" s="189"/>
      <c r="W260" s="189"/>
    </row>
    <row r="261" spans="1:23" hidden="1" outlineLevel="1">
      <c r="A261" s="1">
        <v>36</v>
      </c>
      <c r="B261" s="188">
        <v>43978</v>
      </c>
      <c r="C261" s="189" t="s">
        <v>7723</v>
      </c>
      <c r="D261" s="210" t="s">
        <v>37</v>
      </c>
      <c r="E261" s="173" t="s">
        <v>39</v>
      </c>
      <c r="F261" s="210" t="s">
        <v>4167</v>
      </c>
      <c r="G261" s="189" t="s">
        <v>64</v>
      </c>
      <c r="H261" s="189"/>
      <c r="I261" s="210" t="s">
        <v>63</v>
      </c>
      <c r="M261" s="174" t="s">
        <v>7861</v>
      </c>
      <c r="N261" s="174" t="s">
        <v>7860</v>
      </c>
      <c r="O261" s="191" t="s">
        <v>7862</v>
      </c>
      <c r="P261" s="189" t="s">
        <v>7863</v>
      </c>
      <c r="Q261" s="188">
        <v>43978</v>
      </c>
      <c r="R261" s="188">
        <v>43998</v>
      </c>
      <c r="S261" s="182"/>
      <c r="T261" s="182">
        <v>350</v>
      </c>
      <c r="U261" s="189"/>
      <c r="V261" s="189"/>
      <c r="W261" s="189"/>
    </row>
    <row r="262" spans="1:23" hidden="1" outlineLevel="1">
      <c r="A262" s="1">
        <v>37</v>
      </c>
      <c r="B262" s="188">
        <v>43978</v>
      </c>
      <c r="C262" s="189" t="s">
        <v>7330</v>
      </c>
      <c r="D262" s="210" t="s">
        <v>37</v>
      </c>
      <c r="E262" s="173" t="s">
        <v>23</v>
      </c>
      <c r="F262" s="210">
        <v>203100115558</v>
      </c>
      <c r="G262" s="189" t="s">
        <v>64</v>
      </c>
      <c r="H262" s="189"/>
      <c r="I262" s="210" t="s">
        <v>63</v>
      </c>
      <c r="M262" s="174" t="s">
        <v>7864</v>
      </c>
      <c r="N262" s="174" t="s">
        <v>3703</v>
      </c>
      <c r="O262" s="191" t="s">
        <v>7769</v>
      </c>
      <c r="P262" s="189" t="s">
        <v>7865</v>
      </c>
      <c r="Q262" s="188">
        <v>43978</v>
      </c>
      <c r="R262" s="188">
        <v>43990</v>
      </c>
      <c r="S262" s="182"/>
      <c r="T262" s="182">
        <v>261</v>
      </c>
      <c r="U262" s="189"/>
      <c r="V262" s="189"/>
      <c r="W262" s="189"/>
    </row>
    <row r="263" spans="1:23" ht="24" hidden="1" outlineLevel="1">
      <c r="A263" s="1">
        <v>38</v>
      </c>
      <c r="B263" s="188">
        <v>43985</v>
      </c>
      <c r="C263" s="189" t="s">
        <v>7330</v>
      </c>
      <c r="D263" s="210" t="s">
        <v>37</v>
      </c>
      <c r="E263" s="173" t="s">
        <v>23</v>
      </c>
      <c r="F263" s="210">
        <v>3016010001072</v>
      </c>
      <c r="G263" s="189" t="s">
        <v>64</v>
      </c>
      <c r="H263" s="189"/>
      <c r="I263" s="210" t="s">
        <v>63</v>
      </c>
      <c r="M263" s="174" t="s">
        <v>7867</v>
      </c>
      <c r="N263" s="197" t="s">
        <v>7866</v>
      </c>
      <c r="O263" s="191" t="s">
        <v>7657</v>
      </c>
      <c r="P263" s="189" t="s">
        <v>7868</v>
      </c>
      <c r="Q263" s="188">
        <v>43986</v>
      </c>
      <c r="R263" s="188">
        <v>44000</v>
      </c>
      <c r="S263" s="182"/>
      <c r="T263" s="182">
        <v>261</v>
      </c>
      <c r="U263" s="189"/>
      <c r="V263" s="189"/>
      <c r="W263" s="189"/>
    </row>
    <row r="264" spans="1:23" hidden="1" outlineLevel="1">
      <c r="A264" s="1">
        <v>39</v>
      </c>
      <c r="B264" s="188">
        <v>43985</v>
      </c>
      <c r="C264" s="189" t="s">
        <v>608</v>
      </c>
      <c r="D264" s="210" t="s">
        <v>37</v>
      </c>
      <c r="E264" s="173" t="s">
        <v>23</v>
      </c>
      <c r="F264" s="210">
        <v>866795035201225</v>
      </c>
      <c r="G264" s="189" t="s">
        <v>64</v>
      </c>
      <c r="H264" s="189"/>
      <c r="I264" s="210" t="s">
        <v>63</v>
      </c>
      <c r="M264" s="174" t="s">
        <v>7870</v>
      </c>
      <c r="N264" s="174" t="s">
        <v>7869</v>
      </c>
      <c r="O264" s="191" t="s">
        <v>7871</v>
      </c>
      <c r="P264" s="189" t="s">
        <v>7872</v>
      </c>
      <c r="Q264" s="188">
        <v>43986</v>
      </c>
      <c r="R264" s="188">
        <v>13.08</v>
      </c>
      <c r="S264" s="182"/>
      <c r="T264" s="182" t="s">
        <v>7873</v>
      </c>
      <c r="U264" s="189"/>
      <c r="V264" s="189"/>
      <c r="W264" s="189"/>
    </row>
    <row r="265" spans="1:23" hidden="1" outlineLevel="1">
      <c r="A265" s="1">
        <v>40</v>
      </c>
      <c r="B265" s="188">
        <v>43986</v>
      </c>
      <c r="C265" s="189" t="s">
        <v>117</v>
      </c>
      <c r="D265" s="210" t="s">
        <v>38</v>
      </c>
      <c r="E265" s="173" t="s">
        <v>39</v>
      </c>
      <c r="F265" s="210">
        <v>29173092017</v>
      </c>
      <c r="G265" s="189" t="s">
        <v>64</v>
      </c>
      <c r="H265" s="189"/>
      <c r="I265" s="210" t="s">
        <v>63</v>
      </c>
      <c r="M265" s="174" t="s">
        <v>7875</v>
      </c>
      <c r="N265" s="174" t="s">
        <v>7874</v>
      </c>
      <c r="O265" s="191" t="s">
        <v>7876</v>
      </c>
      <c r="P265" s="189"/>
      <c r="Q265" s="188">
        <v>43986</v>
      </c>
      <c r="R265" s="188">
        <v>44039</v>
      </c>
      <c r="S265" s="182">
        <v>4138</v>
      </c>
      <c r="T265" s="182" t="s">
        <v>7877</v>
      </c>
      <c r="U265" s="189"/>
      <c r="V265" s="189"/>
      <c r="W265" s="189"/>
    </row>
    <row r="266" spans="1:23" ht="24" hidden="1" outlineLevel="1">
      <c r="A266" s="1">
        <v>41</v>
      </c>
      <c r="B266" s="188">
        <v>43997</v>
      </c>
      <c r="C266" s="189" t="s">
        <v>7330</v>
      </c>
      <c r="D266" s="210" t="s">
        <v>37</v>
      </c>
      <c r="E266" s="173" t="s">
        <v>23</v>
      </c>
      <c r="F266" s="210">
        <v>3016010000724</v>
      </c>
      <c r="G266" s="189" t="s">
        <v>64</v>
      </c>
      <c r="H266" s="189"/>
      <c r="I266" s="210" t="s">
        <v>63</v>
      </c>
      <c r="M266" s="174" t="s">
        <v>7867</v>
      </c>
      <c r="N266" s="197" t="s">
        <v>7866</v>
      </c>
      <c r="O266" s="191" t="s">
        <v>72</v>
      </c>
      <c r="P266" s="189" t="s">
        <v>7878</v>
      </c>
      <c r="Q266" s="188">
        <v>43997</v>
      </c>
      <c r="R266" s="188">
        <v>44014</v>
      </c>
      <c r="S266" s="182"/>
      <c r="T266" s="182">
        <v>290</v>
      </c>
      <c r="U266" s="189"/>
      <c r="V266" s="189"/>
      <c r="W266" s="189"/>
    </row>
    <row r="267" spans="1:23" hidden="1" outlineLevel="1">
      <c r="A267" s="1">
        <v>42</v>
      </c>
      <c r="B267" s="188">
        <v>43999</v>
      </c>
      <c r="C267" s="189" t="s">
        <v>60</v>
      </c>
      <c r="D267" s="210" t="s">
        <v>37</v>
      </c>
      <c r="E267" s="173" t="s">
        <v>23</v>
      </c>
      <c r="F267" s="210">
        <v>17050957</v>
      </c>
      <c r="G267" s="189" t="s">
        <v>64</v>
      </c>
      <c r="H267" s="189"/>
      <c r="I267" s="210" t="s">
        <v>63</v>
      </c>
      <c r="M267" s="174" t="s">
        <v>7879</v>
      </c>
      <c r="N267" s="174" t="s">
        <v>3765</v>
      </c>
      <c r="O267" s="191" t="s">
        <v>72</v>
      </c>
      <c r="P267" s="189"/>
      <c r="Q267" s="188">
        <v>44000</v>
      </c>
      <c r="R267" s="188">
        <v>44008</v>
      </c>
      <c r="S267" s="182"/>
      <c r="T267" s="182"/>
      <c r="U267" s="189"/>
      <c r="V267" s="189"/>
      <c r="W267" s="189"/>
    </row>
    <row r="268" spans="1:23" hidden="1" outlineLevel="1">
      <c r="A268" s="1">
        <v>43</v>
      </c>
      <c r="B268" s="188">
        <v>44000</v>
      </c>
      <c r="C268" s="189" t="s">
        <v>149</v>
      </c>
      <c r="D268" s="210" t="s">
        <v>37</v>
      </c>
      <c r="E268" s="173" t="s">
        <v>23</v>
      </c>
      <c r="F268" s="210">
        <v>866795035289402</v>
      </c>
      <c r="G268" s="189" t="s">
        <v>64</v>
      </c>
      <c r="H268" s="189"/>
      <c r="I268" s="210" t="s">
        <v>63</v>
      </c>
      <c r="M268" s="174" t="s">
        <v>7881</v>
      </c>
      <c r="N268" s="174" t="s">
        <v>7880</v>
      </c>
      <c r="O268" s="191" t="s">
        <v>7431</v>
      </c>
      <c r="P268" s="189"/>
      <c r="Q268" s="188">
        <v>44001</v>
      </c>
      <c r="R268" s="188">
        <v>13.08</v>
      </c>
      <c r="S268" s="182"/>
      <c r="T268" s="182" t="s">
        <v>7873</v>
      </c>
      <c r="U268" s="189"/>
      <c r="V268" s="189"/>
      <c r="W268" s="189"/>
    </row>
    <row r="269" spans="1:23" hidden="1" outlineLevel="1">
      <c r="A269" s="1">
        <v>44</v>
      </c>
      <c r="B269" s="188">
        <v>44000</v>
      </c>
      <c r="C269" s="189" t="s">
        <v>608</v>
      </c>
      <c r="D269" s="210" t="s">
        <v>38</v>
      </c>
      <c r="E269" s="173" t="s">
        <v>23</v>
      </c>
      <c r="F269" s="210">
        <v>866795035272291</v>
      </c>
      <c r="G269" s="189" t="s">
        <v>64</v>
      </c>
      <c r="H269" s="189"/>
      <c r="I269" s="210" t="s">
        <v>63</v>
      </c>
      <c r="M269" s="174"/>
      <c r="N269" s="174" t="s">
        <v>7882</v>
      </c>
      <c r="O269" s="191" t="s">
        <v>72</v>
      </c>
      <c r="P269" s="189" t="s">
        <v>7659</v>
      </c>
      <c r="Q269" s="188">
        <v>44001</v>
      </c>
      <c r="R269" s="188">
        <v>44056</v>
      </c>
      <c r="S269" s="182"/>
      <c r="T269" s="182" t="s">
        <v>7873</v>
      </c>
      <c r="U269" s="189"/>
      <c r="V269" s="189"/>
      <c r="W269" s="189"/>
    </row>
    <row r="270" spans="1:23" hidden="1" outlineLevel="1">
      <c r="A270" s="1">
        <v>45</v>
      </c>
      <c r="B270" s="188">
        <v>44000</v>
      </c>
      <c r="C270" s="189" t="s">
        <v>91</v>
      </c>
      <c r="D270" s="210" t="s">
        <v>38</v>
      </c>
      <c r="E270" s="173" t="s">
        <v>23</v>
      </c>
      <c r="F270" s="210">
        <v>863586031429669</v>
      </c>
      <c r="G270" s="189" t="s">
        <v>64</v>
      </c>
      <c r="H270" s="189"/>
      <c r="I270" s="210" t="s">
        <v>63</v>
      </c>
      <c r="M270" s="174" t="s">
        <v>7883</v>
      </c>
      <c r="N270" s="174" t="s">
        <v>3664</v>
      </c>
      <c r="O270" s="191" t="s">
        <v>72</v>
      </c>
      <c r="P270" s="189"/>
      <c r="Q270" s="188">
        <v>44001</v>
      </c>
      <c r="R270" s="188">
        <v>44056</v>
      </c>
      <c r="S270" s="182">
        <v>400</v>
      </c>
      <c r="T270" s="182" t="s">
        <v>7873</v>
      </c>
      <c r="U270" s="189"/>
      <c r="V270" s="189"/>
      <c r="W270" s="189"/>
    </row>
    <row r="271" spans="1:23" hidden="1" outlineLevel="1">
      <c r="A271" s="1">
        <v>46</v>
      </c>
      <c r="B271" s="188">
        <v>44001</v>
      </c>
      <c r="C271" s="189" t="s">
        <v>7884</v>
      </c>
      <c r="D271" s="210" t="s">
        <v>38</v>
      </c>
      <c r="E271" s="173" t="s">
        <v>39</v>
      </c>
      <c r="F271" s="210">
        <v>63403174017</v>
      </c>
      <c r="G271" s="189" t="s">
        <v>64</v>
      </c>
      <c r="H271" s="189"/>
      <c r="I271" s="210" t="s">
        <v>63</v>
      </c>
      <c r="M271" s="174" t="s">
        <v>7886</v>
      </c>
      <c r="N271" s="174" t="s">
        <v>7885</v>
      </c>
      <c r="O271" s="191" t="s">
        <v>7887</v>
      </c>
      <c r="P271" s="189"/>
      <c r="Q271" s="188">
        <v>44001</v>
      </c>
      <c r="R271" s="188">
        <v>44054</v>
      </c>
      <c r="S271" s="182">
        <v>10754</v>
      </c>
      <c r="T271" s="182" t="s">
        <v>7888</v>
      </c>
      <c r="U271" s="189"/>
      <c r="V271" s="189"/>
      <c r="W271" s="189"/>
    </row>
    <row r="272" spans="1:23" hidden="1" outlineLevel="1">
      <c r="A272" s="1">
        <v>47</v>
      </c>
      <c r="B272" s="188">
        <v>44001</v>
      </c>
      <c r="C272" s="189" t="s">
        <v>117</v>
      </c>
      <c r="D272" s="210" t="s">
        <v>38</v>
      </c>
      <c r="E272" s="173" t="s">
        <v>39</v>
      </c>
      <c r="F272" s="210">
        <v>16644254023</v>
      </c>
      <c r="G272" s="189" t="s">
        <v>64</v>
      </c>
      <c r="H272" s="189"/>
      <c r="I272" s="210" t="s">
        <v>63</v>
      </c>
      <c r="M272" s="174" t="s">
        <v>7890</v>
      </c>
      <c r="N272" s="174" t="s">
        <v>7889</v>
      </c>
      <c r="O272" s="191" t="s">
        <v>7891</v>
      </c>
      <c r="P272" s="189"/>
      <c r="Q272" s="188">
        <v>44001</v>
      </c>
      <c r="R272" s="188">
        <v>44160</v>
      </c>
      <c r="S272" s="182">
        <v>4000</v>
      </c>
      <c r="T272" s="182" t="s">
        <v>7892</v>
      </c>
      <c r="U272" s="189"/>
      <c r="V272" s="189"/>
      <c r="W272" s="189"/>
    </row>
    <row r="273" spans="1:23" hidden="1" outlineLevel="1">
      <c r="A273" s="1">
        <v>48</v>
      </c>
      <c r="B273" s="188">
        <v>44008</v>
      </c>
      <c r="C273" s="189" t="s">
        <v>138</v>
      </c>
      <c r="D273" s="210" t="s">
        <v>38</v>
      </c>
      <c r="E273" s="173" t="s">
        <v>23</v>
      </c>
      <c r="F273" s="210">
        <v>403540</v>
      </c>
      <c r="G273" s="189" t="s">
        <v>64</v>
      </c>
      <c r="H273" s="189"/>
      <c r="I273" s="210" t="s">
        <v>63</v>
      </c>
      <c r="M273" s="174"/>
      <c r="N273" s="174" t="s">
        <v>7494</v>
      </c>
      <c r="O273" s="191" t="s">
        <v>7431</v>
      </c>
      <c r="P273" s="189"/>
      <c r="Q273" s="188">
        <v>44008</v>
      </c>
      <c r="R273" s="188">
        <v>44032</v>
      </c>
      <c r="S273" s="182">
        <v>500</v>
      </c>
      <c r="T273" s="182" t="s">
        <v>7893</v>
      </c>
      <c r="U273" s="189"/>
      <c r="V273" s="189"/>
      <c r="W273" s="189"/>
    </row>
    <row r="274" spans="1:23" ht="25.5" hidden="1" outlineLevel="1">
      <c r="A274" s="1">
        <v>49</v>
      </c>
      <c r="B274" s="188">
        <v>44011</v>
      </c>
      <c r="C274" s="189" t="s">
        <v>60</v>
      </c>
      <c r="D274" s="210" t="s">
        <v>37</v>
      </c>
      <c r="E274" s="173" t="s">
        <v>23</v>
      </c>
      <c r="F274" s="210">
        <v>17030798</v>
      </c>
      <c r="G274" s="189" t="s">
        <v>64</v>
      </c>
      <c r="H274" s="189"/>
      <c r="I274" s="210" t="s">
        <v>63</v>
      </c>
      <c r="M274" s="174" t="s">
        <v>7894</v>
      </c>
      <c r="N274" s="174" t="s">
        <v>3837</v>
      </c>
      <c r="O274" s="191"/>
      <c r="P274" s="189"/>
      <c r="Q274" s="188">
        <v>44015</v>
      </c>
      <c r="R274" s="188">
        <v>44028</v>
      </c>
      <c r="S274" s="182"/>
      <c r="T274" s="182"/>
      <c r="U274" s="189"/>
      <c r="V274" s="189"/>
      <c r="W274" s="189"/>
    </row>
    <row r="275" spans="1:23" hidden="1" outlineLevel="1">
      <c r="A275" s="1">
        <v>50</v>
      </c>
      <c r="B275" s="188">
        <v>44011</v>
      </c>
      <c r="C275" s="189" t="s">
        <v>60</v>
      </c>
      <c r="D275" s="210" t="s">
        <v>37</v>
      </c>
      <c r="E275" s="173" t="s">
        <v>23</v>
      </c>
      <c r="F275" s="210">
        <v>20031055</v>
      </c>
      <c r="G275" s="189" t="s">
        <v>64</v>
      </c>
      <c r="H275" s="189"/>
      <c r="I275" s="210" t="s">
        <v>63</v>
      </c>
      <c r="M275" s="174" t="s">
        <v>7895</v>
      </c>
      <c r="N275" s="174" t="s">
        <v>7858</v>
      </c>
      <c r="O275" s="191" t="s">
        <v>72</v>
      </c>
      <c r="P275" s="189"/>
      <c r="Q275" s="188">
        <v>44015</v>
      </c>
      <c r="R275" s="188">
        <v>44028</v>
      </c>
      <c r="S275" s="182"/>
      <c r="T275" s="182"/>
      <c r="U275" s="189"/>
      <c r="V275" s="189"/>
      <c r="W275" s="189"/>
    </row>
    <row r="276" spans="1:23" hidden="1" outlineLevel="1">
      <c r="A276" s="1">
        <v>51</v>
      </c>
      <c r="B276" s="188">
        <v>44012</v>
      </c>
      <c r="C276" s="189" t="s">
        <v>138</v>
      </c>
      <c r="D276" s="210" t="s">
        <v>38</v>
      </c>
      <c r="E276" s="173" t="s">
        <v>23</v>
      </c>
      <c r="F276" s="210">
        <v>403534</v>
      </c>
      <c r="G276" s="189" t="s">
        <v>64</v>
      </c>
      <c r="H276" s="189"/>
      <c r="I276" s="210" t="s">
        <v>63</v>
      </c>
      <c r="M276" s="174" t="s">
        <v>7896</v>
      </c>
      <c r="N276" s="174" t="s">
        <v>7494</v>
      </c>
      <c r="O276" s="191" t="s">
        <v>7897</v>
      </c>
      <c r="P276" s="189"/>
      <c r="Q276" s="188">
        <v>44012</v>
      </c>
      <c r="R276" s="188">
        <v>44032</v>
      </c>
      <c r="S276" s="182">
        <v>500</v>
      </c>
      <c r="T276" s="182" t="s">
        <v>7893</v>
      </c>
      <c r="U276" s="189"/>
      <c r="V276" s="189"/>
      <c r="W276" s="189"/>
    </row>
    <row r="277" spans="1:23" hidden="1" outlineLevel="1">
      <c r="A277" s="1">
        <v>52</v>
      </c>
      <c r="B277" s="188">
        <v>44014</v>
      </c>
      <c r="C277" s="189" t="s">
        <v>7898</v>
      </c>
      <c r="D277" s="210" t="s">
        <v>37</v>
      </c>
      <c r="E277" s="173" t="s">
        <v>23</v>
      </c>
      <c r="F277" s="210">
        <v>16040285</v>
      </c>
      <c r="G277" s="189" t="s">
        <v>64</v>
      </c>
      <c r="H277" s="189"/>
      <c r="I277" s="210" t="s">
        <v>63</v>
      </c>
      <c r="M277" s="174" t="s">
        <v>7899</v>
      </c>
      <c r="N277" s="174" t="s">
        <v>3771</v>
      </c>
      <c r="O277" s="191" t="s">
        <v>7900</v>
      </c>
      <c r="P277" s="189"/>
      <c r="Q277" s="188">
        <v>44015</v>
      </c>
      <c r="R277" s="188">
        <v>44028</v>
      </c>
      <c r="S277" s="182"/>
      <c r="T277" s="182"/>
      <c r="U277" s="189"/>
      <c r="V277" s="189"/>
      <c r="W277" s="189"/>
    </row>
    <row r="278" spans="1:23" hidden="1" outlineLevel="1">
      <c r="A278" s="1">
        <v>53</v>
      </c>
      <c r="B278" s="188">
        <v>44014</v>
      </c>
      <c r="C278" s="189" t="s">
        <v>60</v>
      </c>
      <c r="D278" s="210" t="s">
        <v>37</v>
      </c>
      <c r="E278" s="173" t="s">
        <v>23</v>
      </c>
      <c r="F278" s="210">
        <v>17020798</v>
      </c>
      <c r="G278" s="189" t="s">
        <v>64</v>
      </c>
      <c r="H278" s="189"/>
      <c r="I278" s="210" t="s">
        <v>63</v>
      </c>
      <c r="M278" s="174" t="s">
        <v>7901</v>
      </c>
      <c r="N278" s="174" t="s">
        <v>3771</v>
      </c>
      <c r="O278" s="191" t="s">
        <v>7902</v>
      </c>
      <c r="P278" s="189"/>
      <c r="Q278" s="188">
        <v>44015</v>
      </c>
      <c r="R278" s="188">
        <v>44028</v>
      </c>
      <c r="S278" s="182"/>
      <c r="T278" s="182"/>
      <c r="U278" s="189"/>
      <c r="V278" s="189"/>
      <c r="W278" s="189"/>
    </row>
    <row r="279" spans="1:23" hidden="1" outlineLevel="1">
      <c r="A279" s="1">
        <v>54</v>
      </c>
      <c r="B279" s="188">
        <v>44018</v>
      </c>
      <c r="C279" s="189" t="s">
        <v>60</v>
      </c>
      <c r="D279" s="210" t="s">
        <v>37</v>
      </c>
      <c r="E279" s="173" t="s">
        <v>23</v>
      </c>
      <c r="F279" s="210">
        <v>20022094</v>
      </c>
      <c r="G279" s="189" t="s">
        <v>64</v>
      </c>
      <c r="H279" s="189"/>
      <c r="I279" s="210" t="s">
        <v>63</v>
      </c>
      <c r="M279" s="174" t="s">
        <v>7903</v>
      </c>
      <c r="N279" s="174" t="s">
        <v>3744</v>
      </c>
      <c r="O279" s="191" t="s">
        <v>7394</v>
      </c>
      <c r="P279" s="189"/>
      <c r="Q279" s="188">
        <v>44020</v>
      </c>
      <c r="R279" s="188">
        <v>44028</v>
      </c>
      <c r="S279" s="182"/>
      <c r="T279" s="182"/>
      <c r="U279" s="189"/>
      <c r="V279" s="189"/>
      <c r="W279" s="189"/>
    </row>
    <row r="280" spans="1:23" hidden="1" outlineLevel="1">
      <c r="A280" s="1">
        <v>55</v>
      </c>
      <c r="B280" s="188">
        <v>44025</v>
      </c>
      <c r="C280" s="189" t="s">
        <v>7904</v>
      </c>
      <c r="D280" s="210" t="s">
        <v>37</v>
      </c>
      <c r="E280" s="173" t="s">
        <v>39</v>
      </c>
      <c r="F280" s="210" t="s">
        <v>4259</v>
      </c>
      <c r="G280" s="189" t="s">
        <v>64</v>
      </c>
      <c r="H280" s="189"/>
      <c r="I280" s="210" t="s">
        <v>63</v>
      </c>
      <c r="M280" s="174" t="s">
        <v>7906</v>
      </c>
      <c r="N280" s="174" t="s">
        <v>7905</v>
      </c>
      <c r="O280" s="191" t="s">
        <v>7907</v>
      </c>
      <c r="P280" s="189"/>
      <c r="Q280" s="188">
        <v>44025</v>
      </c>
      <c r="R280" s="188">
        <v>44047</v>
      </c>
      <c r="S280" s="182"/>
      <c r="T280" s="182">
        <v>290</v>
      </c>
      <c r="U280" s="189"/>
      <c r="V280" s="189"/>
      <c r="W280" s="189"/>
    </row>
    <row r="281" spans="1:23" hidden="1" outlineLevel="1">
      <c r="A281" s="1">
        <v>56</v>
      </c>
      <c r="B281" s="188">
        <v>44029</v>
      </c>
      <c r="C281" s="189" t="s">
        <v>60</v>
      </c>
      <c r="D281" s="210" t="s">
        <v>37</v>
      </c>
      <c r="E281" s="173" t="s">
        <v>23</v>
      </c>
      <c r="F281" s="210">
        <v>17100355</v>
      </c>
      <c r="G281" s="189" t="s">
        <v>64</v>
      </c>
      <c r="H281" s="189"/>
      <c r="I281" s="210" t="s">
        <v>63</v>
      </c>
      <c r="M281" s="174" t="s">
        <v>7908</v>
      </c>
      <c r="N281" s="174" t="s">
        <v>3744</v>
      </c>
      <c r="O281" s="191" t="s">
        <v>72</v>
      </c>
      <c r="P281" s="189"/>
      <c r="Q281" s="188">
        <v>44029</v>
      </c>
      <c r="R281" s="188">
        <v>44041</v>
      </c>
      <c r="S281" s="182"/>
      <c r="T281" s="182"/>
      <c r="U281" s="189"/>
      <c r="V281" s="189"/>
      <c r="W281" s="189"/>
    </row>
    <row r="282" spans="1:23" hidden="1" outlineLevel="1">
      <c r="A282" s="1">
        <v>57</v>
      </c>
      <c r="B282" s="188">
        <v>44039</v>
      </c>
      <c r="C282" s="189" t="s">
        <v>60</v>
      </c>
      <c r="D282" s="210" t="s">
        <v>37</v>
      </c>
      <c r="E282" s="173" t="s">
        <v>23</v>
      </c>
      <c r="F282" s="210">
        <v>19112094</v>
      </c>
      <c r="G282" s="189" t="s">
        <v>64</v>
      </c>
      <c r="H282" s="189"/>
      <c r="I282" s="210" t="s">
        <v>63</v>
      </c>
      <c r="M282" s="174" t="s">
        <v>3431</v>
      </c>
      <c r="N282" s="174" t="s">
        <v>3848</v>
      </c>
      <c r="O282" s="191" t="s">
        <v>72</v>
      </c>
      <c r="P282" s="189"/>
      <c r="Q282" s="188">
        <v>44039</v>
      </c>
      <c r="R282" s="188">
        <v>44041</v>
      </c>
      <c r="S282" s="182"/>
      <c r="T282" s="182"/>
      <c r="U282" s="189"/>
      <c r="V282" s="189"/>
      <c r="W282" s="189"/>
    </row>
    <row r="283" spans="1:23" hidden="1" outlineLevel="1">
      <c r="A283" s="1">
        <v>58</v>
      </c>
      <c r="B283" s="188">
        <v>44043</v>
      </c>
      <c r="C283" s="189" t="s">
        <v>7909</v>
      </c>
      <c r="D283" s="210" t="s">
        <v>37</v>
      </c>
      <c r="E283" s="173" t="s">
        <v>23</v>
      </c>
      <c r="F283" s="210">
        <v>16020827</v>
      </c>
      <c r="G283" s="189" t="s">
        <v>64</v>
      </c>
      <c r="H283" s="189"/>
      <c r="I283" s="210" t="s">
        <v>63</v>
      </c>
      <c r="M283" s="174" t="s">
        <v>7910</v>
      </c>
      <c r="N283" s="174" t="s">
        <v>3702</v>
      </c>
      <c r="O283" s="191" t="s">
        <v>72</v>
      </c>
      <c r="P283" s="189"/>
      <c r="Q283" s="188">
        <v>44043</v>
      </c>
      <c r="R283" s="188">
        <v>44067</v>
      </c>
      <c r="S283" s="182"/>
      <c r="T283" s="182"/>
      <c r="U283" s="189"/>
      <c r="V283" s="189"/>
      <c r="W283" s="189"/>
    </row>
    <row r="284" spans="1:23" hidden="1" outlineLevel="1">
      <c r="A284" s="1">
        <v>59</v>
      </c>
      <c r="B284" s="188">
        <v>44043</v>
      </c>
      <c r="C284" s="189" t="s">
        <v>7909</v>
      </c>
      <c r="D284" s="210" t="s">
        <v>37</v>
      </c>
      <c r="E284" s="173" t="s">
        <v>23</v>
      </c>
      <c r="F284" s="210">
        <v>18100235</v>
      </c>
      <c r="G284" s="189" t="s">
        <v>64</v>
      </c>
      <c r="H284" s="189"/>
      <c r="I284" s="210" t="s">
        <v>63</v>
      </c>
      <c r="M284" s="174" t="s">
        <v>7910</v>
      </c>
      <c r="N284" s="174" t="s">
        <v>3702</v>
      </c>
      <c r="O284" s="191" t="s">
        <v>72</v>
      </c>
      <c r="P284" s="189"/>
      <c r="Q284" s="188">
        <v>44043</v>
      </c>
      <c r="R284" s="188">
        <v>44067</v>
      </c>
      <c r="S284" s="182"/>
      <c r="T284" s="182"/>
      <c r="U284" s="189"/>
      <c r="V284" s="189"/>
      <c r="W284" s="189"/>
    </row>
    <row r="285" spans="1:23" hidden="1" outlineLevel="1">
      <c r="A285" s="1">
        <v>60</v>
      </c>
      <c r="B285" s="188">
        <v>44043</v>
      </c>
      <c r="C285" s="189" t="s">
        <v>138</v>
      </c>
      <c r="D285" s="210" t="s">
        <v>38</v>
      </c>
      <c r="E285" s="173" t="s">
        <v>23</v>
      </c>
      <c r="F285" s="210">
        <v>299846</v>
      </c>
      <c r="G285" s="189" t="s">
        <v>64</v>
      </c>
      <c r="H285" s="189"/>
      <c r="I285" s="210" t="s">
        <v>63</v>
      </c>
      <c r="M285" s="174" t="s">
        <v>7912</v>
      </c>
      <c r="N285" s="174" t="s">
        <v>7911</v>
      </c>
      <c r="O285" s="191" t="s">
        <v>97</v>
      </c>
      <c r="P285" s="189"/>
      <c r="Q285" s="188">
        <v>44043</v>
      </c>
      <c r="R285" s="188">
        <v>44060</v>
      </c>
      <c r="S285" s="182">
        <v>1000</v>
      </c>
      <c r="T285" s="182" t="s">
        <v>7893</v>
      </c>
      <c r="U285" s="189"/>
      <c r="V285" s="189"/>
      <c r="W285" s="189"/>
    </row>
    <row r="286" spans="1:23" hidden="1" outlineLevel="1">
      <c r="A286" s="1">
        <v>61</v>
      </c>
      <c r="B286" s="188">
        <v>44049</v>
      </c>
      <c r="C286" s="189" t="s">
        <v>7913</v>
      </c>
      <c r="D286" s="210"/>
      <c r="E286" s="173" t="s">
        <v>23</v>
      </c>
      <c r="F286" s="210">
        <v>516900</v>
      </c>
      <c r="G286" s="189" t="s">
        <v>64</v>
      </c>
      <c r="H286" s="189"/>
      <c r="I286" s="210" t="s">
        <v>63</v>
      </c>
      <c r="M286" s="174" t="s">
        <v>7914</v>
      </c>
      <c r="N286" s="174" t="s">
        <v>7539</v>
      </c>
      <c r="O286" s="191" t="s">
        <v>7444</v>
      </c>
      <c r="P286" s="189" t="s">
        <v>7915</v>
      </c>
      <c r="Q286" s="188">
        <v>44061</v>
      </c>
      <c r="R286" s="188"/>
      <c r="S286" s="182"/>
      <c r="T286" s="182"/>
      <c r="U286" s="189"/>
      <c r="V286" s="189"/>
      <c r="W286" s="189"/>
    </row>
    <row r="287" spans="1:23" hidden="1" outlineLevel="1">
      <c r="A287" s="1">
        <v>62</v>
      </c>
      <c r="B287" s="188">
        <v>44054</v>
      </c>
      <c r="C287" s="189" t="s">
        <v>117</v>
      </c>
      <c r="D287" s="210" t="s">
        <v>37</v>
      </c>
      <c r="E287" s="173" t="s">
        <v>39</v>
      </c>
      <c r="F287" s="210">
        <v>98368296034</v>
      </c>
      <c r="G287" s="189" t="s">
        <v>64</v>
      </c>
      <c r="H287" s="189"/>
      <c r="I287" s="210" t="s">
        <v>63</v>
      </c>
      <c r="M287" s="174" t="s">
        <v>7917</v>
      </c>
      <c r="N287" s="174" t="s">
        <v>7916</v>
      </c>
      <c r="O287" s="191" t="s">
        <v>7918</v>
      </c>
      <c r="P287" s="189"/>
      <c r="Q287" s="188">
        <v>44055</v>
      </c>
      <c r="R287" s="188">
        <v>44068</v>
      </c>
      <c r="S287" s="182"/>
      <c r="T287" s="182">
        <v>290</v>
      </c>
      <c r="U287" s="189"/>
      <c r="V287" s="189"/>
      <c r="W287" s="189"/>
    </row>
    <row r="288" spans="1:23" ht="25.5" hidden="1" outlineLevel="1">
      <c r="A288" s="1">
        <v>63</v>
      </c>
      <c r="B288" s="188">
        <v>44056</v>
      </c>
      <c r="C288" s="189" t="s">
        <v>149</v>
      </c>
      <c r="D288" s="210" t="s">
        <v>37</v>
      </c>
      <c r="E288" s="173" t="s">
        <v>23</v>
      </c>
      <c r="F288" s="210">
        <v>866795033273093</v>
      </c>
      <c r="G288" s="189" t="s">
        <v>64</v>
      </c>
      <c r="H288" s="189"/>
      <c r="I288" s="210" t="s">
        <v>63</v>
      </c>
      <c r="M288" s="174" t="s">
        <v>7920</v>
      </c>
      <c r="N288" s="174" t="s">
        <v>7919</v>
      </c>
      <c r="O288" s="191" t="s">
        <v>7921</v>
      </c>
      <c r="P288" s="189" t="s">
        <v>7922</v>
      </c>
      <c r="Q288" s="188">
        <v>44056</v>
      </c>
      <c r="R288" s="188">
        <v>44124</v>
      </c>
      <c r="S288" s="182"/>
      <c r="T288" s="182">
        <v>261</v>
      </c>
      <c r="U288" s="189"/>
      <c r="V288" s="189"/>
      <c r="W288" s="189"/>
    </row>
    <row r="289" spans="1:23" hidden="1" outlineLevel="1">
      <c r="A289" s="1">
        <v>64</v>
      </c>
      <c r="B289" s="188">
        <v>44057</v>
      </c>
      <c r="C289" s="189" t="s">
        <v>91</v>
      </c>
      <c r="D289" s="210" t="s">
        <v>38</v>
      </c>
      <c r="E289" s="173" t="s">
        <v>23</v>
      </c>
      <c r="F289" s="210">
        <v>864287031870700</v>
      </c>
      <c r="G289" s="189" t="s">
        <v>64</v>
      </c>
      <c r="H289" s="189"/>
      <c r="I289" s="210" t="s">
        <v>63</v>
      </c>
      <c r="M289" s="174" t="s">
        <v>7924</v>
      </c>
      <c r="N289" s="174" t="s">
        <v>7923</v>
      </c>
      <c r="O289" s="191" t="s">
        <v>7444</v>
      </c>
      <c r="P289" s="189"/>
      <c r="Q289" s="188">
        <v>44057</v>
      </c>
      <c r="R289" s="188">
        <v>44124</v>
      </c>
      <c r="S289" s="182">
        <v>950</v>
      </c>
      <c r="T289" s="182" t="s">
        <v>7925</v>
      </c>
      <c r="U289" s="189"/>
      <c r="V289" s="189"/>
      <c r="W289" s="189"/>
    </row>
    <row r="290" spans="1:23" ht="25.5" hidden="1" outlineLevel="1">
      <c r="A290" s="1">
        <v>65</v>
      </c>
      <c r="B290" s="188">
        <v>44061</v>
      </c>
      <c r="C290" s="189" t="s">
        <v>60</v>
      </c>
      <c r="D290" s="210" t="s">
        <v>37</v>
      </c>
      <c r="E290" s="173" t="s">
        <v>23</v>
      </c>
      <c r="F290" s="210">
        <v>20011278</v>
      </c>
      <c r="G290" s="189" t="s">
        <v>64</v>
      </c>
      <c r="H290" s="189"/>
      <c r="I290" s="210" t="s">
        <v>63</v>
      </c>
      <c r="M290" s="174" t="s">
        <v>7926</v>
      </c>
      <c r="N290" s="174" t="s">
        <v>3852</v>
      </c>
      <c r="O290" s="191" t="s">
        <v>72</v>
      </c>
      <c r="P290" s="189"/>
      <c r="Q290" s="188">
        <v>44061</v>
      </c>
      <c r="R290" s="188">
        <v>44110</v>
      </c>
      <c r="S290" s="182"/>
      <c r="T290" s="182"/>
      <c r="U290" s="189"/>
      <c r="V290" s="189"/>
      <c r="W290" s="189"/>
    </row>
    <row r="291" spans="1:23" hidden="1" outlineLevel="1">
      <c r="A291" s="1">
        <v>66</v>
      </c>
      <c r="B291" s="188">
        <v>44071</v>
      </c>
      <c r="C291" s="189" t="s">
        <v>7847</v>
      </c>
      <c r="D291" s="210" t="s">
        <v>37</v>
      </c>
      <c r="E291" s="173" t="s">
        <v>39</v>
      </c>
      <c r="F291" s="210" t="s">
        <v>7927</v>
      </c>
      <c r="G291" s="189" t="s">
        <v>64</v>
      </c>
      <c r="H291" s="189"/>
      <c r="I291" s="210" t="s">
        <v>63</v>
      </c>
      <c r="M291" s="174" t="s">
        <v>7929</v>
      </c>
      <c r="N291" s="174" t="s">
        <v>7928</v>
      </c>
      <c r="O291" s="191" t="s">
        <v>7907</v>
      </c>
      <c r="P291" s="189"/>
      <c r="Q291" s="188">
        <v>44074</v>
      </c>
      <c r="R291" s="188">
        <v>44088</v>
      </c>
      <c r="S291" s="182"/>
      <c r="T291" s="182">
        <v>329</v>
      </c>
      <c r="U291" s="189"/>
      <c r="V291" s="189"/>
      <c r="W291" s="189"/>
    </row>
    <row r="292" spans="1:23" hidden="1" outlineLevel="1">
      <c r="A292" s="1">
        <v>67</v>
      </c>
      <c r="B292" s="188">
        <v>44071</v>
      </c>
      <c r="C292" s="189" t="s">
        <v>117</v>
      </c>
      <c r="D292" s="210" t="s">
        <v>38</v>
      </c>
      <c r="E292" s="173" t="s">
        <v>39</v>
      </c>
      <c r="F292" s="210">
        <v>82309120034</v>
      </c>
      <c r="G292" s="189" t="s">
        <v>64</v>
      </c>
      <c r="H292" s="189"/>
      <c r="I292" s="210" t="s">
        <v>63</v>
      </c>
      <c r="M292" s="174"/>
      <c r="N292" s="174" t="s">
        <v>7930</v>
      </c>
      <c r="O292" s="191" t="s">
        <v>7931</v>
      </c>
      <c r="P292" s="189"/>
      <c r="Q292" s="188">
        <v>44074</v>
      </c>
      <c r="R292" s="188">
        <v>44095</v>
      </c>
      <c r="S292" s="182">
        <v>3600</v>
      </c>
      <c r="T292" s="182" t="s">
        <v>7888</v>
      </c>
      <c r="U292" s="189"/>
      <c r="V292" s="189"/>
      <c r="W292" s="189"/>
    </row>
    <row r="293" spans="1:23" hidden="1" outlineLevel="1">
      <c r="A293" s="1">
        <v>68</v>
      </c>
      <c r="B293" s="188">
        <v>44076</v>
      </c>
      <c r="C293" s="189" t="s">
        <v>86</v>
      </c>
      <c r="D293" s="210" t="s">
        <v>37</v>
      </c>
      <c r="E293" s="173" t="s">
        <v>23</v>
      </c>
      <c r="F293" s="210">
        <v>867717030410253</v>
      </c>
      <c r="G293" s="189"/>
      <c r="H293" s="189"/>
      <c r="I293" s="210"/>
      <c r="M293" s="198" t="s">
        <v>7933</v>
      </c>
      <c r="N293" s="174" t="s">
        <v>7932</v>
      </c>
      <c r="O293" s="191" t="s">
        <v>7934</v>
      </c>
      <c r="P293" s="189"/>
      <c r="Q293" s="188">
        <v>44076</v>
      </c>
      <c r="R293" s="188">
        <v>44124</v>
      </c>
      <c r="S293" s="182"/>
      <c r="T293" s="182">
        <v>261</v>
      </c>
      <c r="U293" s="189"/>
      <c r="V293" s="189"/>
      <c r="W293" s="189"/>
    </row>
    <row r="294" spans="1:23" hidden="1" outlineLevel="1">
      <c r="A294" s="1">
        <v>69</v>
      </c>
      <c r="B294" s="188">
        <v>44076</v>
      </c>
      <c r="C294" s="189" t="s">
        <v>91</v>
      </c>
      <c r="D294" s="210" t="s">
        <v>38</v>
      </c>
      <c r="E294" s="173" t="s">
        <v>23</v>
      </c>
      <c r="F294" s="210">
        <v>864287031844929</v>
      </c>
      <c r="G294" s="189" t="s">
        <v>64</v>
      </c>
      <c r="H294" s="189"/>
      <c r="I294" s="210" t="s">
        <v>63</v>
      </c>
      <c r="M294" s="174" t="s">
        <v>7935</v>
      </c>
      <c r="N294" s="174" t="s">
        <v>3664</v>
      </c>
      <c r="O294" s="191" t="s">
        <v>7936</v>
      </c>
      <c r="P294" s="189"/>
      <c r="Q294" s="188">
        <v>44076</v>
      </c>
      <c r="R294" s="188">
        <v>44124</v>
      </c>
      <c r="S294" s="182">
        <v>950</v>
      </c>
      <c r="T294" s="182" t="s">
        <v>7925</v>
      </c>
      <c r="U294" s="189"/>
      <c r="V294" s="189"/>
      <c r="W294" s="189"/>
    </row>
    <row r="295" spans="1:23" hidden="1" outlineLevel="1">
      <c r="A295" s="1">
        <v>70</v>
      </c>
      <c r="B295" s="188">
        <v>44076</v>
      </c>
      <c r="C295" s="189" t="s">
        <v>91</v>
      </c>
      <c r="D295" s="210" t="s">
        <v>37</v>
      </c>
      <c r="E295" s="173" t="s">
        <v>23</v>
      </c>
      <c r="F295" s="210">
        <v>869270042514116</v>
      </c>
      <c r="G295" s="189" t="s">
        <v>64</v>
      </c>
      <c r="H295" s="189"/>
      <c r="I295" s="210" t="s">
        <v>63</v>
      </c>
      <c r="M295" s="174" t="s">
        <v>7937</v>
      </c>
      <c r="N295" s="174" t="s">
        <v>3664</v>
      </c>
      <c r="O295" s="191" t="s">
        <v>7936</v>
      </c>
      <c r="P295" s="189" t="s">
        <v>7922</v>
      </c>
      <c r="Q295" s="188">
        <v>44076</v>
      </c>
      <c r="R295" s="188">
        <v>44124</v>
      </c>
      <c r="S295" s="182"/>
      <c r="T295" s="182">
        <v>261</v>
      </c>
      <c r="U295" s="189"/>
      <c r="V295" s="189"/>
      <c r="W295" s="189"/>
    </row>
    <row r="296" spans="1:23" hidden="1" outlineLevel="1">
      <c r="A296" s="1">
        <v>71</v>
      </c>
      <c r="B296" s="188">
        <v>44077</v>
      </c>
      <c r="C296" s="189" t="s">
        <v>60</v>
      </c>
      <c r="D296" s="210" t="s">
        <v>37</v>
      </c>
      <c r="E296" s="173" t="s">
        <v>23</v>
      </c>
      <c r="F296" s="210">
        <v>18072320</v>
      </c>
      <c r="G296" s="189" t="s">
        <v>64</v>
      </c>
      <c r="H296" s="189"/>
      <c r="I296" s="210" t="s">
        <v>63</v>
      </c>
      <c r="M296" s="174" t="s">
        <v>7939</v>
      </c>
      <c r="N296" s="174" t="s">
        <v>7938</v>
      </c>
      <c r="O296" s="191" t="s">
        <v>7940</v>
      </c>
      <c r="P296" s="189"/>
      <c r="Q296" s="188">
        <v>44077</v>
      </c>
      <c r="R296" s="188">
        <v>44110</v>
      </c>
      <c r="S296" s="182"/>
      <c r="T296" s="182"/>
      <c r="U296" s="189"/>
      <c r="V296" s="189"/>
      <c r="W296" s="189"/>
    </row>
    <row r="297" spans="1:23" hidden="1" outlineLevel="1">
      <c r="A297" s="1">
        <v>72</v>
      </c>
      <c r="B297" s="188">
        <v>44077</v>
      </c>
      <c r="C297" s="189" t="s">
        <v>117</v>
      </c>
      <c r="D297" s="210" t="s">
        <v>37</v>
      </c>
      <c r="E297" s="173" t="s">
        <v>39</v>
      </c>
      <c r="F297" s="210">
        <v>20418132062</v>
      </c>
      <c r="G297" s="189" t="s">
        <v>64</v>
      </c>
      <c r="H297" s="189"/>
      <c r="I297" s="210" t="s">
        <v>63</v>
      </c>
      <c r="M297" s="174" t="s">
        <v>7942</v>
      </c>
      <c r="N297" s="174" t="s">
        <v>7941</v>
      </c>
      <c r="O297" s="191" t="s">
        <v>7943</v>
      </c>
      <c r="P297" s="189"/>
      <c r="Q297" s="188">
        <v>44078</v>
      </c>
      <c r="R297" s="188">
        <v>44088</v>
      </c>
      <c r="S297" s="182"/>
      <c r="T297" s="182">
        <v>290</v>
      </c>
      <c r="U297" s="189"/>
      <c r="V297" s="189"/>
      <c r="W297" s="189"/>
    </row>
    <row r="298" spans="1:23" hidden="1" outlineLevel="1">
      <c r="A298" s="1">
        <v>73</v>
      </c>
      <c r="B298" s="188">
        <v>44078</v>
      </c>
      <c r="C298" s="189" t="s">
        <v>149</v>
      </c>
      <c r="D298" s="210" t="s">
        <v>37</v>
      </c>
      <c r="E298" s="173" t="s">
        <v>23</v>
      </c>
      <c r="F298" s="210">
        <v>866795036222824</v>
      </c>
      <c r="G298" s="189" t="s">
        <v>64</v>
      </c>
      <c r="H298" s="189"/>
      <c r="I298" s="210" t="s">
        <v>63</v>
      </c>
      <c r="M298" s="174" t="s">
        <v>7944</v>
      </c>
      <c r="N298" s="174" t="s">
        <v>340</v>
      </c>
      <c r="O298" s="191" t="s">
        <v>7945</v>
      </c>
      <c r="P298" s="189"/>
      <c r="Q298" s="188">
        <v>44078</v>
      </c>
      <c r="R298" s="188">
        <v>44124</v>
      </c>
      <c r="S298" s="182"/>
      <c r="T298" s="182">
        <v>261</v>
      </c>
      <c r="U298" s="189"/>
      <c r="V298" s="189"/>
      <c r="W298" s="189"/>
    </row>
    <row r="299" spans="1:23" hidden="1" outlineLevel="1">
      <c r="A299" s="1">
        <v>74</v>
      </c>
      <c r="B299" s="188">
        <v>44082</v>
      </c>
      <c r="C299" s="189" t="s">
        <v>91</v>
      </c>
      <c r="D299" s="210" t="s">
        <v>38</v>
      </c>
      <c r="E299" s="173" t="s">
        <v>23</v>
      </c>
      <c r="F299" s="210">
        <v>863586031429594</v>
      </c>
      <c r="G299" s="189" t="s">
        <v>64</v>
      </c>
      <c r="H299" s="189"/>
      <c r="I299" s="210" t="s">
        <v>63</v>
      </c>
      <c r="M299" s="174" t="s">
        <v>7947</v>
      </c>
      <c r="N299" s="174" t="s">
        <v>7946</v>
      </c>
      <c r="O299" s="191" t="s">
        <v>7394</v>
      </c>
      <c r="P299" s="189"/>
      <c r="Q299" s="188">
        <v>44082</v>
      </c>
      <c r="R299" s="188">
        <v>44124</v>
      </c>
      <c r="S299" s="182">
        <v>950</v>
      </c>
      <c r="T299" s="182" t="s">
        <v>7925</v>
      </c>
      <c r="U299" s="189"/>
      <c r="V299" s="189"/>
      <c r="W299" s="189"/>
    </row>
    <row r="300" spans="1:23" hidden="1" outlineLevel="1">
      <c r="A300" s="1">
        <v>75</v>
      </c>
      <c r="B300" s="188">
        <v>44083</v>
      </c>
      <c r="C300" s="189" t="s">
        <v>7948</v>
      </c>
      <c r="D300" s="210" t="s">
        <v>38</v>
      </c>
      <c r="E300" s="173" t="s">
        <v>23</v>
      </c>
      <c r="F300" s="210" t="s">
        <v>7949</v>
      </c>
      <c r="G300" s="189" t="s">
        <v>64</v>
      </c>
      <c r="H300" s="189"/>
      <c r="I300" s="210" t="s">
        <v>63</v>
      </c>
      <c r="M300" s="174"/>
      <c r="N300" s="174" t="s">
        <v>7950</v>
      </c>
      <c r="O300" s="191" t="s">
        <v>7951</v>
      </c>
      <c r="P300" s="189"/>
      <c r="Q300" s="188">
        <v>44083</v>
      </c>
      <c r="R300" s="188">
        <v>44103</v>
      </c>
      <c r="S300" s="182">
        <v>7603</v>
      </c>
      <c r="T300" s="182" t="s">
        <v>7952</v>
      </c>
      <c r="U300" s="189"/>
      <c r="V300" s="189"/>
      <c r="W300" s="189"/>
    </row>
    <row r="301" spans="1:23" hidden="1" outlineLevel="1">
      <c r="A301" s="1">
        <v>76</v>
      </c>
      <c r="B301" s="188">
        <v>44092</v>
      </c>
      <c r="C301" s="189" t="s">
        <v>7953</v>
      </c>
      <c r="D301" s="210" t="s">
        <v>38</v>
      </c>
      <c r="E301" s="173" t="s">
        <v>23</v>
      </c>
      <c r="F301" s="210">
        <v>1444908</v>
      </c>
      <c r="G301" s="189" t="s">
        <v>64</v>
      </c>
      <c r="H301" s="189"/>
      <c r="I301" s="210" t="s">
        <v>63</v>
      </c>
      <c r="M301" s="174"/>
      <c r="N301" s="174" t="s">
        <v>7911</v>
      </c>
      <c r="O301" s="191" t="s">
        <v>97</v>
      </c>
      <c r="P301" s="189" t="s">
        <v>7681</v>
      </c>
      <c r="Q301" s="188">
        <v>44095</v>
      </c>
      <c r="R301" s="188">
        <v>44102</v>
      </c>
      <c r="S301" s="182"/>
      <c r="T301" s="182" t="s">
        <v>7954</v>
      </c>
      <c r="U301" s="189"/>
      <c r="V301" s="189"/>
      <c r="W301" s="189"/>
    </row>
    <row r="302" spans="1:23" hidden="1" outlineLevel="1">
      <c r="A302" s="1">
        <v>77</v>
      </c>
      <c r="B302" s="188">
        <v>44096</v>
      </c>
      <c r="C302" s="189" t="s">
        <v>170</v>
      </c>
      <c r="D302" s="210" t="s">
        <v>37</v>
      </c>
      <c r="E302" s="173" t="s">
        <v>23</v>
      </c>
      <c r="F302" s="210">
        <v>868345038078481</v>
      </c>
      <c r="G302" s="189" t="s">
        <v>64</v>
      </c>
      <c r="H302" s="189"/>
      <c r="I302" s="210" t="s">
        <v>63</v>
      </c>
      <c r="M302" s="174"/>
      <c r="N302" s="174" t="s">
        <v>7955</v>
      </c>
      <c r="O302" s="191" t="s">
        <v>7394</v>
      </c>
      <c r="P302" s="189"/>
      <c r="Q302" s="188">
        <v>44110</v>
      </c>
      <c r="R302" s="188">
        <v>44130</v>
      </c>
      <c r="S302" s="182"/>
      <c r="T302" s="182"/>
      <c r="U302" s="189"/>
      <c r="V302" s="189"/>
      <c r="W302" s="189"/>
    </row>
    <row r="303" spans="1:23" hidden="1" outlineLevel="1">
      <c r="A303" s="1">
        <v>78</v>
      </c>
      <c r="B303" s="188">
        <v>44109</v>
      </c>
      <c r="C303" s="189" t="s">
        <v>608</v>
      </c>
      <c r="D303" s="210" t="s">
        <v>37</v>
      </c>
      <c r="E303" s="173" t="s">
        <v>23</v>
      </c>
      <c r="F303" s="210">
        <v>866795036059515</v>
      </c>
      <c r="G303" s="189" t="s">
        <v>64</v>
      </c>
      <c r="H303" s="189"/>
      <c r="I303" s="210" t="s">
        <v>63</v>
      </c>
      <c r="M303" s="174" t="s">
        <v>7956</v>
      </c>
      <c r="N303" s="174" t="s">
        <v>7619</v>
      </c>
      <c r="O303" s="191" t="s">
        <v>7957</v>
      </c>
      <c r="P303" s="189"/>
      <c r="Q303" s="188">
        <v>44109</v>
      </c>
      <c r="R303" s="188">
        <v>44141</v>
      </c>
      <c r="S303" s="182"/>
      <c r="T303" s="182">
        <v>261</v>
      </c>
      <c r="U303" s="189"/>
      <c r="V303" s="189"/>
      <c r="W303" s="189"/>
    </row>
    <row r="304" spans="1:23" hidden="1" outlineLevel="1">
      <c r="A304" s="1">
        <v>79</v>
      </c>
      <c r="B304" s="188">
        <v>44110</v>
      </c>
      <c r="C304" s="189" t="s">
        <v>612</v>
      </c>
      <c r="D304" s="210" t="s">
        <v>38</v>
      </c>
      <c r="E304" s="173" t="s">
        <v>23</v>
      </c>
      <c r="F304" s="210">
        <v>860922043112204</v>
      </c>
      <c r="G304" s="189" t="s">
        <v>64</v>
      </c>
      <c r="H304" s="189"/>
      <c r="I304" s="210" t="s">
        <v>63</v>
      </c>
      <c r="M304" s="174"/>
      <c r="N304" s="174" t="s">
        <v>7410</v>
      </c>
      <c r="O304" s="191" t="s">
        <v>97</v>
      </c>
      <c r="P304" s="189" t="s">
        <v>90</v>
      </c>
      <c r="Q304" s="188">
        <v>44110</v>
      </c>
      <c r="R304" s="188">
        <v>44120</v>
      </c>
      <c r="S304" s="182">
        <v>350</v>
      </c>
      <c r="T304" s="182" t="s">
        <v>7831</v>
      </c>
      <c r="U304" s="189"/>
      <c r="V304" s="189"/>
      <c r="W304" s="189"/>
    </row>
    <row r="305" spans="1:23" hidden="1" outlineLevel="1">
      <c r="A305" s="1">
        <v>80</v>
      </c>
      <c r="B305" s="188">
        <v>44112</v>
      </c>
      <c r="C305" s="189" t="s">
        <v>60</v>
      </c>
      <c r="D305" s="210" t="s">
        <v>37</v>
      </c>
      <c r="E305" s="173" t="s">
        <v>23</v>
      </c>
      <c r="F305" s="210">
        <v>16110583</v>
      </c>
      <c r="G305" s="189" t="s">
        <v>64</v>
      </c>
      <c r="H305" s="189"/>
      <c r="I305" s="210" t="s">
        <v>63</v>
      </c>
      <c r="M305" s="174" t="s">
        <v>7959</v>
      </c>
      <c r="N305" s="174" t="s">
        <v>7958</v>
      </c>
      <c r="O305" s="191" t="s">
        <v>7960</v>
      </c>
      <c r="P305" s="189"/>
      <c r="Q305" s="188">
        <v>44112</v>
      </c>
      <c r="R305" s="188">
        <v>44124</v>
      </c>
      <c r="S305" s="182"/>
      <c r="T305" s="182"/>
      <c r="U305" s="189"/>
      <c r="V305" s="189"/>
      <c r="W305" s="189"/>
    </row>
    <row r="306" spans="1:23" hidden="1" outlineLevel="1">
      <c r="A306" s="1">
        <v>81</v>
      </c>
      <c r="B306" s="188">
        <v>44119</v>
      </c>
      <c r="C306" s="189" t="s">
        <v>7330</v>
      </c>
      <c r="D306" s="210" t="s">
        <v>37</v>
      </c>
      <c r="E306" s="173" t="s">
        <v>23</v>
      </c>
      <c r="F306" s="210">
        <v>203100045772</v>
      </c>
      <c r="G306" s="189" t="s">
        <v>64</v>
      </c>
      <c r="H306" s="189"/>
      <c r="I306" s="210" t="s">
        <v>63</v>
      </c>
      <c r="M306" s="174" t="s">
        <v>7961</v>
      </c>
      <c r="N306" s="174" t="s">
        <v>3703</v>
      </c>
      <c r="O306" s="191" t="s">
        <v>7769</v>
      </c>
      <c r="P306" s="189"/>
      <c r="Q306" s="188">
        <v>44120</v>
      </c>
      <c r="R306" s="188">
        <v>44133</v>
      </c>
      <c r="S306" s="182"/>
      <c r="T306" s="182">
        <v>290</v>
      </c>
      <c r="U306" s="189"/>
      <c r="V306" s="189"/>
      <c r="W306" s="189"/>
    </row>
    <row r="307" spans="1:23" hidden="1" outlineLevel="1">
      <c r="A307" s="1">
        <v>82</v>
      </c>
      <c r="B307" s="188">
        <v>44144</v>
      </c>
      <c r="C307" s="189" t="s">
        <v>138</v>
      </c>
      <c r="D307" s="210" t="s">
        <v>38</v>
      </c>
      <c r="E307" s="173" t="s">
        <v>23</v>
      </c>
      <c r="F307" s="210">
        <v>299843</v>
      </c>
      <c r="G307" s="189" t="s">
        <v>64</v>
      </c>
      <c r="H307" s="189"/>
      <c r="I307" s="210" t="s">
        <v>63</v>
      </c>
      <c r="M307" s="174" t="s">
        <v>7963</v>
      </c>
      <c r="N307" s="174" t="s">
        <v>7962</v>
      </c>
      <c r="O307" s="191" t="s">
        <v>89</v>
      </c>
      <c r="P307" s="189"/>
      <c r="Q307" s="188">
        <v>44144</v>
      </c>
      <c r="R307" s="188">
        <v>44185</v>
      </c>
      <c r="S307" s="182">
        <v>2000</v>
      </c>
      <c r="T307" s="182" t="s">
        <v>7964</v>
      </c>
      <c r="U307" s="189"/>
      <c r="V307" s="189"/>
      <c r="W307" s="189"/>
    </row>
    <row r="308" spans="1:23" hidden="1" outlineLevel="1">
      <c r="A308" s="1">
        <v>83</v>
      </c>
      <c r="B308" s="188">
        <v>44145</v>
      </c>
      <c r="C308" s="189" t="s">
        <v>7904</v>
      </c>
      <c r="D308" s="210" t="s">
        <v>37</v>
      </c>
      <c r="E308" s="173" t="s">
        <v>39</v>
      </c>
      <c r="F308" s="210" t="s">
        <v>4406</v>
      </c>
      <c r="G308" s="189" t="s">
        <v>64</v>
      </c>
      <c r="H308" s="189"/>
      <c r="I308" s="210" t="s">
        <v>63</v>
      </c>
      <c r="M308" s="174"/>
      <c r="N308" s="174" t="s">
        <v>7410</v>
      </c>
      <c r="O308" s="191" t="s">
        <v>7965</v>
      </c>
      <c r="P308" s="189"/>
      <c r="Q308" s="188">
        <v>44145</v>
      </c>
      <c r="R308" s="188">
        <v>44160</v>
      </c>
      <c r="S308" s="182"/>
      <c r="T308" s="182">
        <v>290</v>
      </c>
      <c r="U308" s="189"/>
      <c r="V308" s="189"/>
      <c r="W308" s="189"/>
    </row>
    <row r="309" spans="1:23" hidden="1" outlineLevel="1">
      <c r="A309" s="1">
        <v>84</v>
      </c>
      <c r="B309" s="188">
        <v>44145</v>
      </c>
      <c r="C309" s="189" t="s">
        <v>60</v>
      </c>
      <c r="D309" s="210" t="s">
        <v>37</v>
      </c>
      <c r="E309" s="173" t="s">
        <v>23</v>
      </c>
      <c r="F309" s="210">
        <v>20041580</v>
      </c>
      <c r="G309" s="189" t="s">
        <v>64</v>
      </c>
      <c r="H309" s="189"/>
      <c r="I309" s="210" t="s">
        <v>63</v>
      </c>
      <c r="M309" s="174" t="s">
        <v>7966</v>
      </c>
      <c r="N309" s="174" t="s">
        <v>3848</v>
      </c>
      <c r="O309" s="191" t="s">
        <v>72</v>
      </c>
      <c r="P309" s="189"/>
      <c r="Q309" s="188">
        <v>44146</v>
      </c>
      <c r="R309" s="188">
        <v>44162</v>
      </c>
      <c r="S309" s="182"/>
      <c r="T309" s="182"/>
      <c r="U309" s="189"/>
      <c r="V309" s="189"/>
      <c r="W309" s="189"/>
    </row>
    <row r="310" spans="1:23" hidden="1" outlineLevel="1">
      <c r="A310" s="1">
        <v>85</v>
      </c>
      <c r="B310" s="188">
        <v>44152</v>
      </c>
      <c r="C310" s="189" t="s">
        <v>60</v>
      </c>
      <c r="D310" s="210" t="s">
        <v>37</v>
      </c>
      <c r="E310" s="173" t="s">
        <v>23</v>
      </c>
      <c r="F310" s="210">
        <v>16120476</v>
      </c>
      <c r="G310" s="189" t="s">
        <v>64</v>
      </c>
      <c r="H310" s="189"/>
      <c r="I310" s="210" t="s">
        <v>63</v>
      </c>
      <c r="M310" s="174" t="s">
        <v>3501</v>
      </c>
      <c r="N310" s="174" t="s">
        <v>3658</v>
      </c>
      <c r="O310" s="191" t="s">
        <v>7967</v>
      </c>
      <c r="P310" s="189"/>
      <c r="Q310" s="188">
        <v>44153</v>
      </c>
      <c r="R310" s="188">
        <v>44162</v>
      </c>
      <c r="S310" s="182"/>
      <c r="T310" s="182"/>
      <c r="U310" s="189"/>
      <c r="V310" s="189"/>
      <c r="W310" s="189"/>
    </row>
    <row r="311" spans="1:23" hidden="1" outlineLevel="1">
      <c r="A311" s="1">
        <v>86</v>
      </c>
      <c r="B311" s="188">
        <v>44153</v>
      </c>
      <c r="C311" s="189" t="s">
        <v>7953</v>
      </c>
      <c r="D311" s="210" t="s">
        <v>38</v>
      </c>
      <c r="E311" s="173" t="s">
        <v>23</v>
      </c>
      <c r="F311" s="210">
        <v>1406371</v>
      </c>
      <c r="G311" s="189" t="s">
        <v>64</v>
      </c>
      <c r="H311" s="189"/>
      <c r="I311" s="210" t="s">
        <v>63</v>
      </c>
      <c r="M311" s="174" t="s">
        <v>7968</v>
      </c>
      <c r="N311" s="174" t="s">
        <v>7911</v>
      </c>
      <c r="O311" s="191" t="s">
        <v>7957</v>
      </c>
      <c r="P311" s="189"/>
      <c r="Q311" s="188">
        <v>44154</v>
      </c>
      <c r="R311" s="188">
        <v>44185</v>
      </c>
      <c r="S311" s="182">
        <v>500</v>
      </c>
      <c r="T311" s="182" t="s">
        <v>7964</v>
      </c>
      <c r="U311" s="189"/>
      <c r="V311" s="189"/>
      <c r="W311" s="189"/>
    </row>
    <row r="312" spans="1:23" hidden="1" outlineLevel="1">
      <c r="A312" s="1">
        <v>87</v>
      </c>
      <c r="B312" s="188">
        <v>44154</v>
      </c>
      <c r="C312" s="189" t="s">
        <v>91</v>
      </c>
      <c r="D312" s="210" t="s">
        <v>37</v>
      </c>
      <c r="E312" s="173" t="s">
        <v>23</v>
      </c>
      <c r="F312" s="210">
        <v>866192034600559</v>
      </c>
      <c r="G312" s="189" t="s">
        <v>64</v>
      </c>
      <c r="H312" s="189"/>
      <c r="I312" s="210" t="s">
        <v>63</v>
      </c>
      <c r="M312" s="174" t="s">
        <v>7970</v>
      </c>
      <c r="N312" s="174" t="s">
        <v>7969</v>
      </c>
      <c r="O312" s="191" t="s">
        <v>7971</v>
      </c>
      <c r="P312" s="189"/>
      <c r="Q312" s="188">
        <v>44154</v>
      </c>
      <c r="R312" s="188">
        <v>44179</v>
      </c>
      <c r="S312" s="182"/>
      <c r="T312" s="182">
        <v>261</v>
      </c>
      <c r="U312" s="189"/>
      <c r="V312" s="189"/>
      <c r="W312" s="189"/>
    </row>
    <row r="313" spans="1:23" hidden="1" outlineLevel="1">
      <c r="A313" s="1">
        <v>88</v>
      </c>
      <c r="B313" s="188">
        <v>44161</v>
      </c>
      <c r="C313" s="189" t="s">
        <v>7330</v>
      </c>
      <c r="D313" s="210" t="s">
        <v>37</v>
      </c>
      <c r="E313" s="173" t="s">
        <v>23</v>
      </c>
      <c r="F313" s="210">
        <v>2023002003696</v>
      </c>
      <c r="G313" s="189" t="s">
        <v>64</v>
      </c>
      <c r="H313" s="189"/>
      <c r="I313" s="210" t="s">
        <v>63</v>
      </c>
      <c r="M313" s="174" t="s">
        <v>7972</v>
      </c>
      <c r="N313" s="174" t="s">
        <v>3703</v>
      </c>
      <c r="O313" s="191" t="s">
        <v>7769</v>
      </c>
      <c r="P313" s="189" t="s">
        <v>7973</v>
      </c>
      <c r="Q313" s="188">
        <v>44161</v>
      </c>
      <c r="R313" s="188">
        <v>44179</v>
      </c>
      <c r="S313" s="182"/>
      <c r="T313" s="182">
        <v>290</v>
      </c>
      <c r="U313" s="189"/>
      <c r="V313" s="189"/>
      <c r="W313" s="189"/>
    </row>
    <row r="314" spans="1:23" hidden="1" outlineLevel="1">
      <c r="A314" s="1">
        <v>89</v>
      </c>
      <c r="B314" s="188">
        <v>44161</v>
      </c>
      <c r="C314" s="189" t="s">
        <v>7330</v>
      </c>
      <c r="D314" s="210" t="s">
        <v>37</v>
      </c>
      <c r="E314" s="173" t="s">
        <v>23</v>
      </c>
      <c r="F314" s="210">
        <v>2023002003695</v>
      </c>
      <c r="G314" s="189" t="s">
        <v>64</v>
      </c>
      <c r="H314" s="189"/>
      <c r="I314" s="210" t="s">
        <v>63</v>
      </c>
      <c r="M314" s="174" t="s">
        <v>7972</v>
      </c>
      <c r="N314" s="174" t="s">
        <v>3703</v>
      </c>
      <c r="O314" s="191" t="s">
        <v>7769</v>
      </c>
      <c r="P314" s="189" t="s">
        <v>7974</v>
      </c>
      <c r="Q314" s="188">
        <v>44161</v>
      </c>
      <c r="R314" s="188">
        <v>44179</v>
      </c>
      <c r="S314" s="182"/>
      <c r="T314" s="182">
        <v>290</v>
      </c>
      <c r="U314" s="189"/>
      <c r="V314" s="189"/>
      <c r="W314" s="189"/>
    </row>
    <row r="315" spans="1:23" hidden="1" outlineLevel="1">
      <c r="A315" s="1">
        <v>90</v>
      </c>
      <c r="B315" s="188">
        <v>44169</v>
      </c>
      <c r="C315" s="189" t="s">
        <v>91</v>
      </c>
      <c r="D315" s="210" t="s">
        <v>37</v>
      </c>
      <c r="E315" s="173" t="s">
        <v>23</v>
      </c>
      <c r="F315" s="210">
        <v>865733022345359</v>
      </c>
      <c r="G315" s="189" t="s">
        <v>64</v>
      </c>
      <c r="H315" s="189"/>
      <c r="I315" s="210" t="s">
        <v>63</v>
      </c>
      <c r="M315" s="174" t="s">
        <v>7976</v>
      </c>
      <c r="N315" s="174" t="s">
        <v>7975</v>
      </c>
      <c r="O315" s="191" t="s">
        <v>7977</v>
      </c>
      <c r="P315" s="189"/>
      <c r="Q315" s="188">
        <v>44172</v>
      </c>
      <c r="R315" s="188">
        <v>44179</v>
      </c>
      <c r="S315" s="182"/>
      <c r="T315" s="182">
        <v>261</v>
      </c>
      <c r="U315" s="189"/>
      <c r="V315" s="189"/>
      <c r="W315" s="189"/>
    </row>
    <row r="316" spans="1:23" hidden="1" outlineLevel="1">
      <c r="A316" s="1">
        <v>91</v>
      </c>
      <c r="B316" s="188">
        <v>44175</v>
      </c>
      <c r="C316" s="189" t="s">
        <v>7435</v>
      </c>
      <c r="D316" s="210" t="s">
        <v>38</v>
      </c>
      <c r="E316" s="173" t="s">
        <v>23</v>
      </c>
      <c r="F316" s="210">
        <v>868004029784991</v>
      </c>
      <c r="G316" s="189" t="s">
        <v>64</v>
      </c>
      <c r="H316" s="189"/>
      <c r="I316" s="210" t="s">
        <v>63</v>
      </c>
      <c r="M316" s="174" t="s">
        <v>7978</v>
      </c>
      <c r="N316" s="174" t="s">
        <v>7365</v>
      </c>
      <c r="O316" s="191" t="s">
        <v>7979</v>
      </c>
      <c r="P316" s="189"/>
      <c r="Q316" s="188">
        <v>44175</v>
      </c>
      <c r="R316" s="188">
        <v>44208</v>
      </c>
      <c r="S316" s="182">
        <v>856</v>
      </c>
      <c r="T316" s="182" t="s">
        <v>7831</v>
      </c>
      <c r="U316" s="189"/>
      <c r="V316" s="189"/>
      <c r="W316" s="189"/>
    </row>
    <row r="317" spans="1:23" ht="25.5" hidden="1" outlineLevel="1">
      <c r="A317" s="1">
        <v>92</v>
      </c>
      <c r="B317" s="188">
        <v>44176</v>
      </c>
      <c r="C317" s="189" t="s">
        <v>91</v>
      </c>
      <c r="D317" s="210" t="s">
        <v>38</v>
      </c>
      <c r="E317" s="173" t="s">
        <v>23</v>
      </c>
      <c r="F317" s="210">
        <v>866192039570120</v>
      </c>
      <c r="G317" s="189" t="s">
        <v>64</v>
      </c>
      <c r="H317" s="189"/>
      <c r="I317" s="210" t="s">
        <v>63</v>
      </c>
      <c r="M317" s="174" t="s">
        <v>7980</v>
      </c>
      <c r="N317" s="174" t="s">
        <v>7869</v>
      </c>
      <c r="O317" s="191" t="s">
        <v>7981</v>
      </c>
      <c r="P317" s="189"/>
      <c r="Q317" s="188">
        <v>44176</v>
      </c>
      <c r="R317" s="188">
        <v>44193</v>
      </c>
      <c r="S317" s="182">
        <v>600</v>
      </c>
      <c r="T317" s="182">
        <v>261</v>
      </c>
      <c r="U317" s="189"/>
      <c r="V317" s="189"/>
      <c r="W317" s="189"/>
    </row>
    <row r="318" spans="1:23" hidden="1" outlineLevel="1">
      <c r="A318" s="1">
        <v>93</v>
      </c>
      <c r="B318" s="188">
        <v>44176</v>
      </c>
      <c r="C318" s="189" t="s">
        <v>91</v>
      </c>
      <c r="D318" s="210" t="s">
        <v>37</v>
      </c>
      <c r="E318" s="173" t="s">
        <v>23</v>
      </c>
      <c r="F318" s="210">
        <v>863586031472651</v>
      </c>
      <c r="G318" s="189" t="s">
        <v>64</v>
      </c>
      <c r="H318" s="189"/>
      <c r="I318" s="210" t="s">
        <v>63</v>
      </c>
      <c r="M318" s="174"/>
      <c r="N318" s="174" t="s">
        <v>7982</v>
      </c>
      <c r="O318" s="191" t="s">
        <v>7971</v>
      </c>
      <c r="P318" s="189"/>
      <c r="Q318" s="188">
        <v>44176</v>
      </c>
      <c r="R318" s="188">
        <v>44193</v>
      </c>
      <c r="S318" s="182"/>
      <c r="T318" s="182">
        <v>261</v>
      </c>
      <c r="U318" s="189"/>
      <c r="V318" s="189"/>
      <c r="W318" s="189"/>
    </row>
    <row r="319" spans="1:23" hidden="1" outlineLevel="1">
      <c r="A319" s="1">
        <v>94</v>
      </c>
      <c r="B319" s="188">
        <v>44179</v>
      </c>
      <c r="C319" s="189" t="s">
        <v>91</v>
      </c>
      <c r="D319" s="210" t="s">
        <v>38</v>
      </c>
      <c r="E319" s="173" t="s">
        <v>23</v>
      </c>
      <c r="F319" s="210">
        <v>867793036131300</v>
      </c>
      <c r="G319" s="189" t="s">
        <v>64</v>
      </c>
      <c r="H319" s="189"/>
      <c r="I319" s="210" t="s">
        <v>63</v>
      </c>
      <c r="M319" s="174" t="s">
        <v>7983</v>
      </c>
      <c r="N319" s="174" t="s">
        <v>3945</v>
      </c>
      <c r="O319" s="191" t="s">
        <v>7394</v>
      </c>
      <c r="P319" s="189"/>
      <c r="Q319" s="188">
        <v>44179</v>
      </c>
      <c r="R319" s="188">
        <v>44193</v>
      </c>
      <c r="S319" s="182">
        <v>600</v>
      </c>
      <c r="T319" s="182">
        <v>261</v>
      </c>
      <c r="U319" s="189"/>
      <c r="V319" s="189"/>
      <c r="W319" s="189"/>
    </row>
    <row r="320" spans="1:23" hidden="1" outlineLevel="1">
      <c r="A320" s="1">
        <v>95</v>
      </c>
      <c r="B320" s="188">
        <v>44179</v>
      </c>
      <c r="C320" s="189" t="s">
        <v>7330</v>
      </c>
      <c r="D320" s="210" t="s">
        <v>37</v>
      </c>
      <c r="E320" s="173" t="s">
        <v>23</v>
      </c>
      <c r="F320" s="210">
        <v>3016000018628</v>
      </c>
      <c r="G320" s="189" t="s">
        <v>64</v>
      </c>
      <c r="H320" s="189"/>
      <c r="I320" s="210" t="s">
        <v>63</v>
      </c>
      <c r="M320" s="174" t="s">
        <v>7984</v>
      </c>
      <c r="N320" s="174" t="s">
        <v>3945</v>
      </c>
      <c r="O320" s="191" t="s">
        <v>72</v>
      </c>
      <c r="P320" s="189" t="s">
        <v>7985</v>
      </c>
      <c r="Q320" s="188">
        <v>44179</v>
      </c>
      <c r="R320" s="188">
        <v>44207</v>
      </c>
      <c r="S320" s="182"/>
      <c r="T320" s="182">
        <v>290</v>
      </c>
      <c r="U320" s="189"/>
      <c r="V320" s="189"/>
      <c r="W320" s="189"/>
    </row>
    <row r="321" spans="1:23" hidden="1" outlineLevel="1">
      <c r="A321" s="1">
        <v>96</v>
      </c>
      <c r="B321" s="188">
        <v>44179</v>
      </c>
      <c r="C321" s="189" t="s">
        <v>7986</v>
      </c>
      <c r="D321" s="210" t="s">
        <v>38</v>
      </c>
      <c r="E321" s="173" t="s">
        <v>40</v>
      </c>
      <c r="F321" s="210">
        <v>388737</v>
      </c>
      <c r="G321" s="189" t="s">
        <v>64</v>
      </c>
      <c r="H321" s="189"/>
      <c r="I321" s="210" t="s">
        <v>63</v>
      </c>
      <c r="M321" s="174"/>
      <c r="N321" s="174" t="s">
        <v>7987</v>
      </c>
      <c r="O321" s="191" t="s">
        <v>7988</v>
      </c>
      <c r="P321" s="189"/>
      <c r="Q321" s="188">
        <v>44179</v>
      </c>
      <c r="R321" s="188"/>
      <c r="S321" s="182"/>
      <c r="T321" s="182">
        <v>366</v>
      </c>
      <c r="U321" s="189"/>
      <c r="V321" s="189"/>
      <c r="W321" s="189"/>
    </row>
    <row r="322" spans="1:23" collapsed="1">
      <c r="A322" s="8">
        <v>2021</v>
      </c>
      <c r="B322" s="175"/>
      <c r="C322" s="175"/>
      <c r="D322" s="175"/>
      <c r="E322" s="176"/>
      <c r="F322" s="175"/>
      <c r="G322" s="175"/>
      <c r="H322" s="175"/>
      <c r="I322" s="175"/>
      <c r="J322" s="8"/>
      <c r="K322" s="8"/>
      <c r="L322" s="8"/>
      <c r="M322" s="175"/>
      <c r="N322" s="175"/>
      <c r="O322" s="177"/>
      <c r="P322" s="175"/>
      <c r="Q322" s="178"/>
      <c r="R322" s="178"/>
      <c r="S322" s="175"/>
      <c r="T322" s="175"/>
      <c r="U322" s="175"/>
      <c r="V322" s="175"/>
      <c r="W322" s="175"/>
    </row>
    <row r="323" spans="1:23" hidden="1" outlineLevel="1">
      <c r="A323" s="1">
        <v>1</v>
      </c>
      <c r="B323" s="188">
        <v>44207</v>
      </c>
      <c r="C323" s="189" t="s">
        <v>7330</v>
      </c>
      <c r="D323" s="210" t="s">
        <v>37</v>
      </c>
      <c r="E323" s="173" t="s">
        <v>23</v>
      </c>
      <c r="F323" s="210">
        <v>203100047648</v>
      </c>
      <c r="G323" s="189" t="s">
        <v>64</v>
      </c>
      <c r="H323" s="189"/>
      <c r="I323" s="210" t="s">
        <v>63</v>
      </c>
      <c r="M323" s="174" t="s">
        <v>7989</v>
      </c>
      <c r="N323" s="174" t="s">
        <v>61</v>
      </c>
      <c r="O323" s="191" t="s">
        <v>7990</v>
      </c>
      <c r="P323" s="189" t="s">
        <v>7991</v>
      </c>
      <c r="Q323" s="188">
        <v>44208</v>
      </c>
      <c r="R323" s="188">
        <v>44228</v>
      </c>
      <c r="S323" s="182"/>
      <c r="T323" s="182">
        <v>290</v>
      </c>
      <c r="U323" s="189"/>
      <c r="V323" s="189"/>
      <c r="W323" s="189"/>
    </row>
    <row r="324" spans="1:23" ht="38.25" hidden="1" outlineLevel="1">
      <c r="A324" s="1">
        <v>2</v>
      </c>
      <c r="B324" s="188">
        <v>44210</v>
      </c>
      <c r="C324" s="189" t="s">
        <v>7992</v>
      </c>
      <c r="D324" s="210" t="s">
        <v>37</v>
      </c>
      <c r="E324" s="173" t="s">
        <v>40</v>
      </c>
      <c r="F324" s="210" t="s">
        <v>7993</v>
      </c>
      <c r="G324" s="189" t="s">
        <v>64</v>
      </c>
      <c r="H324" s="189"/>
      <c r="I324" s="210" t="s">
        <v>63</v>
      </c>
      <c r="M324" s="174"/>
      <c r="N324" s="174" t="s">
        <v>6814</v>
      </c>
      <c r="O324" s="191" t="s">
        <v>7994</v>
      </c>
      <c r="P324" s="189"/>
      <c r="Q324" s="188">
        <v>44210</v>
      </c>
      <c r="R324" s="188">
        <v>44242</v>
      </c>
      <c r="S324" s="182"/>
      <c r="T324" s="182"/>
      <c r="U324" s="189"/>
      <c r="V324" s="189"/>
      <c r="W324" s="189"/>
    </row>
    <row r="325" spans="1:23" hidden="1" outlineLevel="1">
      <c r="A325" s="1">
        <v>3</v>
      </c>
      <c r="B325" s="188">
        <v>44223</v>
      </c>
      <c r="C325" s="189" t="s">
        <v>86</v>
      </c>
      <c r="D325" s="210" t="s">
        <v>37</v>
      </c>
      <c r="E325" s="173" t="s">
        <v>23</v>
      </c>
      <c r="F325" s="210">
        <v>866795032507764</v>
      </c>
      <c r="G325" s="189" t="s">
        <v>64</v>
      </c>
      <c r="H325" s="189"/>
      <c r="I325" s="210" t="s">
        <v>63</v>
      </c>
      <c r="M325" s="174" t="s">
        <v>7995</v>
      </c>
      <c r="N325" s="174" t="s">
        <v>87</v>
      </c>
      <c r="O325" s="191" t="s">
        <v>7996</v>
      </c>
      <c r="P325" s="189"/>
      <c r="Q325" s="188">
        <v>44224</v>
      </c>
      <c r="R325" s="188">
        <v>44232</v>
      </c>
      <c r="S325" s="182"/>
      <c r="T325" s="182">
        <v>261</v>
      </c>
      <c r="U325" s="189"/>
      <c r="V325" s="189"/>
      <c r="W325" s="189"/>
    </row>
    <row r="326" spans="1:23" hidden="1" outlineLevel="1">
      <c r="A326" s="1">
        <v>4</v>
      </c>
      <c r="B326" s="188">
        <v>44228</v>
      </c>
      <c r="C326" s="189" t="s">
        <v>60</v>
      </c>
      <c r="D326" s="210" t="s">
        <v>37</v>
      </c>
      <c r="E326" s="173" t="s">
        <v>23</v>
      </c>
      <c r="F326" s="210">
        <v>16090084</v>
      </c>
      <c r="G326" s="189" t="s">
        <v>64</v>
      </c>
      <c r="H326" s="189"/>
      <c r="I326" s="210" t="s">
        <v>63</v>
      </c>
      <c r="M326" s="174" t="s">
        <v>7997</v>
      </c>
      <c r="N326" s="174" t="s">
        <v>3771</v>
      </c>
      <c r="O326" s="191" t="s">
        <v>65</v>
      </c>
      <c r="P326" s="189"/>
      <c r="Q326" s="188">
        <v>44231</v>
      </c>
      <c r="R326" s="188">
        <v>44257</v>
      </c>
      <c r="S326" s="182"/>
      <c r="T326" s="182"/>
      <c r="U326" s="189"/>
      <c r="V326" s="189"/>
      <c r="W326" s="189"/>
    </row>
    <row r="327" spans="1:23" hidden="1" outlineLevel="1">
      <c r="A327" s="1">
        <v>5</v>
      </c>
      <c r="B327" s="188">
        <v>44228</v>
      </c>
      <c r="C327" s="189" t="s">
        <v>60</v>
      </c>
      <c r="D327" s="210" t="s">
        <v>37</v>
      </c>
      <c r="E327" s="173" t="s">
        <v>23</v>
      </c>
      <c r="F327" s="210">
        <v>17100350</v>
      </c>
      <c r="G327" s="189" t="s">
        <v>64</v>
      </c>
      <c r="H327" s="189"/>
      <c r="I327" s="210" t="s">
        <v>63</v>
      </c>
      <c r="M327" s="174" t="s">
        <v>7998</v>
      </c>
      <c r="N327" s="174" t="s">
        <v>3771</v>
      </c>
      <c r="O327" s="191" t="s">
        <v>65</v>
      </c>
      <c r="P327" s="189"/>
      <c r="Q327" s="188">
        <v>44231</v>
      </c>
      <c r="R327" s="188">
        <v>44257</v>
      </c>
      <c r="S327" s="182"/>
      <c r="T327" s="182"/>
      <c r="U327" s="189"/>
      <c r="V327" s="189"/>
      <c r="W327" s="189"/>
    </row>
    <row r="328" spans="1:23" hidden="1" outlineLevel="1">
      <c r="A328" s="1">
        <v>6</v>
      </c>
      <c r="B328" s="188">
        <v>44228</v>
      </c>
      <c r="C328" s="189" t="s">
        <v>60</v>
      </c>
      <c r="D328" s="210" t="s">
        <v>37</v>
      </c>
      <c r="E328" s="173" t="s">
        <v>23</v>
      </c>
      <c r="F328" s="210">
        <v>17010433</v>
      </c>
      <c r="G328" s="189" t="s">
        <v>64</v>
      </c>
      <c r="H328" s="189"/>
      <c r="I328" s="210" t="s">
        <v>63</v>
      </c>
      <c r="M328" s="174" t="s">
        <v>7999</v>
      </c>
      <c r="N328" s="174" t="s">
        <v>3759</v>
      </c>
      <c r="O328" s="191" t="s">
        <v>65</v>
      </c>
      <c r="P328" s="189"/>
      <c r="Q328" s="188">
        <v>44231</v>
      </c>
      <c r="R328" s="188">
        <v>44257</v>
      </c>
      <c r="S328" s="182"/>
      <c r="T328" s="182"/>
      <c r="U328" s="189"/>
      <c r="V328" s="189"/>
      <c r="W328" s="189"/>
    </row>
    <row r="329" spans="1:23" hidden="1" outlineLevel="1">
      <c r="A329" s="1">
        <v>7</v>
      </c>
      <c r="B329" s="188">
        <v>44238</v>
      </c>
      <c r="C329" s="189" t="s">
        <v>7904</v>
      </c>
      <c r="D329" s="210" t="s">
        <v>37</v>
      </c>
      <c r="E329" s="173" t="s">
        <v>39</v>
      </c>
      <c r="F329" s="210" t="s">
        <v>4263</v>
      </c>
      <c r="G329" s="189" t="s">
        <v>64</v>
      </c>
      <c r="H329" s="189"/>
      <c r="I329" s="210" t="s">
        <v>63</v>
      </c>
      <c r="M329" s="174" t="s">
        <v>8000</v>
      </c>
      <c r="N329" s="174" t="s">
        <v>3909</v>
      </c>
      <c r="O329" s="191" t="s">
        <v>7907</v>
      </c>
      <c r="P329" s="189"/>
      <c r="Q329" s="188">
        <v>44238</v>
      </c>
      <c r="R329" s="188">
        <v>44260</v>
      </c>
      <c r="S329" s="182"/>
      <c r="T329" s="182">
        <v>290</v>
      </c>
      <c r="U329" s="189"/>
      <c r="V329" s="189"/>
      <c r="W329" s="189"/>
    </row>
    <row r="330" spans="1:23" hidden="1" outlineLevel="1">
      <c r="A330" s="1">
        <v>8</v>
      </c>
      <c r="B330" s="188">
        <v>44238</v>
      </c>
      <c r="C330" s="189" t="s">
        <v>60</v>
      </c>
      <c r="D330" s="210" t="s">
        <v>37</v>
      </c>
      <c r="E330" s="173" t="s">
        <v>23</v>
      </c>
      <c r="F330" s="210">
        <v>20070890</v>
      </c>
      <c r="G330" s="189" t="s">
        <v>64</v>
      </c>
      <c r="H330" s="189"/>
      <c r="I330" s="210" t="s">
        <v>63</v>
      </c>
      <c r="M330" s="174" t="s">
        <v>8001</v>
      </c>
      <c r="N330" s="174" t="s">
        <v>3852</v>
      </c>
      <c r="O330" s="191" t="s">
        <v>7394</v>
      </c>
      <c r="P330" s="189"/>
      <c r="Q330" s="188">
        <v>44242</v>
      </c>
      <c r="R330" s="188">
        <v>44257</v>
      </c>
      <c r="S330" s="182"/>
      <c r="T330" s="182"/>
      <c r="U330" s="189"/>
      <c r="V330" s="189"/>
      <c r="W330" s="189"/>
    </row>
    <row r="331" spans="1:23" ht="25.5" hidden="1" outlineLevel="1">
      <c r="A331" s="1">
        <v>9</v>
      </c>
      <c r="B331" s="188">
        <v>44238</v>
      </c>
      <c r="C331" s="189" t="s">
        <v>8002</v>
      </c>
      <c r="D331" s="210" t="s">
        <v>37</v>
      </c>
      <c r="E331" s="173" t="s">
        <v>23</v>
      </c>
      <c r="F331" s="210">
        <v>203100068251</v>
      </c>
      <c r="G331" s="189" t="s">
        <v>64</v>
      </c>
      <c r="H331" s="189"/>
      <c r="I331" s="210" t="s">
        <v>63</v>
      </c>
      <c r="M331" s="174" t="s">
        <v>8003</v>
      </c>
      <c r="N331" s="174" t="s">
        <v>3873</v>
      </c>
      <c r="O331" s="191" t="s">
        <v>8004</v>
      </c>
      <c r="P331" s="189" t="s">
        <v>8005</v>
      </c>
      <c r="Q331" s="188">
        <v>44238</v>
      </c>
      <c r="R331" s="188">
        <v>1.03</v>
      </c>
      <c r="S331" s="182"/>
      <c r="T331" s="182">
        <v>290</v>
      </c>
      <c r="U331" s="189"/>
      <c r="V331" s="189"/>
      <c r="W331" s="189"/>
    </row>
    <row r="332" spans="1:23" hidden="1" outlineLevel="1">
      <c r="A332" s="1">
        <v>10</v>
      </c>
      <c r="B332" s="188">
        <v>44243</v>
      </c>
      <c r="C332" s="189" t="s">
        <v>8006</v>
      </c>
      <c r="D332" s="210" t="s">
        <v>7636</v>
      </c>
      <c r="E332" s="173" t="s">
        <v>23</v>
      </c>
      <c r="F332" s="210">
        <v>865905020100271</v>
      </c>
      <c r="G332" s="189" t="s">
        <v>64</v>
      </c>
      <c r="H332" s="189"/>
      <c r="I332" s="210" t="s">
        <v>63</v>
      </c>
      <c r="M332" s="174" t="s">
        <v>8008</v>
      </c>
      <c r="N332" s="174" t="s">
        <v>8007</v>
      </c>
      <c r="O332" s="191" t="s">
        <v>8009</v>
      </c>
      <c r="P332" s="189"/>
      <c r="Q332" s="188">
        <v>44243</v>
      </c>
      <c r="R332" s="188">
        <v>44266</v>
      </c>
      <c r="S332" s="182">
        <v>460</v>
      </c>
      <c r="T332" s="182" t="s">
        <v>8010</v>
      </c>
      <c r="U332" s="189"/>
      <c r="V332" s="189"/>
      <c r="W332" s="189"/>
    </row>
    <row r="333" spans="1:23" hidden="1" outlineLevel="1">
      <c r="A333" s="1">
        <v>11</v>
      </c>
      <c r="B333" s="188">
        <v>44243</v>
      </c>
      <c r="C333" s="189" t="s">
        <v>7723</v>
      </c>
      <c r="D333" s="210" t="s">
        <v>38</v>
      </c>
      <c r="E333" s="173" t="s">
        <v>39</v>
      </c>
      <c r="F333" s="210" t="s">
        <v>8011</v>
      </c>
      <c r="G333" s="189" t="s">
        <v>64</v>
      </c>
      <c r="H333" s="189"/>
      <c r="I333" s="210" t="s">
        <v>63</v>
      </c>
      <c r="M333" s="174"/>
      <c r="N333" s="174" t="s">
        <v>8012</v>
      </c>
      <c r="O333" s="191" t="s">
        <v>152</v>
      </c>
      <c r="P333" s="189" t="s">
        <v>8013</v>
      </c>
      <c r="Q333" s="188">
        <v>44243</v>
      </c>
      <c r="R333" s="188">
        <v>44273</v>
      </c>
      <c r="S333" s="182">
        <v>3000</v>
      </c>
      <c r="T333" s="182" t="s">
        <v>8014</v>
      </c>
      <c r="U333" s="189"/>
      <c r="V333" s="189"/>
      <c r="W333" s="189"/>
    </row>
    <row r="334" spans="1:23" hidden="1" outlineLevel="1">
      <c r="A334" s="1">
        <v>12</v>
      </c>
      <c r="B334" s="188">
        <v>44244</v>
      </c>
      <c r="C334" s="189" t="s">
        <v>8015</v>
      </c>
      <c r="D334" s="210" t="s">
        <v>37</v>
      </c>
      <c r="E334" s="173" t="s">
        <v>23</v>
      </c>
      <c r="F334" s="210">
        <v>17110798</v>
      </c>
      <c r="G334" s="189" t="s">
        <v>64</v>
      </c>
      <c r="H334" s="189"/>
      <c r="I334" s="210" t="s">
        <v>63</v>
      </c>
      <c r="M334" s="174" t="s">
        <v>8016</v>
      </c>
      <c r="N334" s="174" t="s">
        <v>3893</v>
      </c>
      <c r="O334" s="191" t="s">
        <v>8017</v>
      </c>
      <c r="P334" s="189"/>
      <c r="Q334" s="188">
        <v>44256</v>
      </c>
      <c r="R334" s="188">
        <v>44270</v>
      </c>
      <c r="S334" s="182"/>
      <c r="T334" s="182"/>
      <c r="U334" s="189"/>
      <c r="V334" s="189"/>
      <c r="W334" s="189"/>
    </row>
    <row r="335" spans="1:23" hidden="1" outlineLevel="1">
      <c r="A335" s="1">
        <v>13</v>
      </c>
      <c r="B335" s="188">
        <v>44253</v>
      </c>
      <c r="C335" s="189" t="s">
        <v>60</v>
      </c>
      <c r="D335" s="210" t="s">
        <v>37</v>
      </c>
      <c r="E335" s="173" t="s">
        <v>23</v>
      </c>
      <c r="F335" s="210">
        <v>20090648</v>
      </c>
      <c r="G335" s="189" t="s">
        <v>64</v>
      </c>
      <c r="H335" s="189"/>
      <c r="I335" s="210" t="s">
        <v>63</v>
      </c>
      <c r="M335" s="174" t="s">
        <v>8019</v>
      </c>
      <c r="N335" s="174" t="s">
        <v>8018</v>
      </c>
      <c r="O335" s="191" t="s">
        <v>72</v>
      </c>
      <c r="P335" s="189"/>
      <c r="Q335" s="188">
        <v>44256</v>
      </c>
      <c r="R335" s="188">
        <v>44270</v>
      </c>
      <c r="S335" s="182"/>
      <c r="T335" s="182"/>
      <c r="U335" s="199"/>
      <c r="V335" s="189"/>
      <c r="W335" s="189"/>
    </row>
    <row r="336" spans="1:23" hidden="1" outlineLevel="1">
      <c r="A336" s="1">
        <v>14</v>
      </c>
      <c r="B336" s="188">
        <v>44257</v>
      </c>
      <c r="C336" s="189" t="s">
        <v>7330</v>
      </c>
      <c r="D336" s="210" t="s">
        <v>38</v>
      </c>
      <c r="E336" s="173" t="s">
        <v>23</v>
      </c>
      <c r="F336" s="210">
        <v>2031010012818</v>
      </c>
      <c r="G336" s="189" t="s">
        <v>64</v>
      </c>
      <c r="H336" s="189"/>
      <c r="I336" s="210" t="s">
        <v>63</v>
      </c>
      <c r="M336" s="174" t="s">
        <v>8020</v>
      </c>
      <c r="N336" s="174" t="s">
        <v>3776</v>
      </c>
      <c r="O336" s="191" t="s">
        <v>7712</v>
      </c>
      <c r="P336" s="189" t="s">
        <v>8021</v>
      </c>
      <c r="Q336" s="188">
        <v>44257</v>
      </c>
      <c r="R336" s="188">
        <v>44274</v>
      </c>
      <c r="S336" s="182"/>
      <c r="T336" s="182" t="s">
        <v>8022</v>
      </c>
      <c r="U336" s="189"/>
      <c r="V336" s="189"/>
      <c r="W336" s="189"/>
    </row>
    <row r="337" spans="1:23" hidden="1" outlineLevel="1">
      <c r="A337" s="1">
        <v>15</v>
      </c>
      <c r="B337" s="188">
        <v>44264</v>
      </c>
      <c r="C337" s="189" t="s">
        <v>8023</v>
      </c>
      <c r="D337" s="210" t="s">
        <v>37</v>
      </c>
      <c r="E337" s="173" t="s">
        <v>23</v>
      </c>
      <c r="F337" s="210">
        <v>100633</v>
      </c>
      <c r="G337" s="189" t="s">
        <v>64</v>
      </c>
      <c r="H337" s="189"/>
      <c r="I337" s="210" t="s">
        <v>63</v>
      </c>
      <c r="M337" s="174"/>
      <c r="N337" s="174" t="s">
        <v>8024</v>
      </c>
      <c r="O337" s="191" t="s">
        <v>8025</v>
      </c>
      <c r="P337" s="189"/>
      <c r="Q337" s="188">
        <v>44273</v>
      </c>
      <c r="R337" s="188">
        <v>44288</v>
      </c>
      <c r="S337" s="182"/>
      <c r="T337" s="182"/>
      <c r="U337" s="189"/>
      <c r="V337" s="189"/>
      <c r="W337" s="189"/>
    </row>
    <row r="338" spans="1:23" hidden="1" outlineLevel="1">
      <c r="A338" s="1">
        <v>16</v>
      </c>
      <c r="B338" s="188">
        <v>44264</v>
      </c>
      <c r="C338" s="189" t="s">
        <v>8023</v>
      </c>
      <c r="D338" s="210" t="s">
        <v>37</v>
      </c>
      <c r="E338" s="173" t="s">
        <v>23</v>
      </c>
      <c r="F338" s="210">
        <v>100568</v>
      </c>
      <c r="G338" s="189" t="s">
        <v>8026</v>
      </c>
      <c r="H338" s="189"/>
      <c r="I338" s="210" t="s">
        <v>63</v>
      </c>
      <c r="M338" s="174"/>
      <c r="N338" s="174" t="s">
        <v>3651</v>
      </c>
      <c r="O338" s="191" t="s">
        <v>8027</v>
      </c>
      <c r="P338" s="189" t="s">
        <v>8028</v>
      </c>
      <c r="Q338" s="188"/>
      <c r="R338" s="188">
        <v>44288</v>
      </c>
      <c r="S338" s="182"/>
      <c r="T338" s="182"/>
      <c r="U338" s="189"/>
      <c r="V338" s="189"/>
      <c r="W338" s="189"/>
    </row>
    <row r="339" spans="1:23" hidden="1" outlineLevel="1">
      <c r="A339" s="1">
        <v>17</v>
      </c>
      <c r="B339" s="188">
        <v>44274</v>
      </c>
      <c r="C339" s="189" t="s">
        <v>60</v>
      </c>
      <c r="D339" s="210" t="s">
        <v>37</v>
      </c>
      <c r="E339" s="173" t="s">
        <v>23</v>
      </c>
      <c r="F339" s="210">
        <v>18030420</v>
      </c>
      <c r="G339" s="189" t="s">
        <v>64</v>
      </c>
      <c r="H339" s="189"/>
      <c r="I339" s="210" t="s">
        <v>63</v>
      </c>
      <c r="M339" s="174" t="s">
        <v>8029</v>
      </c>
      <c r="N339" s="174" t="s">
        <v>126</v>
      </c>
      <c r="O339" s="191" t="s">
        <v>72</v>
      </c>
      <c r="P339" s="189"/>
      <c r="Q339" s="188">
        <v>44274</v>
      </c>
      <c r="R339" s="188">
        <v>44293</v>
      </c>
      <c r="S339" s="182"/>
      <c r="T339" s="182"/>
      <c r="U339" s="189"/>
      <c r="V339" s="189"/>
      <c r="W339" s="189"/>
    </row>
    <row r="340" spans="1:23" hidden="1" outlineLevel="1">
      <c r="A340" s="1">
        <v>18</v>
      </c>
      <c r="B340" s="188">
        <v>44280</v>
      </c>
      <c r="C340" s="189" t="s">
        <v>8030</v>
      </c>
      <c r="D340" s="210" t="s">
        <v>37</v>
      </c>
      <c r="E340" s="173" t="s">
        <v>23</v>
      </c>
      <c r="F340" s="210">
        <v>866795037696745</v>
      </c>
      <c r="G340" s="189" t="s">
        <v>64</v>
      </c>
      <c r="H340" s="189"/>
      <c r="I340" s="210" t="s">
        <v>63</v>
      </c>
      <c r="M340" s="174"/>
      <c r="N340" s="174" t="s">
        <v>7410</v>
      </c>
      <c r="O340" s="191" t="s">
        <v>7321</v>
      </c>
      <c r="P340" s="189"/>
      <c r="Q340" s="188">
        <v>44280</v>
      </c>
      <c r="R340" s="188">
        <v>44300</v>
      </c>
      <c r="S340" s="182"/>
      <c r="T340" s="182">
        <v>290</v>
      </c>
      <c r="U340" s="189"/>
      <c r="V340" s="189"/>
      <c r="W340" s="189"/>
    </row>
    <row r="341" spans="1:23" hidden="1" outlineLevel="1">
      <c r="A341" s="1">
        <v>19</v>
      </c>
      <c r="B341" s="188">
        <v>44280</v>
      </c>
      <c r="C341" s="189" t="s">
        <v>91</v>
      </c>
      <c r="D341" s="210" t="s">
        <v>38</v>
      </c>
      <c r="E341" s="173" t="s">
        <v>23</v>
      </c>
      <c r="F341" s="210">
        <v>867793036176966</v>
      </c>
      <c r="G341" s="189" t="s">
        <v>64</v>
      </c>
      <c r="H341" s="189"/>
      <c r="I341" s="210" t="s">
        <v>63</v>
      </c>
      <c r="M341" s="174" t="s">
        <v>8031</v>
      </c>
      <c r="N341" s="174" t="s">
        <v>7843</v>
      </c>
      <c r="O341" s="191" t="s">
        <v>7478</v>
      </c>
      <c r="P341" s="189"/>
      <c r="Q341" s="188">
        <v>44280</v>
      </c>
      <c r="R341" s="188">
        <v>44300</v>
      </c>
      <c r="S341" s="182">
        <v>600</v>
      </c>
      <c r="T341" s="182" t="s">
        <v>8032</v>
      </c>
      <c r="U341" s="189"/>
      <c r="V341" s="189"/>
      <c r="W341" s="189"/>
    </row>
    <row r="342" spans="1:23" hidden="1" outlineLevel="1">
      <c r="A342" s="1">
        <v>20</v>
      </c>
      <c r="B342" s="188">
        <v>44284</v>
      </c>
      <c r="C342" s="189" t="s">
        <v>8033</v>
      </c>
      <c r="D342" s="210" t="s">
        <v>37</v>
      </c>
      <c r="E342" s="173" t="s">
        <v>40</v>
      </c>
      <c r="F342" s="210" t="s">
        <v>8034</v>
      </c>
      <c r="G342" s="189" t="s">
        <v>64</v>
      </c>
      <c r="H342" s="189"/>
      <c r="I342" s="210" t="s">
        <v>63</v>
      </c>
      <c r="M342" s="174"/>
      <c r="N342" s="174"/>
      <c r="O342" s="191"/>
      <c r="P342" s="189"/>
      <c r="Q342" s="188">
        <v>29.03</v>
      </c>
      <c r="R342" s="188">
        <v>44292</v>
      </c>
      <c r="S342" s="182"/>
      <c r="T342" s="182" t="s">
        <v>8035</v>
      </c>
      <c r="U342" s="189"/>
      <c r="V342" s="189"/>
      <c r="W342" s="189"/>
    </row>
    <row r="343" spans="1:23" hidden="1" outlineLevel="1">
      <c r="A343" s="1">
        <v>21</v>
      </c>
      <c r="B343" s="188">
        <v>44287</v>
      </c>
      <c r="C343" s="189" t="s">
        <v>8036</v>
      </c>
      <c r="D343" s="210" t="s">
        <v>37</v>
      </c>
      <c r="E343" s="173" t="s">
        <v>39</v>
      </c>
      <c r="F343" s="210"/>
      <c r="G343" s="189" t="s">
        <v>64</v>
      </c>
      <c r="H343" s="189"/>
      <c r="I343" s="210" t="s">
        <v>63</v>
      </c>
      <c r="M343" s="174"/>
      <c r="N343" s="174" t="s">
        <v>8037</v>
      </c>
      <c r="O343" s="191" t="s">
        <v>8038</v>
      </c>
      <c r="P343" s="189"/>
      <c r="Q343" s="188">
        <v>44287</v>
      </c>
      <c r="R343" s="188">
        <v>44291</v>
      </c>
      <c r="S343" s="182"/>
      <c r="T343" s="182">
        <v>261</v>
      </c>
      <c r="U343" s="189"/>
      <c r="V343" s="189"/>
      <c r="W343" s="189"/>
    </row>
    <row r="344" spans="1:23" hidden="1" outlineLevel="1">
      <c r="A344" s="1">
        <v>22</v>
      </c>
      <c r="B344" s="188">
        <v>44292</v>
      </c>
      <c r="C344" s="189" t="s">
        <v>7450</v>
      </c>
      <c r="D344" s="210" t="s">
        <v>37</v>
      </c>
      <c r="E344" s="173" t="s">
        <v>23</v>
      </c>
      <c r="F344" s="210">
        <v>868183036116882</v>
      </c>
      <c r="G344" s="189" t="s">
        <v>64</v>
      </c>
      <c r="H344" s="189"/>
      <c r="I344" s="210" t="s">
        <v>63</v>
      </c>
      <c r="M344" s="174" t="s">
        <v>8040</v>
      </c>
      <c r="N344" s="174" t="s">
        <v>8039</v>
      </c>
      <c r="O344" s="191" t="s">
        <v>7431</v>
      </c>
      <c r="P344" s="189"/>
      <c r="Q344" s="188">
        <v>44292</v>
      </c>
      <c r="R344" s="188">
        <v>44313</v>
      </c>
      <c r="S344" s="182"/>
      <c r="T344" s="182">
        <v>460</v>
      </c>
      <c r="U344" s="189"/>
      <c r="V344" s="189"/>
      <c r="W344" s="189"/>
    </row>
    <row r="345" spans="1:23" ht="51" hidden="1" outlineLevel="1">
      <c r="A345" s="1">
        <v>23</v>
      </c>
      <c r="B345" s="188">
        <v>44292</v>
      </c>
      <c r="C345" s="189" t="s">
        <v>7766</v>
      </c>
      <c r="D345" s="210" t="s">
        <v>37</v>
      </c>
      <c r="E345" s="173" t="s">
        <v>39</v>
      </c>
      <c r="F345" s="210" t="s">
        <v>8041</v>
      </c>
      <c r="G345" s="189" t="s">
        <v>64</v>
      </c>
      <c r="H345" s="189"/>
      <c r="I345" s="210" t="s">
        <v>63</v>
      </c>
      <c r="M345" s="174"/>
      <c r="N345" s="174"/>
      <c r="O345" s="191" t="s">
        <v>8042</v>
      </c>
      <c r="P345" s="189"/>
      <c r="Q345" s="188">
        <v>44293</v>
      </c>
      <c r="R345" s="188">
        <v>44334</v>
      </c>
      <c r="S345" s="182"/>
      <c r="T345" s="182">
        <v>261</v>
      </c>
      <c r="U345" s="189"/>
      <c r="V345" s="189"/>
      <c r="W345" s="189"/>
    </row>
    <row r="346" spans="1:23" ht="25.5" hidden="1" outlineLevel="1">
      <c r="A346" s="1">
        <v>24</v>
      </c>
      <c r="B346" s="188">
        <v>44293</v>
      </c>
      <c r="C346" s="189" t="s">
        <v>138</v>
      </c>
      <c r="D346" s="210" t="s">
        <v>38</v>
      </c>
      <c r="E346" s="173" t="s">
        <v>23</v>
      </c>
      <c r="F346" s="210">
        <v>299874</v>
      </c>
      <c r="G346" s="189" t="s">
        <v>64</v>
      </c>
      <c r="H346" s="189"/>
      <c r="I346" s="210" t="s">
        <v>63</v>
      </c>
      <c r="M346" s="174" t="s">
        <v>8044</v>
      </c>
      <c r="N346" s="174" t="s">
        <v>8043</v>
      </c>
      <c r="O346" s="191" t="s">
        <v>152</v>
      </c>
      <c r="P346" s="189" t="s">
        <v>173</v>
      </c>
      <c r="Q346" s="188">
        <v>44294</v>
      </c>
      <c r="R346" s="188">
        <v>44312</v>
      </c>
      <c r="S346" s="182">
        <v>500</v>
      </c>
      <c r="T346" s="182" t="s">
        <v>8045</v>
      </c>
      <c r="U346" s="189"/>
      <c r="V346" s="189"/>
      <c r="W346" s="189"/>
    </row>
    <row r="347" spans="1:23" hidden="1" outlineLevel="1">
      <c r="A347" s="1">
        <v>25</v>
      </c>
      <c r="B347" s="188">
        <v>44295</v>
      </c>
      <c r="C347" s="189" t="s">
        <v>60</v>
      </c>
      <c r="D347" s="210" t="s">
        <v>37</v>
      </c>
      <c r="E347" s="173" t="s">
        <v>23</v>
      </c>
      <c r="F347" s="210">
        <v>18040786</v>
      </c>
      <c r="G347" s="189" t="s">
        <v>64</v>
      </c>
      <c r="H347" s="189"/>
      <c r="I347" s="210" t="s">
        <v>63</v>
      </c>
      <c r="M347" s="174" t="s">
        <v>8046</v>
      </c>
      <c r="N347" s="174" t="s">
        <v>3910</v>
      </c>
      <c r="O347" s="191" t="s">
        <v>72</v>
      </c>
      <c r="P347" s="189"/>
      <c r="Q347" s="188">
        <v>44295</v>
      </c>
      <c r="R347" s="188">
        <v>44306</v>
      </c>
      <c r="S347" s="182"/>
      <c r="T347" s="182"/>
      <c r="U347" s="189"/>
      <c r="V347" s="189"/>
      <c r="W347" s="189"/>
    </row>
    <row r="348" spans="1:23" hidden="1" outlineLevel="1">
      <c r="A348" s="1">
        <v>26</v>
      </c>
      <c r="B348" s="188">
        <v>44295</v>
      </c>
      <c r="C348" s="189" t="s">
        <v>7330</v>
      </c>
      <c r="D348" s="210" t="s">
        <v>37</v>
      </c>
      <c r="E348" s="173" t="s">
        <v>23</v>
      </c>
      <c r="F348" s="210">
        <v>2031010000356</v>
      </c>
      <c r="G348" s="189" t="s">
        <v>64</v>
      </c>
      <c r="H348" s="189"/>
      <c r="I348" s="210" t="s">
        <v>63</v>
      </c>
      <c r="M348" s="174" t="s">
        <v>8048</v>
      </c>
      <c r="N348" s="174" t="s">
        <v>8047</v>
      </c>
      <c r="O348" s="191" t="s">
        <v>72</v>
      </c>
      <c r="P348" s="189" t="s">
        <v>8049</v>
      </c>
      <c r="Q348" s="188">
        <v>44295</v>
      </c>
      <c r="R348" s="188">
        <v>44309</v>
      </c>
      <c r="S348" s="182"/>
      <c r="T348" s="182">
        <v>290</v>
      </c>
      <c r="U348" s="189"/>
      <c r="V348" s="189"/>
      <c r="W348" s="189"/>
    </row>
    <row r="349" spans="1:23" hidden="1" outlineLevel="1">
      <c r="A349" s="1">
        <v>27</v>
      </c>
      <c r="B349" s="188">
        <v>44300</v>
      </c>
      <c r="C349" s="189" t="s">
        <v>7330</v>
      </c>
      <c r="D349" s="210" t="s">
        <v>37</v>
      </c>
      <c r="E349" s="173" t="s">
        <v>23</v>
      </c>
      <c r="F349" s="210">
        <v>4016000131787</v>
      </c>
      <c r="G349" s="189" t="s">
        <v>64</v>
      </c>
      <c r="H349" s="189"/>
      <c r="I349" s="210" t="s">
        <v>63</v>
      </c>
      <c r="M349" s="174" t="s">
        <v>8050</v>
      </c>
      <c r="N349" s="174" t="s">
        <v>7911</v>
      </c>
      <c r="O349" s="191" t="s">
        <v>72</v>
      </c>
      <c r="P349" s="189" t="s">
        <v>8051</v>
      </c>
      <c r="Q349" s="188">
        <v>44300</v>
      </c>
      <c r="R349" s="188">
        <v>44327</v>
      </c>
      <c r="S349" s="182"/>
      <c r="T349" s="182">
        <v>290</v>
      </c>
      <c r="U349" s="189"/>
      <c r="V349" s="189"/>
      <c r="W349" s="189"/>
    </row>
    <row r="350" spans="1:23" hidden="1" outlineLevel="1">
      <c r="A350" s="1">
        <v>28</v>
      </c>
      <c r="B350" s="188">
        <v>44313</v>
      </c>
      <c r="C350" s="189" t="s">
        <v>608</v>
      </c>
      <c r="D350" s="210" t="s">
        <v>38</v>
      </c>
      <c r="E350" s="173" t="s">
        <v>23</v>
      </c>
      <c r="F350" s="210">
        <v>866795033225259</v>
      </c>
      <c r="G350" s="189" t="s">
        <v>64</v>
      </c>
      <c r="H350" s="189"/>
      <c r="I350" s="210" t="s">
        <v>63</v>
      </c>
      <c r="M350" s="174" t="s">
        <v>8053</v>
      </c>
      <c r="N350" s="174" t="s">
        <v>8052</v>
      </c>
      <c r="O350" s="191" t="s">
        <v>8054</v>
      </c>
      <c r="P350" s="189" t="s">
        <v>173</v>
      </c>
      <c r="Q350" s="188">
        <v>44313</v>
      </c>
      <c r="R350" s="188">
        <v>44327</v>
      </c>
      <c r="S350" s="182"/>
      <c r="T350" s="182">
        <v>261</v>
      </c>
      <c r="U350" s="189"/>
      <c r="V350" s="189"/>
      <c r="W350" s="189"/>
    </row>
    <row r="351" spans="1:23" hidden="1" outlineLevel="1">
      <c r="A351" s="1">
        <v>29</v>
      </c>
      <c r="B351" s="188">
        <v>44315</v>
      </c>
      <c r="C351" s="189" t="s">
        <v>154</v>
      </c>
      <c r="D351" s="210" t="s">
        <v>38</v>
      </c>
      <c r="E351" s="173" t="s">
        <v>23</v>
      </c>
      <c r="F351" s="210">
        <v>868324025359352</v>
      </c>
      <c r="G351" s="189" t="s">
        <v>64</v>
      </c>
      <c r="H351" s="189"/>
      <c r="I351" s="210" t="s">
        <v>63</v>
      </c>
      <c r="M351" s="174" t="s">
        <v>8056</v>
      </c>
      <c r="N351" s="174" t="s">
        <v>8055</v>
      </c>
      <c r="O351" s="191" t="s">
        <v>152</v>
      </c>
      <c r="P351" s="189"/>
      <c r="Q351" s="188">
        <v>44315</v>
      </c>
      <c r="R351" s="188">
        <v>44354</v>
      </c>
      <c r="S351" s="182">
        <v>610</v>
      </c>
      <c r="T351" s="182">
        <v>525</v>
      </c>
      <c r="U351" s="189"/>
      <c r="V351" s="189"/>
      <c r="W351" s="189"/>
    </row>
    <row r="352" spans="1:23" hidden="1" outlineLevel="1">
      <c r="A352" s="1">
        <v>30</v>
      </c>
      <c r="B352" s="188">
        <v>44315</v>
      </c>
      <c r="C352" s="189" t="s">
        <v>60</v>
      </c>
      <c r="D352" s="210" t="s">
        <v>37</v>
      </c>
      <c r="E352" s="173" t="s">
        <v>23</v>
      </c>
      <c r="F352" s="210">
        <v>20070183</v>
      </c>
      <c r="G352" s="189" t="s">
        <v>64</v>
      </c>
      <c r="H352" s="189"/>
      <c r="I352" s="210" t="s">
        <v>63</v>
      </c>
      <c r="M352" s="174" t="s">
        <v>8058</v>
      </c>
      <c r="N352" s="174" t="s">
        <v>8057</v>
      </c>
      <c r="O352" s="191" t="s">
        <v>7394</v>
      </c>
      <c r="P352" s="189"/>
      <c r="Q352" s="188">
        <v>44328</v>
      </c>
      <c r="R352" s="188">
        <v>44341</v>
      </c>
      <c r="S352" s="182"/>
      <c r="T352" s="182">
        <v>261</v>
      </c>
      <c r="U352" s="189"/>
      <c r="V352" s="189"/>
      <c r="W352" s="189"/>
    </row>
    <row r="353" spans="1:23" hidden="1" outlineLevel="1">
      <c r="A353" s="1">
        <v>31</v>
      </c>
      <c r="B353" s="188">
        <v>44316</v>
      </c>
      <c r="C353" s="189" t="s">
        <v>149</v>
      </c>
      <c r="D353" s="210" t="s">
        <v>37</v>
      </c>
      <c r="E353" s="173" t="s">
        <v>23</v>
      </c>
      <c r="F353" s="210">
        <v>866795037053806</v>
      </c>
      <c r="G353" s="189" t="s">
        <v>64</v>
      </c>
      <c r="H353" s="189"/>
      <c r="I353" s="210" t="s">
        <v>63</v>
      </c>
      <c r="M353" s="174" t="s">
        <v>8060</v>
      </c>
      <c r="N353" s="174" t="s">
        <v>8059</v>
      </c>
      <c r="O353" s="191" t="s">
        <v>8061</v>
      </c>
      <c r="P353" s="189" t="s">
        <v>8062</v>
      </c>
      <c r="Q353" s="188">
        <v>44316</v>
      </c>
      <c r="R353" s="188">
        <v>44327</v>
      </c>
      <c r="S353" s="182"/>
      <c r="T353" s="182">
        <v>261</v>
      </c>
      <c r="U353" s="189"/>
      <c r="V353" s="189"/>
      <c r="W353" s="189"/>
    </row>
    <row r="354" spans="1:23" hidden="1" outlineLevel="1">
      <c r="A354" s="1">
        <v>32</v>
      </c>
      <c r="B354" s="188">
        <v>44323</v>
      </c>
      <c r="C354" s="189" t="s">
        <v>60</v>
      </c>
      <c r="D354" s="210" t="s">
        <v>37</v>
      </c>
      <c r="E354" s="173" t="s">
        <v>23</v>
      </c>
      <c r="F354" s="210">
        <v>17110511</v>
      </c>
      <c r="G354" s="189" t="s">
        <v>64</v>
      </c>
      <c r="H354" s="189"/>
      <c r="I354" s="210" t="s">
        <v>63</v>
      </c>
      <c r="M354" s="174" t="s">
        <v>8063</v>
      </c>
      <c r="N354" s="174" t="s">
        <v>3876</v>
      </c>
      <c r="O354" s="191" t="s">
        <v>8064</v>
      </c>
      <c r="P354" s="189"/>
      <c r="Q354" s="188">
        <v>44328</v>
      </c>
      <c r="R354" s="188">
        <v>44341</v>
      </c>
      <c r="S354" s="182"/>
      <c r="T354" s="182"/>
      <c r="U354" s="189"/>
      <c r="V354" s="189"/>
      <c r="W354" s="189"/>
    </row>
    <row r="355" spans="1:23" ht="25.5" hidden="1" outlineLevel="1">
      <c r="A355" s="1">
        <v>33</v>
      </c>
      <c r="B355" s="188">
        <v>44329</v>
      </c>
      <c r="C355" s="189" t="s">
        <v>154</v>
      </c>
      <c r="D355" s="210" t="s">
        <v>38</v>
      </c>
      <c r="E355" s="173" t="s">
        <v>23</v>
      </c>
      <c r="F355" s="210">
        <v>868324025302964</v>
      </c>
      <c r="G355" s="189" t="s">
        <v>64</v>
      </c>
      <c r="H355" s="189"/>
      <c r="I355" s="210" t="s">
        <v>63</v>
      </c>
      <c r="M355" s="174" t="s">
        <v>8066</v>
      </c>
      <c r="N355" s="174" t="s">
        <v>8065</v>
      </c>
      <c r="O355" s="191" t="s">
        <v>8067</v>
      </c>
      <c r="P355" s="189"/>
      <c r="Q355" s="188">
        <v>44329</v>
      </c>
      <c r="R355" s="188">
        <v>44354</v>
      </c>
      <c r="S355" s="182">
        <v>610</v>
      </c>
      <c r="T355" s="182">
        <v>525</v>
      </c>
      <c r="U355" s="189"/>
      <c r="V355" s="189"/>
      <c r="W355" s="189"/>
    </row>
    <row r="356" spans="1:23" hidden="1" outlineLevel="1">
      <c r="A356" s="1">
        <v>34</v>
      </c>
      <c r="B356" s="188">
        <v>44329</v>
      </c>
      <c r="C356" s="189" t="s">
        <v>60</v>
      </c>
      <c r="D356" s="210" t="s">
        <v>37</v>
      </c>
      <c r="E356" s="173" t="s">
        <v>23</v>
      </c>
      <c r="F356" s="210">
        <v>18072870</v>
      </c>
      <c r="G356" s="189" t="s">
        <v>64</v>
      </c>
      <c r="H356" s="189"/>
      <c r="I356" s="210" t="s">
        <v>63</v>
      </c>
      <c r="M356" s="174" t="s">
        <v>8069</v>
      </c>
      <c r="N356" s="174" t="s">
        <v>8068</v>
      </c>
      <c r="O356" s="191" t="s">
        <v>8070</v>
      </c>
      <c r="P356" s="189"/>
      <c r="Q356" s="188">
        <v>44333</v>
      </c>
      <c r="R356" s="188">
        <v>44341</v>
      </c>
      <c r="S356" s="182"/>
      <c r="T356" s="182"/>
      <c r="U356" s="189"/>
      <c r="V356" s="189"/>
      <c r="W356" s="189"/>
    </row>
    <row r="357" spans="1:23" hidden="1" outlineLevel="1">
      <c r="A357" s="1">
        <v>35</v>
      </c>
      <c r="B357" s="188">
        <v>44329</v>
      </c>
      <c r="C357" s="189" t="s">
        <v>60</v>
      </c>
      <c r="D357" s="210" t="s">
        <v>37</v>
      </c>
      <c r="E357" s="173" t="s">
        <v>23</v>
      </c>
      <c r="F357" s="210">
        <v>18072872</v>
      </c>
      <c r="G357" s="189" t="s">
        <v>64</v>
      </c>
      <c r="H357" s="189"/>
      <c r="I357" s="210" t="s">
        <v>63</v>
      </c>
      <c r="M357" s="174" t="s">
        <v>8071</v>
      </c>
      <c r="N357" s="174" t="s">
        <v>8068</v>
      </c>
      <c r="O357" s="191" t="s">
        <v>8070</v>
      </c>
      <c r="P357" s="189"/>
      <c r="Q357" s="188">
        <v>44333</v>
      </c>
      <c r="R357" s="188">
        <v>44341</v>
      </c>
      <c r="S357" s="182"/>
      <c r="T357" s="182"/>
      <c r="U357" s="189"/>
      <c r="V357" s="189"/>
      <c r="W357" s="189"/>
    </row>
    <row r="358" spans="1:23" hidden="1" outlineLevel="1">
      <c r="A358" s="1">
        <v>36</v>
      </c>
      <c r="B358" s="188">
        <v>44329</v>
      </c>
      <c r="C358" s="189" t="s">
        <v>60</v>
      </c>
      <c r="D358" s="210" t="s">
        <v>37</v>
      </c>
      <c r="E358" s="173" t="s">
        <v>23</v>
      </c>
      <c r="F358" s="210">
        <v>20050948</v>
      </c>
      <c r="G358" s="189" t="s">
        <v>64</v>
      </c>
      <c r="H358" s="189"/>
      <c r="I358" s="210" t="s">
        <v>63</v>
      </c>
      <c r="M358" s="174" t="s">
        <v>8072</v>
      </c>
      <c r="N358" s="174" t="s">
        <v>3930</v>
      </c>
      <c r="O358" s="191" t="s">
        <v>8070</v>
      </c>
      <c r="P358" s="189"/>
      <c r="Q358" s="188">
        <v>44333</v>
      </c>
      <c r="R358" s="188">
        <v>44341</v>
      </c>
      <c r="S358" s="182"/>
      <c r="T358" s="182"/>
      <c r="U358" s="189"/>
      <c r="V358" s="189"/>
      <c r="W358" s="189"/>
    </row>
    <row r="359" spans="1:23" hidden="1" outlineLevel="1">
      <c r="A359" s="1">
        <v>37</v>
      </c>
      <c r="B359" s="188">
        <v>44330</v>
      </c>
      <c r="C359" s="189" t="s">
        <v>8073</v>
      </c>
      <c r="D359" s="210" t="s">
        <v>38</v>
      </c>
      <c r="E359" s="173" t="s">
        <v>23</v>
      </c>
      <c r="F359" s="210">
        <v>356895034733280</v>
      </c>
      <c r="G359" s="189" t="s">
        <v>64</v>
      </c>
      <c r="H359" s="189"/>
      <c r="I359" s="210" t="s">
        <v>63</v>
      </c>
      <c r="M359" s="174" t="s">
        <v>8074</v>
      </c>
      <c r="N359" s="174" t="s">
        <v>8052</v>
      </c>
      <c r="O359" s="191" t="s">
        <v>8075</v>
      </c>
      <c r="P359" s="189"/>
      <c r="Q359" s="188">
        <v>44330</v>
      </c>
      <c r="R359" s="188">
        <v>44369</v>
      </c>
      <c r="S359" s="182">
        <v>2050</v>
      </c>
      <c r="T359" s="182">
        <v>525</v>
      </c>
      <c r="U359" s="189"/>
      <c r="V359" s="189"/>
      <c r="W359" s="189"/>
    </row>
    <row r="360" spans="1:23" hidden="1" outlineLevel="1">
      <c r="A360" s="1">
        <v>38</v>
      </c>
      <c r="B360" s="188">
        <v>44330</v>
      </c>
      <c r="C360" s="189" t="s">
        <v>8076</v>
      </c>
      <c r="D360" s="210" t="s">
        <v>38</v>
      </c>
      <c r="E360" s="173" t="s">
        <v>23</v>
      </c>
      <c r="F360" s="210">
        <v>354868057063101</v>
      </c>
      <c r="G360" s="189" t="s">
        <v>64</v>
      </c>
      <c r="H360" s="189"/>
      <c r="I360" s="210" t="s">
        <v>63</v>
      </c>
      <c r="M360" s="174"/>
      <c r="N360" s="174" t="s">
        <v>8052</v>
      </c>
      <c r="O360" s="191" t="s">
        <v>8077</v>
      </c>
      <c r="P360" s="189"/>
      <c r="Q360" s="188">
        <v>44330</v>
      </c>
      <c r="R360" s="188">
        <v>44369</v>
      </c>
      <c r="S360" s="182">
        <v>1300</v>
      </c>
      <c r="T360" s="182">
        <v>525</v>
      </c>
      <c r="U360" s="189"/>
      <c r="V360" s="189"/>
      <c r="W360" s="189"/>
    </row>
    <row r="361" spans="1:23" hidden="1" outlineLevel="1">
      <c r="A361" s="1">
        <v>39</v>
      </c>
      <c r="B361" s="188">
        <v>44334</v>
      </c>
      <c r="C361" s="189" t="s">
        <v>8078</v>
      </c>
      <c r="D361" s="210" t="s">
        <v>7636</v>
      </c>
      <c r="E361" s="173" t="s">
        <v>23</v>
      </c>
      <c r="F361" s="210">
        <v>20119270</v>
      </c>
      <c r="G361" s="189" t="s">
        <v>64</v>
      </c>
      <c r="H361" s="189"/>
      <c r="I361" s="210" t="s">
        <v>63</v>
      </c>
      <c r="M361" s="174"/>
      <c r="N361" s="174" t="s">
        <v>8079</v>
      </c>
      <c r="O361" s="191" t="s">
        <v>175</v>
      </c>
      <c r="P361" s="189"/>
      <c r="Q361" s="188">
        <v>44334</v>
      </c>
      <c r="R361" s="188">
        <v>44362</v>
      </c>
      <c r="S361" s="182">
        <v>500</v>
      </c>
      <c r="T361" s="182">
        <v>525</v>
      </c>
      <c r="U361" s="189"/>
      <c r="V361" s="189"/>
      <c r="W361" s="189"/>
    </row>
    <row r="362" spans="1:23" ht="25.5" hidden="1" outlineLevel="1">
      <c r="A362" s="1">
        <v>40</v>
      </c>
      <c r="B362" s="188">
        <v>44334</v>
      </c>
      <c r="C362" s="189" t="s">
        <v>8080</v>
      </c>
      <c r="D362" s="210" t="s">
        <v>38</v>
      </c>
      <c r="E362" s="173" t="s">
        <v>39</v>
      </c>
      <c r="F362" s="210" t="s">
        <v>8011</v>
      </c>
      <c r="G362" s="189" t="s">
        <v>64</v>
      </c>
      <c r="H362" s="189"/>
      <c r="I362" s="210" t="s">
        <v>63</v>
      </c>
      <c r="M362" s="174"/>
      <c r="N362" s="174" t="s">
        <v>8012</v>
      </c>
      <c r="O362" s="191" t="s">
        <v>8081</v>
      </c>
      <c r="P362" s="189"/>
      <c r="Q362" s="188">
        <v>44334</v>
      </c>
      <c r="R362" s="188">
        <v>44357</v>
      </c>
      <c r="S362" s="182">
        <v>1000</v>
      </c>
      <c r="T362" s="182">
        <v>290</v>
      </c>
      <c r="U362" s="189"/>
      <c r="V362" s="189"/>
      <c r="W362" s="189"/>
    </row>
    <row r="363" spans="1:23" hidden="1" outlineLevel="1">
      <c r="A363" s="1">
        <v>41</v>
      </c>
      <c r="B363" s="188">
        <v>44334</v>
      </c>
      <c r="C363" s="189" t="s">
        <v>154</v>
      </c>
      <c r="D363" s="210" t="s">
        <v>38</v>
      </c>
      <c r="E363" s="173" t="s">
        <v>23</v>
      </c>
      <c r="F363" s="210">
        <v>865733022398192</v>
      </c>
      <c r="G363" s="189" t="s">
        <v>64</v>
      </c>
      <c r="H363" s="189"/>
      <c r="I363" s="210" t="s">
        <v>63</v>
      </c>
      <c r="M363" s="174" t="s">
        <v>8082</v>
      </c>
      <c r="N363" s="174" t="s">
        <v>3977</v>
      </c>
      <c r="O363" s="191" t="s">
        <v>7394</v>
      </c>
      <c r="P363" s="189"/>
      <c r="Q363" s="188">
        <v>44335</v>
      </c>
      <c r="R363" s="188">
        <v>44354</v>
      </c>
      <c r="S363" s="182">
        <v>610</v>
      </c>
      <c r="T363" s="182">
        <v>525</v>
      </c>
      <c r="U363" s="189"/>
      <c r="V363" s="189"/>
      <c r="W363" s="189"/>
    </row>
    <row r="364" spans="1:23" hidden="1" outlineLevel="1">
      <c r="A364" s="1">
        <v>42</v>
      </c>
      <c r="B364" s="188">
        <v>44336</v>
      </c>
      <c r="C364" s="189" t="s">
        <v>60</v>
      </c>
      <c r="D364" s="210" t="s">
        <v>37</v>
      </c>
      <c r="E364" s="173" t="s">
        <v>23</v>
      </c>
      <c r="F364" s="210">
        <v>17081817</v>
      </c>
      <c r="G364" s="189" t="s">
        <v>64</v>
      </c>
      <c r="H364" s="189"/>
      <c r="I364" s="210" t="s">
        <v>63</v>
      </c>
      <c r="M364" s="174" t="s">
        <v>8031</v>
      </c>
      <c r="N364" s="174" t="s">
        <v>83</v>
      </c>
      <c r="O364" s="191" t="s">
        <v>72</v>
      </c>
      <c r="P364" s="189"/>
      <c r="Q364" s="188">
        <v>44341</v>
      </c>
      <c r="R364" s="188">
        <v>44375</v>
      </c>
      <c r="S364" s="182"/>
      <c r="T364" s="182"/>
      <c r="U364" s="189"/>
      <c r="V364" s="189"/>
      <c r="W364" s="189"/>
    </row>
    <row r="365" spans="1:23" hidden="1" outlineLevel="1">
      <c r="A365" s="1">
        <v>43</v>
      </c>
      <c r="B365" s="188">
        <v>44340</v>
      </c>
      <c r="C365" s="189" t="s">
        <v>138</v>
      </c>
      <c r="D365" s="210" t="s">
        <v>38</v>
      </c>
      <c r="E365" s="173" t="s">
        <v>23</v>
      </c>
      <c r="F365" s="210">
        <v>275460</v>
      </c>
      <c r="G365" s="189" t="s">
        <v>64</v>
      </c>
      <c r="H365" s="189"/>
      <c r="I365" s="210" t="s">
        <v>63</v>
      </c>
      <c r="M365" s="174"/>
      <c r="N365" s="174" t="s">
        <v>8083</v>
      </c>
      <c r="O365" s="191" t="s">
        <v>8084</v>
      </c>
      <c r="P365" s="189" t="s">
        <v>173</v>
      </c>
      <c r="Q365" s="188">
        <v>44341</v>
      </c>
      <c r="R365" s="188">
        <v>44377</v>
      </c>
      <c r="S365" s="182">
        <v>500</v>
      </c>
      <c r="T365" s="182">
        <v>528</v>
      </c>
      <c r="U365" s="189"/>
      <c r="V365" s="189"/>
      <c r="W365" s="189"/>
    </row>
    <row r="366" spans="1:23" hidden="1" outlineLevel="1">
      <c r="A366" s="1">
        <v>44</v>
      </c>
      <c r="B366" s="188">
        <v>44340</v>
      </c>
      <c r="C366" s="189" t="s">
        <v>594</v>
      </c>
      <c r="D366" s="210" t="s">
        <v>38</v>
      </c>
      <c r="E366" s="173" t="s">
        <v>23</v>
      </c>
      <c r="F366" s="210">
        <v>868926035576757</v>
      </c>
      <c r="G366" s="189" t="s">
        <v>64</v>
      </c>
      <c r="H366" s="189"/>
      <c r="I366" s="210" t="s">
        <v>63</v>
      </c>
      <c r="M366" s="174" t="s">
        <v>8085</v>
      </c>
      <c r="N366" s="174" t="s">
        <v>8068</v>
      </c>
      <c r="O366" s="191" t="s">
        <v>8086</v>
      </c>
      <c r="P366" s="189"/>
      <c r="Q366" s="188">
        <v>44341</v>
      </c>
      <c r="R366" s="188">
        <v>44383</v>
      </c>
      <c r="S366" s="182">
        <v>600</v>
      </c>
      <c r="T366" s="182">
        <v>261</v>
      </c>
      <c r="U366" s="189"/>
      <c r="V366" s="189"/>
      <c r="W366" s="189"/>
    </row>
    <row r="367" spans="1:23" hidden="1" outlineLevel="1">
      <c r="A367" s="1">
        <v>45</v>
      </c>
      <c r="B367" s="188">
        <v>44341</v>
      </c>
      <c r="C367" s="189" t="s">
        <v>60</v>
      </c>
      <c r="D367" s="210" t="s">
        <v>37</v>
      </c>
      <c r="E367" s="173" t="s">
        <v>23</v>
      </c>
      <c r="F367" s="210">
        <v>20091025</v>
      </c>
      <c r="G367" s="189" t="s">
        <v>64</v>
      </c>
      <c r="H367" s="189"/>
      <c r="I367" s="210" t="s">
        <v>63</v>
      </c>
      <c r="M367" s="174" t="s">
        <v>8087</v>
      </c>
      <c r="N367" s="174" t="s">
        <v>3930</v>
      </c>
      <c r="O367" s="191" t="s">
        <v>7712</v>
      </c>
      <c r="P367" s="189"/>
      <c r="Q367" s="188">
        <v>44341</v>
      </c>
      <c r="R367" s="188">
        <v>44375</v>
      </c>
      <c r="S367" s="182"/>
      <c r="T367" s="182"/>
      <c r="U367" s="189"/>
      <c r="V367" s="189"/>
      <c r="W367" s="189"/>
    </row>
    <row r="368" spans="1:23" hidden="1" outlineLevel="1">
      <c r="A368" s="1">
        <v>46</v>
      </c>
      <c r="B368" s="188">
        <v>44342</v>
      </c>
      <c r="C368" s="189" t="s">
        <v>7766</v>
      </c>
      <c r="D368" s="210" t="s">
        <v>38</v>
      </c>
      <c r="E368" s="173" t="s">
        <v>39</v>
      </c>
      <c r="F368" s="210" t="s">
        <v>8088</v>
      </c>
      <c r="G368" s="189" t="s">
        <v>64</v>
      </c>
      <c r="H368" s="189"/>
      <c r="I368" s="210" t="s">
        <v>63</v>
      </c>
      <c r="M368" s="174" t="s">
        <v>8090</v>
      </c>
      <c r="N368" s="174" t="s">
        <v>8089</v>
      </c>
      <c r="O368" s="191"/>
      <c r="P368" s="189" t="s">
        <v>90</v>
      </c>
      <c r="Q368" s="188">
        <v>44342</v>
      </c>
      <c r="R368" s="188">
        <v>44362</v>
      </c>
      <c r="S368" s="182"/>
      <c r="T368" s="182">
        <v>261</v>
      </c>
      <c r="U368" s="189"/>
      <c r="V368" s="189"/>
      <c r="W368" s="189"/>
    </row>
    <row r="369" spans="1:23" hidden="1" outlineLevel="1">
      <c r="A369" s="1">
        <v>47</v>
      </c>
      <c r="B369" s="188">
        <v>44354</v>
      </c>
      <c r="C369" s="189" t="s">
        <v>138</v>
      </c>
      <c r="D369" s="210" t="s">
        <v>38</v>
      </c>
      <c r="E369" s="173" t="s">
        <v>23</v>
      </c>
      <c r="F369" s="210">
        <v>124602</v>
      </c>
      <c r="G369" s="189" t="s">
        <v>64</v>
      </c>
      <c r="H369" s="189"/>
      <c r="I369" s="210" t="s">
        <v>63</v>
      </c>
      <c r="M369" s="174" t="s">
        <v>8092</v>
      </c>
      <c r="N369" s="174" t="s">
        <v>8091</v>
      </c>
      <c r="O369" s="191"/>
      <c r="P369" s="189"/>
      <c r="Q369" s="188">
        <v>44355</v>
      </c>
      <c r="R369" s="188">
        <v>30.06</v>
      </c>
      <c r="S369" s="182">
        <v>1000</v>
      </c>
      <c r="T369" s="182" t="s">
        <v>8093</v>
      </c>
      <c r="U369" s="189"/>
      <c r="V369" s="189"/>
      <c r="W369" s="189"/>
    </row>
    <row r="370" spans="1:23" hidden="1" outlineLevel="1">
      <c r="A370" s="1">
        <v>48</v>
      </c>
      <c r="B370" s="188">
        <v>44357</v>
      </c>
      <c r="C370" s="189" t="s">
        <v>7904</v>
      </c>
      <c r="D370" s="210" t="s">
        <v>37</v>
      </c>
      <c r="E370" s="173" t="s">
        <v>39</v>
      </c>
      <c r="F370" s="210" t="s">
        <v>4257</v>
      </c>
      <c r="G370" s="189" t="s">
        <v>8096</v>
      </c>
      <c r="H370" s="189"/>
      <c r="I370" s="210" t="s">
        <v>63</v>
      </c>
      <c r="M370" s="174" t="s">
        <v>8095</v>
      </c>
      <c r="N370" s="174" t="s">
        <v>8094</v>
      </c>
      <c r="O370" s="200" t="s">
        <v>8097</v>
      </c>
      <c r="P370" s="189"/>
      <c r="Q370" s="188">
        <v>44357</v>
      </c>
      <c r="R370" s="188">
        <v>44383</v>
      </c>
      <c r="S370" s="182"/>
      <c r="T370" s="182">
        <v>291</v>
      </c>
      <c r="U370" s="189"/>
      <c r="V370" s="189"/>
      <c r="W370" s="189"/>
    </row>
    <row r="371" spans="1:23" hidden="1" outlineLevel="1">
      <c r="A371" s="1">
        <v>49</v>
      </c>
      <c r="B371" s="188">
        <v>44362</v>
      </c>
      <c r="C371" s="189" t="s">
        <v>7330</v>
      </c>
      <c r="D371" s="210" t="s">
        <v>37</v>
      </c>
      <c r="E371" s="173" t="s">
        <v>23</v>
      </c>
      <c r="F371" s="210">
        <v>3016000045114</v>
      </c>
      <c r="G371" s="189" t="s">
        <v>64</v>
      </c>
      <c r="H371" s="189"/>
      <c r="I371" s="210" t="s">
        <v>63</v>
      </c>
      <c r="M371" s="174" t="s">
        <v>8099</v>
      </c>
      <c r="N371" s="174" t="s">
        <v>8098</v>
      </c>
      <c r="O371" s="191" t="s">
        <v>72</v>
      </c>
      <c r="P371" s="189" t="s">
        <v>8100</v>
      </c>
      <c r="Q371" s="188">
        <v>44362</v>
      </c>
      <c r="R371" s="188">
        <v>44382</v>
      </c>
      <c r="S371" s="182"/>
      <c r="T371" s="182">
        <v>291</v>
      </c>
      <c r="U371" s="189"/>
      <c r="V371" s="189"/>
      <c r="W371" s="189"/>
    </row>
    <row r="372" spans="1:23" hidden="1" outlineLevel="1">
      <c r="A372" s="1">
        <v>50</v>
      </c>
      <c r="B372" s="188">
        <v>44368</v>
      </c>
      <c r="C372" s="189" t="s">
        <v>60</v>
      </c>
      <c r="D372" s="210" t="s">
        <v>37</v>
      </c>
      <c r="E372" s="173" t="s">
        <v>23</v>
      </c>
      <c r="F372" s="210">
        <v>18090635</v>
      </c>
      <c r="G372" s="189" t="s">
        <v>64</v>
      </c>
      <c r="H372" s="189"/>
      <c r="I372" s="210" t="s">
        <v>63</v>
      </c>
      <c r="M372" s="174" t="s">
        <v>8101</v>
      </c>
      <c r="N372" s="174" t="s">
        <v>126</v>
      </c>
      <c r="O372" s="191" t="s">
        <v>72</v>
      </c>
      <c r="P372" s="189"/>
      <c r="Q372" s="188">
        <v>44371</v>
      </c>
      <c r="R372" s="188">
        <v>44439</v>
      </c>
      <c r="S372" s="182"/>
      <c r="T372" s="182"/>
      <c r="U372" s="189"/>
      <c r="V372" s="189"/>
      <c r="W372" s="189"/>
    </row>
    <row r="373" spans="1:23" hidden="1" outlineLevel="1">
      <c r="A373" s="1">
        <v>51</v>
      </c>
      <c r="B373" s="188">
        <v>44396</v>
      </c>
      <c r="C373" s="189" t="s">
        <v>7847</v>
      </c>
      <c r="D373" s="210" t="s">
        <v>38</v>
      </c>
      <c r="E373" s="173" t="s">
        <v>39</v>
      </c>
      <c r="F373" s="210" t="s">
        <v>4182</v>
      </c>
      <c r="G373" s="189" t="s">
        <v>64</v>
      </c>
      <c r="H373" s="189"/>
      <c r="I373" s="210" t="s">
        <v>63</v>
      </c>
      <c r="M373" s="174" t="s">
        <v>8103</v>
      </c>
      <c r="N373" s="174" t="s">
        <v>8102</v>
      </c>
      <c r="O373" s="191" t="s">
        <v>8104</v>
      </c>
      <c r="P373" s="189"/>
      <c r="Q373" s="188">
        <v>44396</v>
      </c>
      <c r="R373" s="188">
        <v>44438</v>
      </c>
      <c r="S373" s="182">
        <v>4800</v>
      </c>
      <c r="T373" s="182" t="s">
        <v>8105</v>
      </c>
      <c r="U373" s="189"/>
      <c r="V373" s="189"/>
      <c r="W373" s="189"/>
    </row>
    <row r="374" spans="1:23" ht="51" hidden="1" outlineLevel="1">
      <c r="A374" s="1">
        <v>52</v>
      </c>
      <c r="B374" s="188">
        <v>44399</v>
      </c>
      <c r="C374" s="189" t="s">
        <v>8106</v>
      </c>
      <c r="D374" s="210" t="s">
        <v>37</v>
      </c>
      <c r="E374" s="173" t="s">
        <v>39</v>
      </c>
      <c r="F374" s="210" t="s">
        <v>8107</v>
      </c>
      <c r="G374" s="189" t="s">
        <v>64</v>
      </c>
      <c r="H374" s="189"/>
      <c r="I374" s="210" t="s">
        <v>63</v>
      </c>
      <c r="M374" s="174"/>
      <c r="N374" s="174" t="s">
        <v>7410</v>
      </c>
      <c r="O374" s="191" t="s">
        <v>8108</v>
      </c>
      <c r="P374" s="189" t="s">
        <v>8109</v>
      </c>
      <c r="Q374" s="188">
        <v>44400</v>
      </c>
      <c r="R374" s="188">
        <v>44543</v>
      </c>
      <c r="S374" s="182"/>
      <c r="T374" s="182">
        <v>261</v>
      </c>
      <c r="U374" s="189"/>
      <c r="V374" s="189"/>
      <c r="W374" s="189"/>
    </row>
    <row r="375" spans="1:23" hidden="1" outlineLevel="1">
      <c r="A375" s="1">
        <v>53</v>
      </c>
      <c r="B375" s="188">
        <v>44403</v>
      </c>
      <c r="C375" s="189" t="s">
        <v>60</v>
      </c>
      <c r="D375" s="210" t="s">
        <v>37</v>
      </c>
      <c r="E375" s="173" t="s">
        <v>23</v>
      </c>
      <c r="F375" s="210">
        <v>18051220</v>
      </c>
      <c r="G375" s="189" t="s">
        <v>64</v>
      </c>
      <c r="H375" s="189"/>
      <c r="I375" s="210" t="s">
        <v>63</v>
      </c>
      <c r="M375" s="174"/>
      <c r="N375" s="174" t="s">
        <v>3849</v>
      </c>
      <c r="O375" s="191" t="s">
        <v>8110</v>
      </c>
      <c r="P375" s="189"/>
      <c r="Q375" s="188">
        <v>27.07</v>
      </c>
      <c r="R375" s="188">
        <v>44421</v>
      </c>
      <c r="S375" s="182"/>
      <c r="T375" s="182"/>
      <c r="U375" s="189"/>
      <c r="V375" s="189"/>
      <c r="W375" s="189"/>
    </row>
    <row r="376" spans="1:23" hidden="1" outlineLevel="1">
      <c r="A376" s="1">
        <v>54</v>
      </c>
      <c r="B376" s="188">
        <v>44412</v>
      </c>
      <c r="C376" s="189" t="s">
        <v>154</v>
      </c>
      <c r="D376" s="210" t="s">
        <v>38</v>
      </c>
      <c r="E376" s="173" t="s">
        <v>23</v>
      </c>
      <c r="F376" s="210">
        <v>868324020948589</v>
      </c>
      <c r="G376" s="189" t="s">
        <v>64</v>
      </c>
      <c r="H376" s="189"/>
      <c r="I376" s="210" t="s">
        <v>63</v>
      </c>
      <c r="M376" s="174"/>
      <c r="N376" s="174" t="s">
        <v>3930</v>
      </c>
      <c r="O376" s="191" t="s">
        <v>7394</v>
      </c>
      <c r="P376" s="189"/>
      <c r="Q376" s="188">
        <v>44412</v>
      </c>
      <c r="R376" s="188">
        <v>44467</v>
      </c>
      <c r="S376" s="182">
        <v>610</v>
      </c>
      <c r="T376" s="182" t="s">
        <v>8111</v>
      </c>
      <c r="U376" s="189"/>
      <c r="V376" s="189"/>
      <c r="W376" s="189"/>
    </row>
    <row r="377" spans="1:23" hidden="1" outlineLevel="1">
      <c r="A377" s="1">
        <v>55</v>
      </c>
      <c r="B377" s="188">
        <v>44412</v>
      </c>
      <c r="C377" s="189" t="s">
        <v>154</v>
      </c>
      <c r="D377" s="210"/>
      <c r="E377" s="173" t="s">
        <v>23</v>
      </c>
      <c r="F377" s="210">
        <v>862462031933194</v>
      </c>
      <c r="G377" s="189" t="s">
        <v>64</v>
      </c>
      <c r="H377" s="189"/>
      <c r="I377" s="210" t="s">
        <v>63</v>
      </c>
      <c r="M377" s="174" t="s">
        <v>8113</v>
      </c>
      <c r="N377" s="174" t="s">
        <v>8112</v>
      </c>
      <c r="O377" s="191" t="s">
        <v>7394</v>
      </c>
      <c r="P377" s="189"/>
      <c r="Q377" s="188">
        <v>44412</v>
      </c>
      <c r="R377" s="188">
        <v>44467</v>
      </c>
      <c r="S377" s="182"/>
      <c r="T377" s="182"/>
      <c r="U377" s="189"/>
      <c r="V377" s="189"/>
      <c r="W377" s="189"/>
    </row>
    <row r="378" spans="1:23" hidden="1" outlineLevel="1">
      <c r="A378" s="1">
        <v>56</v>
      </c>
      <c r="B378" s="188">
        <v>44413</v>
      </c>
      <c r="C378" s="189" t="s">
        <v>60</v>
      </c>
      <c r="D378" s="210" t="s">
        <v>37</v>
      </c>
      <c r="E378" s="173" t="s">
        <v>23</v>
      </c>
      <c r="F378" s="210">
        <v>20121124</v>
      </c>
      <c r="G378" s="189" t="s">
        <v>64</v>
      </c>
      <c r="H378" s="189"/>
      <c r="I378" s="210" t="s">
        <v>63</v>
      </c>
      <c r="M378" s="174" t="s">
        <v>8114</v>
      </c>
      <c r="N378" s="174" t="s">
        <v>3848</v>
      </c>
      <c r="O378" s="191" t="s">
        <v>72</v>
      </c>
      <c r="P378" s="189"/>
      <c r="Q378" s="188">
        <v>44413</v>
      </c>
      <c r="R378" s="188">
        <v>44421</v>
      </c>
      <c r="S378" s="182"/>
      <c r="T378" s="182"/>
      <c r="U378" s="189"/>
      <c r="V378" s="189"/>
      <c r="W378" s="189"/>
    </row>
    <row r="379" spans="1:23" ht="25.5" hidden="1" outlineLevel="1">
      <c r="A379" s="1">
        <v>57</v>
      </c>
      <c r="B379" s="188">
        <v>44419</v>
      </c>
      <c r="C379" s="189" t="s">
        <v>7847</v>
      </c>
      <c r="D379" s="210" t="s">
        <v>38</v>
      </c>
      <c r="E379" s="173" t="s">
        <v>39</v>
      </c>
      <c r="F379" s="210" t="s">
        <v>8115</v>
      </c>
      <c r="G379" s="189" t="s">
        <v>64</v>
      </c>
      <c r="H379" s="189"/>
      <c r="I379" s="210" t="s">
        <v>63</v>
      </c>
      <c r="M379" s="174" t="s">
        <v>8117</v>
      </c>
      <c r="N379" s="174" t="s">
        <v>8116</v>
      </c>
      <c r="O379" s="191" t="s">
        <v>8118</v>
      </c>
      <c r="P379" s="189"/>
      <c r="Q379" s="188">
        <v>44419</v>
      </c>
      <c r="R379" s="188">
        <v>44448</v>
      </c>
      <c r="S379" s="182">
        <v>5200</v>
      </c>
      <c r="T379" s="182" t="s">
        <v>8105</v>
      </c>
      <c r="U379" s="189"/>
      <c r="V379" s="189"/>
      <c r="W379" s="189"/>
    </row>
    <row r="380" spans="1:23" ht="25.5" hidden="1" outlineLevel="1">
      <c r="A380" s="1">
        <v>58</v>
      </c>
      <c r="B380" s="188">
        <v>44425</v>
      </c>
      <c r="C380" s="189" t="s">
        <v>8119</v>
      </c>
      <c r="D380" s="210" t="s">
        <v>37</v>
      </c>
      <c r="E380" s="173" t="s">
        <v>42</v>
      </c>
      <c r="F380" s="210" t="s">
        <v>8120</v>
      </c>
      <c r="G380" s="189" t="s">
        <v>64</v>
      </c>
      <c r="H380" s="189"/>
      <c r="I380" s="210" t="s">
        <v>63</v>
      </c>
      <c r="M380" s="174" t="s">
        <v>8121</v>
      </c>
      <c r="N380" s="174" t="s">
        <v>3774</v>
      </c>
      <c r="O380" s="191" t="s">
        <v>8122</v>
      </c>
      <c r="P380" s="189"/>
      <c r="Q380" s="188">
        <v>44425</v>
      </c>
      <c r="R380" s="188">
        <v>44480</v>
      </c>
      <c r="S380" s="182"/>
      <c r="T380" s="182">
        <v>291</v>
      </c>
      <c r="U380" s="189"/>
      <c r="V380" s="189"/>
      <c r="W380" s="189"/>
    </row>
    <row r="381" spans="1:23" hidden="1" outlineLevel="1">
      <c r="A381" s="1">
        <v>59</v>
      </c>
      <c r="B381" s="188">
        <v>44428</v>
      </c>
      <c r="C381" s="189" t="s">
        <v>149</v>
      </c>
      <c r="D381" s="210" t="s">
        <v>38</v>
      </c>
      <c r="E381" s="173" t="s">
        <v>23</v>
      </c>
      <c r="F381" s="210">
        <v>866795037123609</v>
      </c>
      <c r="G381" s="189" t="s">
        <v>64</v>
      </c>
      <c r="H381" s="189"/>
      <c r="I381" s="210" t="s">
        <v>63</v>
      </c>
      <c r="M381" s="174" t="s">
        <v>8123</v>
      </c>
      <c r="N381" s="174" t="s">
        <v>3848</v>
      </c>
      <c r="O381" s="191" t="s">
        <v>97</v>
      </c>
      <c r="P381" s="189"/>
      <c r="Q381" s="188">
        <v>44428</v>
      </c>
      <c r="R381" s="188">
        <v>44526</v>
      </c>
      <c r="S381" s="182">
        <v>950</v>
      </c>
      <c r="T381" s="182" t="s">
        <v>8124</v>
      </c>
      <c r="U381" s="189"/>
      <c r="V381" s="189"/>
      <c r="W381" s="189"/>
    </row>
    <row r="382" spans="1:23" hidden="1" outlineLevel="1">
      <c r="A382" s="1">
        <v>60</v>
      </c>
      <c r="B382" s="188">
        <v>44432</v>
      </c>
      <c r="C382" s="189" t="s">
        <v>60</v>
      </c>
      <c r="D382" s="210" t="s">
        <v>37</v>
      </c>
      <c r="E382" s="173" t="s">
        <v>23</v>
      </c>
      <c r="F382" s="210">
        <v>17010428</v>
      </c>
      <c r="G382" s="189" t="s">
        <v>64</v>
      </c>
      <c r="H382" s="189"/>
      <c r="I382" s="210" t="s">
        <v>63</v>
      </c>
      <c r="M382" s="174" t="s">
        <v>8125</v>
      </c>
      <c r="N382" s="174" t="s">
        <v>350</v>
      </c>
      <c r="O382" s="191" t="s">
        <v>7712</v>
      </c>
      <c r="P382" s="189"/>
      <c r="Q382" s="188">
        <v>44433</v>
      </c>
      <c r="R382" s="188">
        <v>44445</v>
      </c>
      <c r="S382" s="182"/>
      <c r="T382" s="182"/>
      <c r="U382" s="189"/>
      <c r="V382" s="189"/>
      <c r="W382" s="189"/>
    </row>
    <row r="383" spans="1:23" hidden="1" outlineLevel="1">
      <c r="A383" s="1">
        <v>61</v>
      </c>
      <c r="B383" s="188">
        <v>44447</v>
      </c>
      <c r="C383" s="189" t="s">
        <v>60</v>
      </c>
      <c r="D383" s="210" t="s">
        <v>37</v>
      </c>
      <c r="E383" s="173" t="s">
        <v>23</v>
      </c>
      <c r="F383" s="210">
        <v>18120427</v>
      </c>
      <c r="G383" s="189" t="s">
        <v>64</v>
      </c>
      <c r="H383" s="189"/>
      <c r="I383" s="210" t="s">
        <v>63</v>
      </c>
      <c r="M383" s="174" t="s">
        <v>8126</v>
      </c>
      <c r="N383" s="174" t="s">
        <v>3674</v>
      </c>
      <c r="O383" s="191" t="s">
        <v>72</v>
      </c>
      <c r="P383" s="189"/>
      <c r="Q383" s="188">
        <v>44448</v>
      </c>
      <c r="R383" s="188">
        <v>44467</v>
      </c>
      <c r="S383" s="182"/>
      <c r="T383" s="182"/>
      <c r="U383" s="189"/>
      <c r="V383" s="189"/>
      <c r="W383" s="189"/>
    </row>
    <row r="384" spans="1:23" hidden="1" outlineLevel="1">
      <c r="A384" s="1">
        <v>62</v>
      </c>
      <c r="B384" s="188">
        <v>44455</v>
      </c>
      <c r="C384" s="189" t="s">
        <v>60</v>
      </c>
      <c r="D384" s="210" t="s">
        <v>37</v>
      </c>
      <c r="E384" s="173" t="s">
        <v>23</v>
      </c>
      <c r="F384" s="210">
        <v>17040946</v>
      </c>
      <c r="G384" s="189" t="s">
        <v>64</v>
      </c>
      <c r="H384" s="189"/>
      <c r="I384" s="210" t="s">
        <v>63</v>
      </c>
      <c r="M384" s="174" t="s">
        <v>8127</v>
      </c>
      <c r="N384" s="174" t="s">
        <v>111</v>
      </c>
      <c r="O384" s="191" t="s">
        <v>72</v>
      </c>
      <c r="P384" s="189"/>
      <c r="Q384" s="188">
        <v>44463</v>
      </c>
      <c r="R384" s="188">
        <v>44477</v>
      </c>
      <c r="S384" s="182"/>
      <c r="T384" s="182"/>
      <c r="U384" s="189"/>
      <c r="V384" s="189"/>
      <c r="W384" s="189"/>
    </row>
    <row r="385" spans="1:23" hidden="1" outlineLevel="1">
      <c r="A385" s="1">
        <v>63</v>
      </c>
      <c r="B385" s="188">
        <v>44460</v>
      </c>
      <c r="C385" s="189" t="s">
        <v>60</v>
      </c>
      <c r="D385" s="210" t="s">
        <v>37</v>
      </c>
      <c r="E385" s="173" t="s">
        <v>23</v>
      </c>
      <c r="F385" s="210">
        <v>18120590</v>
      </c>
      <c r="G385" s="189" t="s">
        <v>64</v>
      </c>
      <c r="H385" s="189"/>
      <c r="I385" s="210" t="s">
        <v>63</v>
      </c>
      <c r="M385" s="174" t="s">
        <v>8128</v>
      </c>
      <c r="N385" s="174" t="s">
        <v>3662</v>
      </c>
      <c r="O385" s="191" t="s">
        <v>72</v>
      </c>
      <c r="P385" s="189"/>
      <c r="Q385" s="188">
        <v>44463</v>
      </c>
      <c r="R385" s="188">
        <v>44477</v>
      </c>
      <c r="S385" s="182"/>
      <c r="T385" s="182"/>
      <c r="U385" s="189"/>
      <c r="V385" s="189"/>
      <c r="W385" s="189"/>
    </row>
    <row r="386" spans="1:23" hidden="1" outlineLevel="1">
      <c r="A386" s="1">
        <v>64</v>
      </c>
      <c r="B386" s="188">
        <v>44460</v>
      </c>
      <c r="C386" s="189" t="s">
        <v>229</v>
      </c>
      <c r="D386" s="210" t="s">
        <v>37</v>
      </c>
      <c r="E386" s="173" t="s">
        <v>23</v>
      </c>
      <c r="F386" s="210">
        <v>866795039842891</v>
      </c>
      <c r="G386" s="189" t="s">
        <v>64</v>
      </c>
      <c r="H386" s="189"/>
      <c r="I386" s="210" t="s">
        <v>63</v>
      </c>
      <c r="M386" s="174" t="s">
        <v>8130</v>
      </c>
      <c r="N386" s="174" t="s">
        <v>8129</v>
      </c>
      <c r="O386" s="191" t="s">
        <v>8131</v>
      </c>
      <c r="P386" s="189" t="s">
        <v>8132</v>
      </c>
      <c r="Q386" s="188">
        <v>44460</v>
      </c>
      <c r="R386" s="188">
        <v>44477</v>
      </c>
      <c r="S386" s="182"/>
      <c r="T386" s="182" t="s">
        <v>8124</v>
      </c>
      <c r="U386" s="189"/>
      <c r="V386" s="189"/>
      <c r="W386" s="189"/>
    </row>
    <row r="387" spans="1:23" ht="25.5" hidden="1" outlineLevel="1">
      <c r="A387" s="1">
        <v>65</v>
      </c>
      <c r="B387" s="188">
        <v>44468</v>
      </c>
      <c r="C387" s="189" t="s">
        <v>60</v>
      </c>
      <c r="D387" s="210"/>
      <c r="E387" s="173" t="s">
        <v>23</v>
      </c>
      <c r="F387" s="210">
        <v>17020797</v>
      </c>
      <c r="G387" s="189" t="s">
        <v>64</v>
      </c>
      <c r="H387" s="189"/>
      <c r="I387" s="210" t="s">
        <v>90</v>
      </c>
      <c r="M387" s="174" t="s">
        <v>8133</v>
      </c>
      <c r="N387" s="174" t="s">
        <v>3771</v>
      </c>
      <c r="O387" s="191" t="s">
        <v>8134</v>
      </c>
      <c r="P387" s="189" t="s">
        <v>8135</v>
      </c>
      <c r="Q387" s="188"/>
      <c r="R387" s="188"/>
      <c r="S387" s="182"/>
      <c r="T387" s="182"/>
      <c r="U387" s="189"/>
      <c r="V387" s="189"/>
      <c r="W387" s="189"/>
    </row>
    <row r="388" spans="1:23" hidden="1" outlineLevel="1">
      <c r="A388" s="1">
        <v>66</v>
      </c>
      <c r="B388" s="188">
        <v>44473</v>
      </c>
      <c r="C388" s="189" t="s">
        <v>60</v>
      </c>
      <c r="D388" s="210" t="s">
        <v>37</v>
      </c>
      <c r="E388" s="173" t="s">
        <v>23</v>
      </c>
      <c r="F388" s="210">
        <v>18120579</v>
      </c>
      <c r="G388" s="189" t="s">
        <v>64</v>
      </c>
      <c r="H388" s="189"/>
      <c r="I388" s="210" t="s">
        <v>63</v>
      </c>
      <c r="M388" s="174" t="s">
        <v>8136</v>
      </c>
      <c r="N388" s="174" t="s">
        <v>3772</v>
      </c>
      <c r="O388" s="191" t="s">
        <v>7712</v>
      </c>
      <c r="P388" s="189"/>
      <c r="Q388" s="188">
        <v>44477</v>
      </c>
      <c r="R388" s="188">
        <v>44517</v>
      </c>
      <c r="S388" s="182"/>
      <c r="T388" s="182"/>
      <c r="U388" s="189"/>
      <c r="V388" s="189"/>
      <c r="W388" s="189"/>
    </row>
    <row r="389" spans="1:23" hidden="1" outlineLevel="1">
      <c r="A389" s="1">
        <v>67</v>
      </c>
      <c r="B389" s="188">
        <v>44475</v>
      </c>
      <c r="C389" s="189" t="s">
        <v>609</v>
      </c>
      <c r="D389" s="210" t="s">
        <v>38</v>
      </c>
      <c r="E389" s="173" t="s">
        <v>23</v>
      </c>
      <c r="F389" s="210">
        <v>862531045530624</v>
      </c>
      <c r="G389" s="189" t="s">
        <v>64</v>
      </c>
      <c r="H389" s="189"/>
      <c r="I389" s="210" t="s">
        <v>63</v>
      </c>
      <c r="M389" s="174" t="s">
        <v>8138</v>
      </c>
      <c r="N389" s="174" t="s">
        <v>8137</v>
      </c>
      <c r="O389" s="191" t="s">
        <v>8139</v>
      </c>
      <c r="P389" s="189" t="s">
        <v>90</v>
      </c>
      <c r="Q389" s="188">
        <v>44476</v>
      </c>
      <c r="R389" s="188">
        <v>44526</v>
      </c>
      <c r="S389" s="182"/>
      <c r="T389" s="182" t="s">
        <v>8124</v>
      </c>
      <c r="U389" s="189"/>
      <c r="V389" s="189"/>
      <c r="W389" s="189"/>
    </row>
    <row r="390" spans="1:23" hidden="1" outlineLevel="1">
      <c r="A390" s="1">
        <v>68</v>
      </c>
      <c r="B390" s="188">
        <v>44487</v>
      </c>
      <c r="C390" s="189" t="s">
        <v>149</v>
      </c>
      <c r="D390" s="210" t="s">
        <v>38</v>
      </c>
      <c r="E390" s="173" t="s">
        <v>23</v>
      </c>
      <c r="F390" s="210">
        <v>866795035031929</v>
      </c>
      <c r="G390" s="189" t="s">
        <v>64</v>
      </c>
      <c r="H390" s="189"/>
      <c r="I390" s="210" t="s">
        <v>63</v>
      </c>
      <c r="M390" s="174" t="s">
        <v>8140</v>
      </c>
      <c r="N390" s="174" t="s">
        <v>350</v>
      </c>
      <c r="O390" s="191" t="s">
        <v>8141</v>
      </c>
      <c r="P390" s="189" t="s">
        <v>90</v>
      </c>
      <c r="Q390" s="188">
        <v>44487</v>
      </c>
      <c r="R390" s="188">
        <v>44526</v>
      </c>
      <c r="S390" s="182"/>
      <c r="T390" s="182" t="s">
        <v>8124</v>
      </c>
      <c r="U390" s="189"/>
      <c r="V390" s="189"/>
      <c r="W390" s="189"/>
    </row>
    <row r="391" spans="1:23" hidden="1" outlineLevel="1">
      <c r="A391" s="1">
        <v>69</v>
      </c>
      <c r="B391" s="188">
        <v>44488</v>
      </c>
      <c r="C391" s="189" t="s">
        <v>91</v>
      </c>
      <c r="D391" s="210" t="s">
        <v>38</v>
      </c>
      <c r="E391" s="173" t="s">
        <v>23</v>
      </c>
      <c r="F391" s="210">
        <v>865473034066970</v>
      </c>
      <c r="G391" s="189" t="s">
        <v>64</v>
      </c>
      <c r="H391" s="189"/>
      <c r="I391" s="210" t="s">
        <v>63</v>
      </c>
      <c r="M391" s="174" t="s">
        <v>8142</v>
      </c>
      <c r="N391" s="174" t="s">
        <v>350</v>
      </c>
      <c r="O391" s="191" t="s">
        <v>175</v>
      </c>
      <c r="P391" s="189"/>
      <c r="Q391" s="188">
        <v>44489</v>
      </c>
      <c r="R391" s="188">
        <v>44526</v>
      </c>
      <c r="S391" s="182">
        <v>600</v>
      </c>
      <c r="T391" s="182" t="s">
        <v>8124</v>
      </c>
      <c r="U391" s="189"/>
      <c r="V391" s="189"/>
      <c r="W391" s="189"/>
    </row>
    <row r="392" spans="1:23" hidden="1" outlineLevel="1">
      <c r="A392" s="1">
        <v>70</v>
      </c>
      <c r="B392" s="188">
        <v>44494</v>
      </c>
      <c r="C392" s="189" t="s">
        <v>7898</v>
      </c>
      <c r="D392" s="210" t="s">
        <v>37</v>
      </c>
      <c r="E392" s="173" t="s">
        <v>23</v>
      </c>
      <c r="F392" s="210">
        <v>18102586</v>
      </c>
      <c r="G392" s="189" t="s">
        <v>64</v>
      </c>
      <c r="H392" s="189"/>
      <c r="I392" s="210" t="s">
        <v>63</v>
      </c>
      <c r="M392" s="174" t="s">
        <v>8143</v>
      </c>
      <c r="N392" s="174" t="s">
        <v>3772</v>
      </c>
      <c r="O392" s="191" t="s">
        <v>7712</v>
      </c>
      <c r="P392" s="189"/>
      <c r="Q392" s="188">
        <v>44497</v>
      </c>
      <c r="R392" s="188">
        <v>44517</v>
      </c>
      <c r="S392" s="182"/>
      <c r="T392" s="182"/>
      <c r="U392" s="189"/>
      <c r="V392" s="189"/>
      <c r="W392" s="189"/>
    </row>
    <row r="393" spans="1:23" hidden="1" outlineLevel="1">
      <c r="A393" s="1">
        <v>71</v>
      </c>
      <c r="B393" s="188">
        <v>44498</v>
      </c>
      <c r="C393" s="189" t="s">
        <v>60</v>
      </c>
      <c r="D393" s="210" t="s">
        <v>37</v>
      </c>
      <c r="E393" s="173" t="s">
        <v>23</v>
      </c>
      <c r="F393" s="210">
        <v>21100358</v>
      </c>
      <c r="G393" s="189" t="s">
        <v>64</v>
      </c>
      <c r="H393" s="189"/>
      <c r="I393" s="210" t="s">
        <v>63</v>
      </c>
      <c r="M393" s="174" t="s">
        <v>71</v>
      </c>
      <c r="N393" s="174" t="s">
        <v>66</v>
      </c>
      <c r="O393" s="191" t="s">
        <v>72</v>
      </c>
      <c r="P393" s="189"/>
      <c r="Q393" s="188">
        <v>44512</v>
      </c>
      <c r="R393" s="188">
        <v>44526</v>
      </c>
      <c r="S393" s="182"/>
      <c r="T393" s="182"/>
      <c r="U393" s="189"/>
      <c r="V393" s="189"/>
      <c r="W393" s="189"/>
    </row>
    <row r="394" spans="1:23" hidden="1" outlineLevel="1">
      <c r="A394" s="1">
        <v>72</v>
      </c>
      <c r="B394" s="188">
        <v>44502</v>
      </c>
      <c r="C394" s="189" t="s">
        <v>60</v>
      </c>
      <c r="D394" s="210" t="s">
        <v>38</v>
      </c>
      <c r="E394" s="173" t="s">
        <v>23</v>
      </c>
      <c r="F394" s="210">
        <v>16020873</v>
      </c>
      <c r="G394" s="189" t="s">
        <v>64</v>
      </c>
      <c r="H394" s="189"/>
      <c r="I394" s="210" t="s">
        <v>63</v>
      </c>
      <c r="M394" s="174" t="s">
        <v>8145</v>
      </c>
      <c r="N394" s="174" t="s">
        <v>8144</v>
      </c>
      <c r="O394" s="191" t="s">
        <v>72</v>
      </c>
      <c r="P394" s="189" t="s">
        <v>8146</v>
      </c>
      <c r="Q394" s="188">
        <v>44512</v>
      </c>
      <c r="R394" s="188">
        <v>44526</v>
      </c>
      <c r="S394" s="182"/>
      <c r="T394" s="182"/>
      <c r="U394" s="189"/>
      <c r="V394" s="189"/>
      <c r="W394" s="189"/>
    </row>
    <row r="395" spans="1:23" hidden="1" outlineLevel="1">
      <c r="A395" s="1">
        <v>73</v>
      </c>
      <c r="B395" s="188">
        <v>44503</v>
      </c>
      <c r="C395" s="189" t="s">
        <v>60</v>
      </c>
      <c r="D395" s="210" t="s">
        <v>37</v>
      </c>
      <c r="E395" s="173" t="s">
        <v>23</v>
      </c>
      <c r="F395" s="210">
        <v>20032836</v>
      </c>
      <c r="G395" s="189" t="s">
        <v>64</v>
      </c>
      <c r="H395" s="189"/>
      <c r="I395" s="210" t="s">
        <v>63</v>
      </c>
      <c r="M395" s="174" t="s">
        <v>161</v>
      </c>
      <c r="N395" s="174" t="s">
        <v>3978</v>
      </c>
      <c r="O395" s="191" t="s">
        <v>7712</v>
      </c>
      <c r="P395" s="189"/>
      <c r="Q395" s="188">
        <v>44512</v>
      </c>
      <c r="R395" s="188">
        <v>44544</v>
      </c>
      <c r="S395" s="182"/>
      <c r="T395" s="182"/>
      <c r="U395" s="189"/>
      <c r="V395" s="189"/>
      <c r="W395" s="189"/>
    </row>
    <row r="396" spans="1:23" hidden="1" outlineLevel="1">
      <c r="A396" s="1">
        <v>74</v>
      </c>
      <c r="B396" s="188">
        <v>44509</v>
      </c>
      <c r="C396" s="189" t="s">
        <v>608</v>
      </c>
      <c r="D396" s="210" t="s">
        <v>38</v>
      </c>
      <c r="E396" s="173" t="s">
        <v>23</v>
      </c>
      <c r="F396" s="210">
        <v>866795036118667</v>
      </c>
      <c r="G396" s="189" t="s">
        <v>64</v>
      </c>
      <c r="H396" s="189"/>
      <c r="I396" s="210" t="s">
        <v>63</v>
      </c>
      <c r="M396" s="174"/>
      <c r="N396" s="174" t="s">
        <v>7410</v>
      </c>
      <c r="O396" s="191" t="s">
        <v>7431</v>
      </c>
      <c r="P396" s="189" t="s">
        <v>90</v>
      </c>
      <c r="Q396" s="188">
        <v>44510</v>
      </c>
      <c r="R396" s="188">
        <v>44526</v>
      </c>
      <c r="S396" s="182"/>
      <c r="T396" s="182" t="s">
        <v>8124</v>
      </c>
      <c r="U396" s="189"/>
      <c r="V396" s="189"/>
      <c r="W396" s="189"/>
    </row>
    <row r="397" spans="1:23" hidden="1" outlineLevel="1">
      <c r="A397" s="1">
        <v>75</v>
      </c>
      <c r="B397" s="188">
        <v>44515</v>
      </c>
      <c r="C397" s="189" t="s">
        <v>60</v>
      </c>
      <c r="D397" s="210" t="s">
        <v>37</v>
      </c>
      <c r="E397" s="173" t="s">
        <v>23</v>
      </c>
      <c r="F397" s="210">
        <v>21100348</v>
      </c>
      <c r="G397" s="189" t="s">
        <v>64</v>
      </c>
      <c r="H397" s="189"/>
      <c r="I397" s="210" t="s">
        <v>63</v>
      </c>
      <c r="M397" s="174" t="s">
        <v>133</v>
      </c>
      <c r="N397" s="174" t="s">
        <v>3735</v>
      </c>
      <c r="O397" s="191" t="s">
        <v>8147</v>
      </c>
      <c r="P397" s="189" t="s">
        <v>8148</v>
      </c>
      <c r="Q397" s="188">
        <v>44517</v>
      </c>
      <c r="R397" s="188">
        <v>44544</v>
      </c>
      <c r="S397" s="182"/>
      <c r="T397" s="182"/>
      <c r="U397" s="189"/>
      <c r="V397" s="189"/>
      <c r="W397" s="189"/>
    </row>
    <row r="398" spans="1:23" hidden="1" outlineLevel="1">
      <c r="A398" s="1">
        <v>76</v>
      </c>
      <c r="B398" s="188">
        <v>44516</v>
      </c>
      <c r="C398" s="189" t="s">
        <v>60</v>
      </c>
      <c r="D398" s="210" t="s">
        <v>37</v>
      </c>
      <c r="E398" s="173" t="s">
        <v>23</v>
      </c>
      <c r="F398" s="210">
        <v>21051790</v>
      </c>
      <c r="G398" s="189" t="s">
        <v>64</v>
      </c>
      <c r="H398" s="189"/>
      <c r="I398" s="210" t="s">
        <v>63</v>
      </c>
      <c r="M398" s="201" t="s">
        <v>5102</v>
      </c>
      <c r="N398" s="174" t="s">
        <v>8149</v>
      </c>
      <c r="O398" s="191" t="s">
        <v>72</v>
      </c>
      <c r="P398" s="189"/>
      <c r="Q398" s="188">
        <v>44518</v>
      </c>
      <c r="R398" s="188">
        <v>44544</v>
      </c>
      <c r="S398" s="182"/>
      <c r="T398" s="182"/>
      <c r="U398" s="189"/>
      <c r="V398" s="189"/>
      <c r="W398" s="189"/>
    </row>
    <row r="399" spans="1:23" hidden="1" outlineLevel="1">
      <c r="A399" s="1">
        <v>77</v>
      </c>
      <c r="B399" s="188">
        <v>44522</v>
      </c>
      <c r="C399" s="189" t="s">
        <v>229</v>
      </c>
      <c r="D399" s="210" t="s">
        <v>38</v>
      </c>
      <c r="E399" s="173" t="s">
        <v>23</v>
      </c>
      <c r="F399" s="210">
        <v>862531044643436</v>
      </c>
      <c r="G399" s="189" t="s">
        <v>64</v>
      </c>
      <c r="H399" s="189"/>
      <c r="I399" s="210" t="s">
        <v>63</v>
      </c>
      <c r="M399" s="174" t="s">
        <v>8151</v>
      </c>
      <c r="N399" s="174" t="s">
        <v>8150</v>
      </c>
      <c r="O399" s="191" t="s">
        <v>8152</v>
      </c>
      <c r="P399" s="189" t="s">
        <v>90</v>
      </c>
      <c r="Q399" s="188">
        <v>44522</v>
      </c>
      <c r="R399" s="188">
        <v>44529</v>
      </c>
      <c r="S399" s="182"/>
      <c r="T399" s="182" t="s">
        <v>8124</v>
      </c>
      <c r="U399" s="189"/>
      <c r="V399" s="189"/>
      <c r="W399" s="189"/>
    </row>
    <row r="400" spans="1:23" hidden="1" outlineLevel="1">
      <c r="A400" s="1">
        <v>78</v>
      </c>
      <c r="B400" s="188">
        <v>44523</v>
      </c>
      <c r="C400" s="189" t="s">
        <v>60</v>
      </c>
      <c r="D400" s="210" t="s">
        <v>37</v>
      </c>
      <c r="E400" s="173" t="s">
        <v>23</v>
      </c>
      <c r="F400" s="210">
        <v>21111117</v>
      </c>
      <c r="G400" s="189" t="s">
        <v>64</v>
      </c>
      <c r="H400" s="189"/>
      <c r="I400" s="210" t="s">
        <v>63</v>
      </c>
      <c r="M400" s="174"/>
      <c r="N400" s="174" t="s">
        <v>7410</v>
      </c>
      <c r="O400" s="191" t="s">
        <v>8153</v>
      </c>
      <c r="P400" s="189" t="s">
        <v>8154</v>
      </c>
      <c r="Q400" s="188">
        <v>44524</v>
      </c>
      <c r="R400" s="188">
        <v>44558</v>
      </c>
      <c r="S400" s="182"/>
      <c r="T400" s="182"/>
      <c r="U400" s="189"/>
      <c r="V400" s="189"/>
      <c r="W400" s="189"/>
    </row>
    <row r="401" spans="1:23" ht="51" hidden="1" outlineLevel="1">
      <c r="A401" s="1">
        <v>79</v>
      </c>
      <c r="B401" s="188">
        <v>44523</v>
      </c>
      <c r="C401" s="189" t="s">
        <v>8155</v>
      </c>
      <c r="D401" s="210" t="s">
        <v>38</v>
      </c>
      <c r="E401" s="173" t="s">
        <v>39</v>
      </c>
      <c r="F401" s="210" t="s">
        <v>5922</v>
      </c>
      <c r="G401" s="189" t="s">
        <v>64</v>
      </c>
      <c r="H401" s="189"/>
      <c r="I401" s="210" t="s">
        <v>63</v>
      </c>
      <c r="M401" s="174"/>
      <c r="N401" s="174" t="s">
        <v>8156</v>
      </c>
      <c r="O401" s="191" t="s">
        <v>8157</v>
      </c>
      <c r="P401" s="189" t="s">
        <v>90</v>
      </c>
      <c r="Q401" s="188">
        <v>44524</v>
      </c>
      <c r="R401" s="188">
        <v>44613</v>
      </c>
      <c r="S401" s="182"/>
      <c r="T401" s="182"/>
      <c r="U401" s="189"/>
      <c r="V401" s="189"/>
      <c r="W401" s="189"/>
    </row>
    <row r="402" spans="1:23" hidden="1" outlineLevel="1">
      <c r="A402" s="1">
        <v>80</v>
      </c>
      <c r="B402" s="188">
        <v>44526</v>
      </c>
      <c r="C402" s="189" t="s">
        <v>60</v>
      </c>
      <c r="D402" s="210" t="s">
        <v>37</v>
      </c>
      <c r="E402" s="173" t="s">
        <v>23</v>
      </c>
      <c r="F402" s="210">
        <v>21091030</v>
      </c>
      <c r="G402" s="189" t="s">
        <v>64</v>
      </c>
      <c r="H402" s="189"/>
      <c r="I402" s="210" t="s">
        <v>63</v>
      </c>
      <c r="M402" s="174" t="s">
        <v>8158</v>
      </c>
      <c r="N402" s="174" t="s">
        <v>100</v>
      </c>
      <c r="O402" s="191"/>
      <c r="P402" s="189"/>
      <c r="Q402" s="188">
        <v>44526</v>
      </c>
      <c r="R402" s="188">
        <v>44544</v>
      </c>
      <c r="S402" s="182"/>
      <c r="T402" s="182"/>
      <c r="U402" s="189"/>
      <c r="V402" s="189"/>
      <c r="W402" s="189"/>
    </row>
    <row r="403" spans="1:23" hidden="1" outlineLevel="1">
      <c r="A403" s="1">
        <v>81</v>
      </c>
      <c r="B403" s="188">
        <v>44529</v>
      </c>
      <c r="C403" s="189" t="s">
        <v>60</v>
      </c>
      <c r="D403" s="210" t="s">
        <v>37</v>
      </c>
      <c r="E403" s="173" t="s">
        <v>23</v>
      </c>
      <c r="F403" s="210">
        <v>21091039</v>
      </c>
      <c r="G403" s="189" t="s">
        <v>64</v>
      </c>
      <c r="H403" s="189"/>
      <c r="I403" s="210" t="s">
        <v>63</v>
      </c>
      <c r="M403" s="174" t="s">
        <v>8159</v>
      </c>
      <c r="N403" s="174" t="s">
        <v>7595</v>
      </c>
      <c r="O403" s="191" t="s">
        <v>8160</v>
      </c>
      <c r="P403" s="189"/>
      <c r="Q403" s="188">
        <v>44529</v>
      </c>
      <c r="R403" s="188">
        <v>44547</v>
      </c>
      <c r="S403" s="182"/>
      <c r="T403" s="182"/>
      <c r="U403" s="189"/>
      <c r="V403" s="189"/>
      <c r="W403" s="189"/>
    </row>
    <row r="404" spans="1:23" hidden="1" outlineLevel="1">
      <c r="A404" s="1">
        <v>82</v>
      </c>
      <c r="B404" s="188">
        <v>44529</v>
      </c>
      <c r="C404" s="189" t="s">
        <v>60</v>
      </c>
      <c r="D404" s="210" t="s">
        <v>37</v>
      </c>
      <c r="E404" s="173" t="s">
        <v>23</v>
      </c>
      <c r="F404" s="210">
        <v>21100259</v>
      </c>
      <c r="G404" s="189" t="s">
        <v>64</v>
      </c>
      <c r="H404" s="189"/>
      <c r="I404" s="210" t="s">
        <v>63</v>
      </c>
      <c r="M404" s="174" t="s">
        <v>8161</v>
      </c>
      <c r="N404" s="174" t="s">
        <v>3655</v>
      </c>
      <c r="O404" s="191" t="s">
        <v>8162</v>
      </c>
      <c r="P404" s="189"/>
      <c r="Q404" s="188">
        <v>44529</v>
      </c>
      <c r="R404" s="188">
        <v>44547</v>
      </c>
      <c r="S404" s="182"/>
      <c r="T404" s="182"/>
      <c r="U404" s="189"/>
      <c r="V404" s="189"/>
      <c r="W404" s="189"/>
    </row>
    <row r="405" spans="1:23" hidden="1" outlineLevel="1">
      <c r="A405" s="1">
        <v>83</v>
      </c>
      <c r="B405" s="188">
        <v>44531</v>
      </c>
      <c r="C405" s="189" t="s">
        <v>149</v>
      </c>
      <c r="D405" s="210" t="s">
        <v>37</v>
      </c>
      <c r="E405" s="173" t="s">
        <v>23</v>
      </c>
      <c r="F405" s="210">
        <v>866795035218195</v>
      </c>
      <c r="G405" s="189" t="s">
        <v>64</v>
      </c>
      <c r="H405" s="189"/>
      <c r="I405" s="210" t="s">
        <v>63</v>
      </c>
      <c r="M405" s="174" t="s">
        <v>8164</v>
      </c>
      <c r="N405" s="174" t="s">
        <v>8163</v>
      </c>
      <c r="O405" s="191" t="s">
        <v>8152</v>
      </c>
      <c r="P405" s="189"/>
      <c r="Q405" s="188">
        <v>44532</v>
      </c>
      <c r="R405" s="188">
        <v>44546</v>
      </c>
      <c r="S405" s="182"/>
      <c r="T405" s="182">
        <v>261</v>
      </c>
      <c r="U405" s="189"/>
      <c r="V405" s="189"/>
      <c r="W405" s="189"/>
    </row>
    <row r="406" spans="1:23" ht="25.5" hidden="1" outlineLevel="1">
      <c r="A406" s="1">
        <v>84</v>
      </c>
      <c r="B406" s="188">
        <v>44531</v>
      </c>
      <c r="C406" s="189" t="s">
        <v>608</v>
      </c>
      <c r="D406" s="210" t="s">
        <v>38</v>
      </c>
      <c r="E406" s="173" t="s">
        <v>23</v>
      </c>
      <c r="F406" s="210">
        <v>862531042237082</v>
      </c>
      <c r="G406" s="189" t="s">
        <v>64</v>
      </c>
      <c r="H406" s="189"/>
      <c r="I406" s="210" t="s">
        <v>63</v>
      </c>
      <c r="M406" s="174" t="s">
        <v>8166</v>
      </c>
      <c r="N406" s="174" t="s">
        <v>8165</v>
      </c>
      <c r="O406" s="191" t="s">
        <v>8167</v>
      </c>
      <c r="P406" s="189" t="s">
        <v>173</v>
      </c>
      <c r="Q406" s="188">
        <v>44532</v>
      </c>
      <c r="R406" s="188">
        <v>44546</v>
      </c>
      <c r="S406" s="182"/>
      <c r="T406" s="182">
        <v>261</v>
      </c>
      <c r="U406" s="189"/>
      <c r="V406" s="189"/>
      <c r="W406" s="189"/>
    </row>
    <row r="407" spans="1:23" hidden="1" outlineLevel="1">
      <c r="A407" s="1">
        <v>85</v>
      </c>
      <c r="B407" s="188">
        <v>44531</v>
      </c>
      <c r="C407" s="189" t="s">
        <v>60</v>
      </c>
      <c r="D407" s="210" t="s">
        <v>37</v>
      </c>
      <c r="E407" s="173" t="s">
        <v>23</v>
      </c>
      <c r="F407" s="210">
        <v>21100730</v>
      </c>
      <c r="G407" s="189" t="s">
        <v>64</v>
      </c>
      <c r="H407" s="189"/>
      <c r="I407" s="210" t="s">
        <v>63</v>
      </c>
      <c r="M407" s="174" t="s">
        <v>109</v>
      </c>
      <c r="N407" s="174" t="s">
        <v>106</v>
      </c>
      <c r="O407" s="191" t="s">
        <v>8160</v>
      </c>
      <c r="P407" s="189"/>
      <c r="Q407" s="188">
        <v>44536</v>
      </c>
      <c r="R407" s="188">
        <v>44547</v>
      </c>
      <c r="S407" s="182"/>
      <c r="T407" s="182"/>
      <c r="U407" s="189"/>
      <c r="V407" s="189"/>
      <c r="W407" s="189"/>
    </row>
    <row r="408" spans="1:23" hidden="1" outlineLevel="1">
      <c r="A408" s="1">
        <v>86</v>
      </c>
      <c r="B408" s="188">
        <v>44531</v>
      </c>
      <c r="C408" s="189" t="s">
        <v>60</v>
      </c>
      <c r="D408" s="210" t="s">
        <v>37</v>
      </c>
      <c r="E408" s="173" t="s">
        <v>23</v>
      </c>
      <c r="F408" s="210">
        <v>21100731</v>
      </c>
      <c r="G408" s="189" t="s">
        <v>64</v>
      </c>
      <c r="H408" s="189"/>
      <c r="I408" s="210" t="s">
        <v>63</v>
      </c>
      <c r="M408" s="174" t="s">
        <v>107</v>
      </c>
      <c r="N408" s="174" t="s">
        <v>106</v>
      </c>
      <c r="O408" s="191" t="s">
        <v>8160</v>
      </c>
      <c r="P408" s="189"/>
      <c r="Q408" s="188">
        <v>44536</v>
      </c>
      <c r="R408" s="188">
        <v>44547</v>
      </c>
      <c r="S408" s="182"/>
      <c r="T408" s="182"/>
      <c r="U408" s="189"/>
      <c r="V408" s="189"/>
      <c r="W408" s="189"/>
    </row>
    <row r="409" spans="1:23" hidden="1" outlineLevel="1">
      <c r="A409" s="1">
        <v>87</v>
      </c>
      <c r="B409" s="188">
        <v>44532</v>
      </c>
      <c r="C409" s="189" t="s">
        <v>8168</v>
      </c>
      <c r="D409" s="210" t="s">
        <v>38</v>
      </c>
      <c r="E409" s="173" t="s">
        <v>23</v>
      </c>
      <c r="F409" s="210">
        <v>861774055514317</v>
      </c>
      <c r="G409" s="189" t="s">
        <v>64</v>
      </c>
      <c r="H409" s="189"/>
      <c r="I409" s="210" t="s">
        <v>63</v>
      </c>
      <c r="M409" s="174" t="s">
        <v>8169</v>
      </c>
      <c r="N409" s="174" t="s">
        <v>7460</v>
      </c>
      <c r="O409" s="191" t="s">
        <v>8170</v>
      </c>
      <c r="P409" s="189" t="s">
        <v>90</v>
      </c>
      <c r="Q409" s="188">
        <v>44533</v>
      </c>
      <c r="R409" s="188">
        <v>44571</v>
      </c>
      <c r="S409" s="182">
        <v>405</v>
      </c>
      <c r="T409" s="182" t="s">
        <v>8171</v>
      </c>
      <c r="U409" s="189"/>
      <c r="V409" s="189"/>
      <c r="W409" s="189"/>
    </row>
    <row r="410" spans="1:23" hidden="1" outlineLevel="1">
      <c r="A410" s="1">
        <v>88</v>
      </c>
      <c r="B410" s="188">
        <v>44532</v>
      </c>
      <c r="C410" s="189" t="s">
        <v>8168</v>
      </c>
      <c r="D410" s="210" t="s">
        <v>38</v>
      </c>
      <c r="E410" s="173" t="s">
        <v>23</v>
      </c>
      <c r="F410" s="210">
        <v>861774055527285</v>
      </c>
      <c r="G410" s="189" t="s">
        <v>64</v>
      </c>
      <c r="H410" s="189"/>
      <c r="I410" s="210" t="s">
        <v>63</v>
      </c>
      <c r="M410" s="174" t="s">
        <v>8173</v>
      </c>
      <c r="N410" s="174" t="s">
        <v>8172</v>
      </c>
      <c r="O410" s="191" t="s">
        <v>8174</v>
      </c>
      <c r="P410" s="189" t="s">
        <v>90</v>
      </c>
      <c r="Q410" s="188">
        <v>44533</v>
      </c>
      <c r="R410" s="188">
        <v>44571</v>
      </c>
      <c r="S410" s="182">
        <v>405</v>
      </c>
      <c r="T410" s="182" t="s">
        <v>8175</v>
      </c>
      <c r="U410" s="189"/>
      <c r="V410" s="189"/>
      <c r="W410" s="189"/>
    </row>
    <row r="411" spans="1:23" hidden="1" outlineLevel="1">
      <c r="A411" s="1">
        <v>89</v>
      </c>
      <c r="B411" s="188">
        <v>44532</v>
      </c>
      <c r="C411" s="189" t="s">
        <v>7364</v>
      </c>
      <c r="D411" s="210" t="s">
        <v>38</v>
      </c>
      <c r="E411" s="173" t="s">
        <v>23</v>
      </c>
      <c r="F411" s="210">
        <v>861785007263563</v>
      </c>
      <c r="G411" s="189" t="s">
        <v>64</v>
      </c>
      <c r="H411" s="189"/>
      <c r="I411" s="210" t="s">
        <v>63</v>
      </c>
      <c r="M411" s="174"/>
      <c r="N411" s="174" t="s">
        <v>92</v>
      </c>
      <c r="O411" s="191" t="s">
        <v>89</v>
      </c>
      <c r="P411" s="189" t="s">
        <v>90</v>
      </c>
      <c r="Q411" s="188">
        <v>44533</v>
      </c>
      <c r="R411" s="188">
        <v>44571</v>
      </c>
      <c r="S411" s="182">
        <v>415</v>
      </c>
      <c r="T411" s="182" t="s">
        <v>8175</v>
      </c>
      <c r="U411" s="189"/>
      <c r="V411" s="189"/>
      <c r="W411" s="189"/>
    </row>
    <row r="412" spans="1:23" hidden="1" outlineLevel="1">
      <c r="A412" s="1">
        <v>90</v>
      </c>
      <c r="B412" s="188">
        <v>44536</v>
      </c>
      <c r="C412" s="189" t="s">
        <v>60</v>
      </c>
      <c r="D412" s="210" t="s">
        <v>37</v>
      </c>
      <c r="E412" s="173" t="s">
        <v>23</v>
      </c>
      <c r="F412" s="210">
        <v>18040789</v>
      </c>
      <c r="G412" s="189" t="s">
        <v>64</v>
      </c>
      <c r="H412" s="189"/>
      <c r="I412" s="210" t="s">
        <v>63</v>
      </c>
      <c r="M412" s="174" t="s">
        <v>8176</v>
      </c>
      <c r="N412" s="174" t="s">
        <v>126</v>
      </c>
      <c r="O412" s="191" t="s">
        <v>8177</v>
      </c>
      <c r="P412" s="189"/>
      <c r="Q412" s="188">
        <v>44536</v>
      </c>
      <c r="R412" s="188">
        <v>44547</v>
      </c>
      <c r="S412" s="182"/>
      <c r="T412" s="182"/>
      <c r="U412" s="189"/>
      <c r="V412" s="189"/>
      <c r="W412" s="189"/>
    </row>
    <row r="413" spans="1:23" hidden="1" outlineLevel="1">
      <c r="A413" s="1">
        <v>91</v>
      </c>
      <c r="B413" s="188">
        <v>44536</v>
      </c>
      <c r="C413" s="189" t="s">
        <v>60</v>
      </c>
      <c r="D413" s="210" t="s">
        <v>37</v>
      </c>
      <c r="E413" s="173" t="s">
        <v>23</v>
      </c>
      <c r="F413" s="210">
        <v>21100737</v>
      </c>
      <c r="G413" s="189" t="s">
        <v>64</v>
      </c>
      <c r="H413" s="189"/>
      <c r="I413" s="210" t="s">
        <v>63</v>
      </c>
      <c r="M413" s="174" t="s">
        <v>8179</v>
      </c>
      <c r="N413" s="174" t="s">
        <v>8178</v>
      </c>
      <c r="O413" s="191" t="s">
        <v>8180</v>
      </c>
      <c r="P413" s="189"/>
      <c r="Q413" s="188">
        <v>44536</v>
      </c>
      <c r="R413" s="188">
        <v>44547</v>
      </c>
      <c r="S413" s="182"/>
      <c r="T413" s="182"/>
      <c r="U413" s="189"/>
      <c r="V413" s="189"/>
      <c r="W413" s="189"/>
    </row>
    <row r="414" spans="1:23" ht="25.5" hidden="1" outlineLevel="1">
      <c r="A414" s="1">
        <v>92</v>
      </c>
      <c r="B414" s="188">
        <v>44539</v>
      </c>
      <c r="C414" s="189" t="s">
        <v>60</v>
      </c>
      <c r="D414" s="210" t="s">
        <v>37</v>
      </c>
      <c r="E414" s="173" t="s">
        <v>23</v>
      </c>
      <c r="F414" s="210">
        <v>21100728</v>
      </c>
      <c r="G414" s="189" t="s">
        <v>64</v>
      </c>
      <c r="H414" s="189"/>
      <c r="I414" s="210" t="s">
        <v>63</v>
      </c>
      <c r="M414" s="174" t="s">
        <v>8182</v>
      </c>
      <c r="N414" s="174" t="s">
        <v>8181</v>
      </c>
      <c r="O414" s="191" t="s">
        <v>65</v>
      </c>
      <c r="P414" s="189"/>
      <c r="Q414" s="188">
        <v>44540</v>
      </c>
      <c r="R414" s="188">
        <v>44592</v>
      </c>
      <c r="S414" s="182"/>
      <c r="T414" s="182"/>
      <c r="U414" s="189"/>
      <c r="V414" s="189"/>
      <c r="W414" s="189"/>
    </row>
    <row r="415" spans="1:23" hidden="1" outlineLevel="1">
      <c r="A415" s="1">
        <v>93</v>
      </c>
      <c r="B415" s="188">
        <v>44540</v>
      </c>
      <c r="C415" s="189" t="s">
        <v>60</v>
      </c>
      <c r="D415" s="210" t="s">
        <v>37</v>
      </c>
      <c r="E415" s="173" t="s">
        <v>23</v>
      </c>
      <c r="F415" s="210">
        <v>20031202</v>
      </c>
      <c r="G415" s="189" t="s">
        <v>64</v>
      </c>
      <c r="H415" s="189"/>
      <c r="I415" s="210" t="s">
        <v>63</v>
      </c>
      <c r="M415" s="174" t="s">
        <v>8184</v>
      </c>
      <c r="N415" s="174" t="s">
        <v>8183</v>
      </c>
      <c r="O415" s="191" t="s">
        <v>8185</v>
      </c>
      <c r="P415" s="189"/>
      <c r="Q415" s="188">
        <v>44540</v>
      </c>
      <c r="R415" s="188">
        <v>44592</v>
      </c>
      <c r="S415" s="182"/>
      <c r="T415" s="182"/>
      <c r="U415" s="189"/>
      <c r="V415" s="189"/>
      <c r="W415" s="189"/>
    </row>
    <row r="416" spans="1:23" hidden="1" outlineLevel="1">
      <c r="A416" s="1">
        <v>94</v>
      </c>
      <c r="B416" s="188">
        <v>44548</v>
      </c>
      <c r="C416" s="189" t="s">
        <v>60</v>
      </c>
      <c r="D416" s="210" t="s">
        <v>37</v>
      </c>
      <c r="E416" s="173" t="s">
        <v>23</v>
      </c>
      <c r="F416" s="210">
        <v>17081425</v>
      </c>
      <c r="G416" s="189" t="s">
        <v>64</v>
      </c>
      <c r="H416" s="189"/>
      <c r="I416" s="210" t="s">
        <v>63</v>
      </c>
      <c r="M416" s="174" t="s">
        <v>8187</v>
      </c>
      <c r="N416" s="174" t="s">
        <v>8186</v>
      </c>
      <c r="O416" s="191" t="s">
        <v>8188</v>
      </c>
      <c r="P416" s="189"/>
      <c r="Q416" s="188">
        <v>44554</v>
      </c>
      <c r="R416" s="188">
        <v>44592</v>
      </c>
      <c r="S416" s="182"/>
      <c r="T416" s="182"/>
      <c r="U416" s="189"/>
      <c r="V416" s="189"/>
      <c r="W416" s="189"/>
    </row>
    <row r="417" spans="1:23" hidden="1" outlineLevel="1">
      <c r="A417" s="1">
        <v>95</v>
      </c>
      <c r="B417" s="188">
        <v>44551</v>
      </c>
      <c r="C417" s="189" t="s">
        <v>91</v>
      </c>
      <c r="D417" s="210" t="s">
        <v>37</v>
      </c>
      <c r="E417" s="173" t="s">
        <v>23</v>
      </c>
      <c r="F417" s="210">
        <v>864811039263970</v>
      </c>
      <c r="G417" s="189" t="s">
        <v>64</v>
      </c>
      <c r="H417" s="189"/>
      <c r="I417" s="210" t="s">
        <v>63</v>
      </c>
      <c r="M417" s="174"/>
      <c r="N417" s="174" t="s">
        <v>92</v>
      </c>
      <c r="O417" s="191" t="s">
        <v>8189</v>
      </c>
      <c r="P417" s="189"/>
      <c r="Q417" s="188">
        <v>44551</v>
      </c>
      <c r="R417" s="188">
        <v>44560</v>
      </c>
      <c r="S417" s="182"/>
      <c r="T417" s="182">
        <v>261</v>
      </c>
      <c r="U417" s="189"/>
      <c r="V417" s="189"/>
      <c r="W417" s="189"/>
    </row>
    <row r="418" spans="1:23" hidden="1" outlineLevel="1">
      <c r="A418" s="1">
        <v>96</v>
      </c>
      <c r="B418" s="188">
        <v>44552</v>
      </c>
      <c r="C418" s="189" t="s">
        <v>7723</v>
      </c>
      <c r="D418" s="210" t="s">
        <v>38</v>
      </c>
      <c r="E418" s="173" t="s">
        <v>39</v>
      </c>
      <c r="F418" s="210" t="s">
        <v>4258</v>
      </c>
      <c r="G418" s="189" t="s">
        <v>64</v>
      </c>
      <c r="H418" s="189"/>
      <c r="I418" s="210" t="s">
        <v>63</v>
      </c>
      <c r="M418" s="174" t="s">
        <v>8191</v>
      </c>
      <c r="N418" s="174" t="s">
        <v>8190</v>
      </c>
      <c r="O418" s="191" t="s">
        <v>8192</v>
      </c>
      <c r="P418" s="189"/>
      <c r="Q418" s="188">
        <v>44552</v>
      </c>
      <c r="R418" s="188">
        <v>44587</v>
      </c>
      <c r="S418" s="182">
        <v>3000</v>
      </c>
      <c r="T418" s="182" t="s">
        <v>8193</v>
      </c>
      <c r="U418" s="189"/>
      <c r="V418" s="189"/>
      <c r="W418" s="189"/>
    </row>
    <row r="419" spans="1:23" hidden="1" outlineLevel="1">
      <c r="A419" s="1">
        <v>97</v>
      </c>
      <c r="B419" s="188">
        <v>44552</v>
      </c>
      <c r="C419" s="189" t="s">
        <v>60</v>
      </c>
      <c r="D419" s="210" t="s">
        <v>37</v>
      </c>
      <c r="E419" s="173" t="s">
        <v>23</v>
      </c>
      <c r="F419" s="210">
        <v>21100349</v>
      </c>
      <c r="G419" s="189" t="s">
        <v>64</v>
      </c>
      <c r="H419" s="189"/>
      <c r="I419" s="210" t="s">
        <v>63</v>
      </c>
      <c r="M419" s="174" t="s">
        <v>8195</v>
      </c>
      <c r="N419" s="174" t="s">
        <v>8194</v>
      </c>
      <c r="O419" s="191" t="s">
        <v>65</v>
      </c>
      <c r="P419" s="189"/>
      <c r="Q419" s="188">
        <v>44554</v>
      </c>
      <c r="R419" s="188">
        <v>44592</v>
      </c>
      <c r="S419" s="182"/>
      <c r="T419" s="182"/>
      <c r="U419" s="189"/>
      <c r="V419" s="189"/>
      <c r="W419" s="189"/>
    </row>
    <row r="420" spans="1:23" hidden="1" outlineLevel="1">
      <c r="A420" s="1">
        <v>98</v>
      </c>
      <c r="B420" s="188">
        <v>44559</v>
      </c>
      <c r="C420" s="189" t="s">
        <v>60</v>
      </c>
      <c r="D420" s="210" t="s">
        <v>37</v>
      </c>
      <c r="E420" s="173" t="s">
        <v>23</v>
      </c>
      <c r="F420" s="210">
        <v>21110601</v>
      </c>
      <c r="G420" s="189" t="s">
        <v>64</v>
      </c>
      <c r="H420" s="189"/>
      <c r="I420" s="210" t="s">
        <v>63</v>
      </c>
      <c r="M420" s="174" t="s">
        <v>8196</v>
      </c>
      <c r="N420" s="174" t="s">
        <v>3976</v>
      </c>
      <c r="O420" s="191" t="s">
        <v>65</v>
      </c>
      <c r="P420" s="189"/>
      <c r="Q420" s="188">
        <v>44575</v>
      </c>
      <c r="R420" s="188">
        <v>44592</v>
      </c>
      <c r="S420" s="182"/>
      <c r="T420" s="182"/>
      <c r="U420" s="189"/>
      <c r="V420" s="189"/>
      <c r="W420" s="189"/>
    </row>
    <row r="421" spans="1:23" hidden="1" outlineLevel="1">
      <c r="A421" s="1">
        <v>99</v>
      </c>
      <c r="B421" s="188">
        <v>44559</v>
      </c>
      <c r="C421" s="189" t="s">
        <v>60</v>
      </c>
      <c r="D421" s="210" t="s">
        <v>37</v>
      </c>
      <c r="E421" s="173" t="s">
        <v>23</v>
      </c>
      <c r="F421" s="210">
        <v>21100732</v>
      </c>
      <c r="G421" s="189" t="s">
        <v>64</v>
      </c>
      <c r="H421" s="189"/>
      <c r="I421" s="210" t="s">
        <v>63</v>
      </c>
      <c r="M421" s="174" t="s">
        <v>8197</v>
      </c>
      <c r="N421" s="174" t="s">
        <v>3976</v>
      </c>
      <c r="O421" s="191" t="s">
        <v>65</v>
      </c>
      <c r="P421" s="189"/>
      <c r="Q421" s="188">
        <v>44575</v>
      </c>
      <c r="R421" s="188">
        <v>44592</v>
      </c>
      <c r="S421" s="182"/>
      <c r="T421" s="182"/>
      <c r="U421" s="189"/>
      <c r="V421" s="189"/>
      <c r="W421" s="189"/>
    </row>
    <row r="422" spans="1:23" hidden="1" outlineLevel="1">
      <c r="A422" s="1">
        <v>100</v>
      </c>
      <c r="B422" s="188">
        <v>44559</v>
      </c>
      <c r="C422" s="189" t="s">
        <v>60</v>
      </c>
      <c r="D422" s="210" t="s">
        <v>37</v>
      </c>
      <c r="E422" s="173" t="s">
        <v>23</v>
      </c>
      <c r="F422" s="210">
        <v>21110615</v>
      </c>
      <c r="G422" s="189" t="s">
        <v>64</v>
      </c>
      <c r="H422" s="189"/>
      <c r="I422" s="210" t="s">
        <v>63</v>
      </c>
      <c r="M422" s="174" t="s">
        <v>8198</v>
      </c>
      <c r="N422" s="174" t="s">
        <v>3976</v>
      </c>
      <c r="O422" s="191" t="s">
        <v>65</v>
      </c>
      <c r="P422" s="189"/>
      <c r="Q422" s="188">
        <v>44575</v>
      </c>
      <c r="R422" s="188">
        <v>44592</v>
      </c>
      <c r="S422" s="182"/>
      <c r="T422" s="182"/>
      <c r="U422" s="189"/>
      <c r="V422" s="189"/>
      <c r="W422" s="189"/>
    </row>
    <row r="423" spans="1:23" collapsed="1">
      <c r="A423" s="8">
        <v>2022</v>
      </c>
      <c r="B423" s="175"/>
      <c r="C423" s="175"/>
      <c r="D423" s="175"/>
      <c r="E423" s="176"/>
      <c r="F423" s="175"/>
      <c r="G423" s="175"/>
      <c r="H423" s="175"/>
      <c r="I423" s="175"/>
      <c r="J423" s="8"/>
      <c r="K423" s="8"/>
      <c r="L423" s="8"/>
      <c r="M423" s="175"/>
      <c r="N423" s="175"/>
      <c r="O423" s="177"/>
      <c r="P423" s="175"/>
      <c r="Q423" s="178"/>
      <c r="R423" s="178"/>
      <c r="S423" s="175"/>
      <c r="T423" s="175"/>
      <c r="U423" s="175"/>
      <c r="V423" s="175"/>
      <c r="W423" s="175"/>
    </row>
    <row r="424" spans="1:23">
      <c r="A424" s="1">
        <v>1</v>
      </c>
      <c r="B424" s="188">
        <v>44571</v>
      </c>
      <c r="C424" s="189" t="s">
        <v>60</v>
      </c>
      <c r="D424" s="210" t="s">
        <v>37</v>
      </c>
      <c r="E424" s="173" t="s">
        <v>23</v>
      </c>
      <c r="F424" s="210">
        <v>21100347</v>
      </c>
      <c r="G424" s="189" t="s">
        <v>64</v>
      </c>
      <c r="H424" s="189"/>
      <c r="I424" s="210" t="s">
        <v>63</v>
      </c>
      <c r="M424" s="174" t="s">
        <v>62</v>
      </c>
      <c r="N424" s="174" t="s">
        <v>61</v>
      </c>
      <c r="O424" s="191" t="s">
        <v>65</v>
      </c>
      <c r="P424" s="189"/>
      <c r="Q424" s="188">
        <v>44575</v>
      </c>
      <c r="R424" s="188">
        <v>44592</v>
      </c>
      <c r="S424" s="182"/>
      <c r="T424" s="182"/>
      <c r="U424" s="189"/>
      <c r="V424" s="189"/>
      <c r="W424" s="189"/>
    </row>
    <row r="425" spans="1:23">
      <c r="A425" s="1">
        <v>2</v>
      </c>
      <c r="B425" s="188">
        <v>44571</v>
      </c>
      <c r="C425" s="189" t="s">
        <v>60</v>
      </c>
      <c r="D425" s="210" t="s">
        <v>37</v>
      </c>
      <c r="E425" s="173" t="s">
        <v>23</v>
      </c>
      <c r="F425" s="210">
        <v>21100346</v>
      </c>
      <c r="G425" s="189" t="s">
        <v>64</v>
      </c>
      <c r="H425" s="189"/>
      <c r="I425" s="210" t="s">
        <v>63</v>
      </c>
      <c r="M425" s="174" t="s">
        <v>62</v>
      </c>
      <c r="N425" s="174" t="s">
        <v>61</v>
      </c>
      <c r="O425" s="191" t="s">
        <v>65</v>
      </c>
      <c r="P425" s="189"/>
      <c r="Q425" s="188">
        <v>44575</v>
      </c>
      <c r="R425" s="188">
        <v>44592</v>
      </c>
      <c r="S425" s="182"/>
      <c r="T425" s="182"/>
      <c r="U425" s="189"/>
      <c r="V425" s="189"/>
      <c r="W425" s="189"/>
    </row>
    <row r="426" spans="1:23">
      <c r="A426" s="1">
        <v>3</v>
      </c>
      <c r="B426" s="188">
        <v>44572</v>
      </c>
      <c r="C426" s="189" t="s">
        <v>60</v>
      </c>
      <c r="D426" s="210" t="s">
        <v>37</v>
      </c>
      <c r="E426" s="173" t="s">
        <v>23</v>
      </c>
      <c r="F426" s="210">
        <v>21100359</v>
      </c>
      <c r="G426" s="189" t="s">
        <v>64</v>
      </c>
      <c r="H426" s="189"/>
      <c r="I426" s="210" t="s">
        <v>63</v>
      </c>
      <c r="M426" s="174" t="s">
        <v>67</v>
      </c>
      <c r="N426" s="174" t="s">
        <v>66</v>
      </c>
      <c r="O426" s="191" t="s">
        <v>68</v>
      </c>
      <c r="P426" s="189"/>
      <c r="Q426" s="188">
        <v>44575</v>
      </c>
      <c r="R426" s="188">
        <v>44592</v>
      </c>
      <c r="S426" s="182"/>
      <c r="T426" s="182"/>
      <c r="U426" s="189"/>
      <c r="V426" s="189"/>
      <c r="W426" s="189"/>
    </row>
    <row r="427" spans="1:23">
      <c r="A427" s="1">
        <v>4</v>
      </c>
      <c r="B427" s="188">
        <v>44572</v>
      </c>
      <c r="C427" s="189" t="s">
        <v>60</v>
      </c>
      <c r="D427" s="210" t="s">
        <v>37</v>
      </c>
      <c r="E427" s="173" t="s">
        <v>23</v>
      </c>
      <c r="F427" s="210">
        <v>21100350</v>
      </c>
      <c r="G427" s="189" t="s">
        <v>64</v>
      </c>
      <c r="H427" s="189"/>
      <c r="I427" s="210" t="s">
        <v>63</v>
      </c>
      <c r="M427" s="174" t="s">
        <v>69</v>
      </c>
      <c r="N427" s="174" t="s">
        <v>66</v>
      </c>
      <c r="O427" s="191" t="s">
        <v>70</v>
      </c>
      <c r="P427" s="189"/>
      <c r="Q427" s="188">
        <v>44575</v>
      </c>
      <c r="R427" s="188">
        <v>44592</v>
      </c>
      <c r="S427" s="182"/>
      <c r="T427" s="182"/>
      <c r="U427" s="189"/>
      <c r="V427" s="189"/>
      <c r="W427" s="189"/>
    </row>
    <row r="428" spans="1:23">
      <c r="A428" s="1">
        <v>5</v>
      </c>
      <c r="B428" s="188">
        <v>44572</v>
      </c>
      <c r="C428" s="189" t="s">
        <v>60</v>
      </c>
      <c r="D428" s="210" t="s">
        <v>37</v>
      </c>
      <c r="E428" s="173" t="s">
        <v>23</v>
      </c>
      <c r="F428" s="210">
        <v>21100726</v>
      </c>
      <c r="G428" s="189" t="s">
        <v>64</v>
      </c>
      <c r="H428" s="189"/>
      <c r="I428" s="210" t="s">
        <v>63</v>
      </c>
      <c r="M428" s="174" t="s">
        <v>71</v>
      </c>
      <c r="N428" s="174" t="s">
        <v>66</v>
      </c>
      <c r="O428" s="191" t="s">
        <v>72</v>
      </c>
      <c r="P428" s="189"/>
      <c r="Q428" s="188">
        <v>44575</v>
      </c>
      <c r="R428" s="188">
        <v>44592</v>
      </c>
      <c r="S428" s="182"/>
      <c r="T428" s="182"/>
      <c r="U428" s="189"/>
      <c r="V428" s="189"/>
      <c r="W428" s="189"/>
    </row>
    <row r="429" spans="1:23">
      <c r="A429" s="1">
        <v>6</v>
      </c>
      <c r="B429" s="188">
        <v>44572</v>
      </c>
      <c r="C429" s="189" t="s">
        <v>60</v>
      </c>
      <c r="D429" s="210" t="s">
        <v>37</v>
      </c>
      <c r="E429" s="173" t="s">
        <v>23</v>
      </c>
      <c r="F429" s="210">
        <v>21100351</v>
      </c>
      <c r="G429" s="189" t="s">
        <v>64</v>
      </c>
      <c r="H429" s="189"/>
      <c r="I429" s="210" t="s">
        <v>63</v>
      </c>
      <c r="M429" s="174" t="s">
        <v>73</v>
      </c>
      <c r="N429" s="174" t="s">
        <v>66</v>
      </c>
      <c r="O429" s="191" t="s">
        <v>72</v>
      </c>
      <c r="P429" s="189"/>
      <c r="Q429" s="188">
        <v>44575</v>
      </c>
      <c r="R429" s="188">
        <v>44592</v>
      </c>
      <c r="S429" s="182"/>
      <c r="T429" s="182"/>
      <c r="U429" s="189"/>
      <c r="V429" s="189"/>
      <c r="W429" s="189"/>
    </row>
    <row r="430" spans="1:23">
      <c r="A430" s="1">
        <v>7</v>
      </c>
      <c r="B430" s="188">
        <v>44572</v>
      </c>
      <c r="C430" s="189" t="s">
        <v>60</v>
      </c>
      <c r="D430" s="210" t="s">
        <v>37</v>
      </c>
      <c r="E430" s="173" t="s">
        <v>23</v>
      </c>
      <c r="F430" s="210">
        <v>21111116</v>
      </c>
      <c r="G430" s="189" t="s">
        <v>64</v>
      </c>
      <c r="H430" s="189"/>
      <c r="I430" s="210" t="s">
        <v>63</v>
      </c>
      <c r="M430" s="174" t="s">
        <v>75</v>
      </c>
      <c r="N430" s="174" t="s">
        <v>74</v>
      </c>
      <c r="O430" s="191" t="s">
        <v>76</v>
      </c>
      <c r="P430" s="189"/>
      <c r="Q430" s="188">
        <v>44575</v>
      </c>
      <c r="R430" s="188">
        <v>44592</v>
      </c>
      <c r="S430" s="182"/>
      <c r="T430" s="182"/>
      <c r="U430" s="189"/>
      <c r="V430" s="189"/>
      <c r="W430" s="189"/>
    </row>
    <row r="431" spans="1:23">
      <c r="A431" s="1">
        <v>8</v>
      </c>
      <c r="B431" s="188">
        <v>44572</v>
      </c>
      <c r="C431" s="189" t="s">
        <v>60</v>
      </c>
      <c r="D431" s="210" t="s">
        <v>37</v>
      </c>
      <c r="E431" s="173" t="s">
        <v>23</v>
      </c>
      <c r="F431" s="210">
        <v>21100357</v>
      </c>
      <c r="G431" s="189" t="s">
        <v>64</v>
      </c>
      <c r="H431" s="189"/>
      <c r="I431" s="210" t="s">
        <v>63</v>
      </c>
      <c r="M431" s="174" t="s">
        <v>78</v>
      </c>
      <c r="N431" s="174" t="s">
        <v>77</v>
      </c>
      <c r="O431" s="191" t="s">
        <v>72</v>
      </c>
      <c r="P431" s="189"/>
      <c r="Q431" s="188">
        <v>44575</v>
      </c>
      <c r="R431" s="188">
        <v>44592</v>
      </c>
      <c r="S431" s="182"/>
      <c r="T431" s="182"/>
      <c r="U431" s="189"/>
      <c r="V431" s="189"/>
      <c r="W431" s="189"/>
    </row>
    <row r="432" spans="1:23">
      <c r="A432" s="1">
        <v>9</v>
      </c>
      <c r="B432" s="188">
        <v>44579</v>
      </c>
      <c r="C432" s="189" t="s">
        <v>79</v>
      </c>
      <c r="D432" s="210" t="s">
        <v>38</v>
      </c>
      <c r="E432" s="173" t="s">
        <v>39</v>
      </c>
      <c r="F432" s="210">
        <v>40143651</v>
      </c>
      <c r="G432" s="189" t="s">
        <v>64</v>
      </c>
      <c r="H432" s="189"/>
      <c r="I432" s="210" t="s">
        <v>63</v>
      </c>
      <c r="M432" s="174"/>
      <c r="N432" s="174" t="s">
        <v>80</v>
      </c>
      <c r="O432" s="191" t="s">
        <v>81</v>
      </c>
      <c r="P432" s="189"/>
      <c r="Q432" s="188">
        <v>44579</v>
      </c>
      <c r="R432" s="188">
        <v>44599</v>
      </c>
      <c r="S432" s="182">
        <v>7000</v>
      </c>
      <c r="T432" s="182" t="s">
        <v>82</v>
      </c>
      <c r="U432" s="189"/>
      <c r="V432" s="189"/>
      <c r="W432" s="189"/>
    </row>
    <row r="433" spans="1:23">
      <c r="A433" s="1">
        <v>10</v>
      </c>
      <c r="B433" s="188">
        <v>44580</v>
      </c>
      <c r="C433" s="189" t="s">
        <v>60</v>
      </c>
      <c r="D433" s="210" t="s">
        <v>37</v>
      </c>
      <c r="E433" s="173" t="s">
        <v>23</v>
      </c>
      <c r="F433" s="210">
        <v>19112087</v>
      </c>
      <c r="G433" s="189" t="s">
        <v>64</v>
      </c>
      <c r="H433" s="189"/>
      <c r="I433" s="210" t="s">
        <v>63</v>
      </c>
      <c r="M433" s="174" t="s">
        <v>84</v>
      </c>
      <c r="N433" s="174" t="s">
        <v>83</v>
      </c>
      <c r="O433" s="191" t="s">
        <v>85</v>
      </c>
      <c r="P433" s="189"/>
      <c r="Q433" s="188">
        <v>44595</v>
      </c>
      <c r="R433" s="188">
        <v>44613</v>
      </c>
      <c r="S433" s="182"/>
      <c r="T433" s="182"/>
      <c r="U433" s="189"/>
      <c r="V433" s="189"/>
      <c r="W433" s="189"/>
    </row>
    <row r="434" spans="1:23">
      <c r="A434" s="1">
        <v>11</v>
      </c>
      <c r="B434" s="188">
        <v>44581</v>
      </c>
      <c r="C434" s="189" t="s">
        <v>86</v>
      </c>
      <c r="D434" s="210" t="s">
        <v>38</v>
      </c>
      <c r="E434" s="173" t="s">
        <v>23</v>
      </c>
      <c r="F434" s="210">
        <v>866795032173989</v>
      </c>
      <c r="G434" s="189" t="s">
        <v>64</v>
      </c>
      <c r="H434" s="189"/>
      <c r="I434" s="210" t="s">
        <v>63</v>
      </c>
      <c r="M434" s="174" t="s">
        <v>88</v>
      </c>
      <c r="N434" s="174" t="s">
        <v>87</v>
      </c>
      <c r="O434" s="191" t="s">
        <v>89</v>
      </c>
      <c r="P434" s="189" t="s">
        <v>90</v>
      </c>
      <c r="Q434" s="188">
        <v>44582</v>
      </c>
      <c r="R434" s="188">
        <v>3.02</v>
      </c>
      <c r="S434" s="182"/>
      <c r="T434" s="182">
        <v>261</v>
      </c>
      <c r="U434" s="189"/>
      <c r="V434" s="189"/>
      <c r="W434" s="189"/>
    </row>
    <row r="435" spans="1:23">
      <c r="A435" s="1">
        <v>12</v>
      </c>
      <c r="B435" s="188">
        <v>44581</v>
      </c>
      <c r="C435" s="189" t="s">
        <v>91</v>
      </c>
      <c r="D435" s="210" t="s">
        <v>38</v>
      </c>
      <c r="E435" s="173" t="s">
        <v>23</v>
      </c>
      <c r="F435" s="210">
        <v>866557059422271</v>
      </c>
      <c r="G435" s="189" t="s">
        <v>64</v>
      </c>
      <c r="H435" s="189"/>
      <c r="I435" s="210" t="s">
        <v>63</v>
      </c>
      <c r="M435" s="174"/>
      <c r="N435" s="174" t="s">
        <v>92</v>
      </c>
      <c r="O435" s="191" t="s">
        <v>93</v>
      </c>
      <c r="P435" s="189" t="s">
        <v>90</v>
      </c>
      <c r="Q435" s="188">
        <v>44582</v>
      </c>
      <c r="R435" s="188">
        <v>3.02</v>
      </c>
      <c r="S435" s="182"/>
      <c r="T435" s="182">
        <v>261</v>
      </c>
      <c r="U435" s="189"/>
      <c r="V435" s="189"/>
      <c r="W435" s="189"/>
    </row>
    <row r="436" spans="1:23">
      <c r="A436" s="1">
        <v>13</v>
      </c>
      <c r="B436" s="188">
        <v>44582</v>
      </c>
      <c r="C436" s="189" t="s">
        <v>94</v>
      </c>
      <c r="D436" s="210" t="s">
        <v>38</v>
      </c>
      <c r="E436" s="173" t="s">
        <v>23</v>
      </c>
      <c r="F436" s="210">
        <v>861774057922153</v>
      </c>
      <c r="G436" s="189" t="s">
        <v>64</v>
      </c>
      <c r="H436" s="189"/>
      <c r="I436" s="210" t="s">
        <v>63</v>
      </c>
      <c r="M436" s="174" t="s">
        <v>96</v>
      </c>
      <c r="N436" s="174" t="s">
        <v>95</v>
      </c>
      <c r="O436" s="191" t="s">
        <v>97</v>
      </c>
      <c r="P436" s="189" t="s">
        <v>90</v>
      </c>
      <c r="Q436" s="188">
        <v>44593</v>
      </c>
      <c r="R436" s="188">
        <v>44625</v>
      </c>
      <c r="S436" s="182">
        <v>405</v>
      </c>
      <c r="T436" s="182" t="s">
        <v>98</v>
      </c>
      <c r="U436" s="189"/>
      <c r="V436" s="189"/>
      <c r="W436" s="189"/>
    </row>
    <row r="437" spans="1:23">
      <c r="A437" s="1">
        <v>14</v>
      </c>
      <c r="B437" s="188">
        <v>44585</v>
      </c>
      <c r="C437" s="189" t="s">
        <v>99</v>
      </c>
      <c r="D437" s="210" t="s">
        <v>37</v>
      </c>
      <c r="E437" s="173" t="s">
        <v>23</v>
      </c>
      <c r="F437" s="210">
        <v>203100045554</v>
      </c>
      <c r="G437" s="189" t="s">
        <v>64</v>
      </c>
      <c r="H437" s="189"/>
      <c r="I437" s="210" t="s">
        <v>63</v>
      </c>
      <c r="M437" s="174" t="s">
        <v>101</v>
      </c>
      <c r="N437" s="174" t="s">
        <v>100</v>
      </c>
      <c r="O437" s="191" t="s">
        <v>102</v>
      </c>
      <c r="P437" s="189" t="s">
        <v>103</v>
      </c>
      <c r="Q437" s="188">
        <v>44585</v>
      </c>
      <c r="R437" s="188">
        <v>44599</v>
      </c>
      <c r="S437" s="182"/>
      <c r="T437" s="182">
        <v>261</v>
      </c>
      <c r="U437" s="189"/>
      <c r="V437" s="189"/>
      <c r="W437" s="189"/>
    </row>
    <row r="438" spans="1:23">
      <c r="A438" s="1">
        <v>15</v>
      </c>
      <c r="B438" s="188">
        <v>44586</v>
      </c>
      <c r="C438" s="189" t="s">
        <v>60</v>
      </c>
      <c r="D438" s="210" t="s">
        <v>37</v>
      </c>
      <c r="E438" s="173" t="s">
        <v>23</v>
      </c>
      <c r="F438" s="210">
        <v>21100356</v>
      </c>
      <c r="G438" s="189" t="s">
        <v>64</v>
      </c>
      <c r="H438" s="189"/>
      <c r="I438" s="210" t="s">
        <v>63</v>
      </c>
      <c r="M438" s="174" t="s">
        <v>105</v>
      </c>
      <c r="N438" s="174" t="s">
        <v>104</v>
      </c>
      <c r="O438" s="191" t="s">
        <v>76</v>
      </c>
      <c r="P438" s="189"/>
      <c r="Q438" s="188">
        <v>44595</v>
      </c>
      <c r="R438" s="188">
        <v>44613</v>
      </c>
      <c r="S438" s="182"/>
      <c r="T438" s="182"/>
      <c r="U438" s="189"/>
      <c r="V438" s="189"/>
      <c r="W438" s="189"/>
    </row>
    <row r="439" spans="1:23">
      <c r="A439" s="1">
        <v>16</v>
      </c>
      <c r="B439" s="188">
        <v>44586</v>
      </c>
      <c r="C439" s="189" t="s">
        <v>60</v>
      </c>
      <c r="D439" s="210" t="s">
        <v>37</v>
      </c>
      <c r="E439" s="173" t="s">
        <v>23</v>
      </c>
      <c r="F439" s="210">
        <v>21111140</v>
      </c>
      <c r="G439" s="189" t="s">
        <v>64</v>
      </c>
      <c r="H439" s="189"/>
      <c r="I439" s="210" t="s">
        <v>63</v>
      </c>
      <c r="M439" s="174" t="s">
        <v>107</v>
      </c>
      <c r="N439" s="174" t="s">
        <v>106</v>
      </c>
      <c r="O439" s="191" t="s">
        <v>108</v>
      </c>
      <c r="P439" s="189"/>
      <c r="Q439" s="188">
        <v>44595</v>
      </c>
      <c r="R439" s="188">
        <v>44613</v>
      </c>
      <c r="S439" s="182"/>
      <c r="T439" s="182"/>
      <c r="U439" s="189"/>
      <c r="V439" s="189"/>
      <c r="W439" s="189"/>
    </row>
    <row r="440" spans="1:23">
      <c r="A440" s="1">
        <v>17</v>
      </c>
      <c r="B440" s="188">
        <v>44586</v>
      </c>
      <c r="C440" s="189" t="s">
        <v>60</v>
      </c>
      <c r="D440" s="210" t="s">
        <v>37</v>
      </c>
      <c r="E440" s="173" t="s">
        <v>23</v>
      </c>
      <c r="F440" s="210">
        <v>21111141</v>
      </c>
      <c r="G440" s="189" t="s">
        <v>64</v>
      </c>
      <c r="H440" s="189"/>
      <c r="I440" s="210" t="s">
        <v>63</v>
      </c>
      <c r="M440" s="174" t="s">
        <v>109</v>
      </c>
      <c r="N440" s="174" t="s">
        <v>106</v>
      </c>
      <c r="O440" s="191" t="s">
        <v>110</v>
      </c>
      <c r="P440" s="189"/>
      <c r="Q440" s="188">
        <v>44595</v>
      </c>
      <c r="R440" s="188">
        <v>44613</v>
      </c>
      <c r="S440" s="182"/>
      <c r="T440" s="182"/>
      <c r="U440" s="189"/>
      <c r="V440" s="189"/>
      <c r="W440" s="189"/>
    </row>
    <row r="441" spans="1:23">
      <c r="A441" s="1">
        <v>18</v>
      </c>
      <c r="B441" s="188">
        <v>44586</v>
      </c>
      <c r="C441" s="189" t="s">
        <v>60</v>
      </c>
      <c r="D441" s="210" t="s">
        <v>37</v>
      </c>
      <c r="E441" s="173" t="s">
        <v>23</v>
      </c>
      <c r="F441" s="210">
        <v>21100723</v>
      </c>
      <c r="G441" s="189" t="s">
        <v>64</v>
      </c>
      <c r="H441" s="189"/>
      <c r="I441" s="210" t="s">
        <v>63</v>
      </c>
      <c r="M441" s="174" t="s">
        <v>112</v>
      </c>
      <c r="N441" s="174" t="s">
        <v>111</v>
      </c>
      <c r="O441" s="191" t="s">
        <v>113</v>
      </c>
      <c r="P441" s="189"/>
      <c r="Q441" s="188">
        <v>44595</v>
      </c>
      <c r="R441" s="188">
        <v>44613</v>
      </c>
      <c r="S441" s="182"/>
      <c r="T441" s="182"/>
      <c r="U441" s="189"/>
      <c r="V441" s="189"/>
      <c r="W441" s="189"/>
    </row>
    <row r="442" spans="1:23">
      <c r="A442" s="1">
        <v>19</v>
      </c>
      <c r="B442" s="188">
        <v>44587</v>
      </c>
      <c r="C442" s="189" t="s">
        <v>60</v>
      </c>
      <c r="D442" s="210" t="s">
        <v>37</v>
      </c>
      <c r="E442" s="173" t="s">
        <v>23</v>
      </c>
      <c r="F442" s="210">
        <v>21091055</v>
      </c>
      <c r="G442" s="189" t="s">
        <v>64</v>
      </c>
      <c r="H442" s="189"/>
      <c r="I442" s="210" t="s">
        <v>63</v>
      </c>
      <c r="M442" s="174" t="s">
        <v>115</v>
      </c>
      <c r="N442" s="174" t="s">
        <v>114</v>
      </c>
      <c r="O442" s="191" t="s">
        <v>72</v>
      </c>
      <c r="P442" s="189"/>
      <c r="Q442" s="188">
        <v>44595</v>
      </c>
      <c r="R442" s="188">
        <v>44613</v>
      </c>
      <c r="S442" s="182"/>
      <c r="T442" s="182"/>
      <c r="U442" s="189"/>
      <c r="V442" s="189"/>
      <c r="W442" s="189"/>
    </row>
    <row r="443" spans="1:23">
      <c r="A443" s="1">
        <v>20</v>
      </c>
      <c r="B443" s="188">
        <v>44587</v>
      </c>
      <c r="C443" s="189" t="s">
        <v>60</v>
      </c>
      <c r="D443" s="210" t="s">
        <v>37</v>
      </c>
      <c r="E443" s="173" t="s">
        <v>23</v>
      </c>
      <c r="F443" s="210">
        <v>21091049</v>
      </c>
      <c r="G443" s="189" t="s">
        <v>64</v>
      </c>
      <c r="H443" s="189"/>
      <c r="I443" s="210" t="s">
        <v>63</v>
      </c>
      <c r="M443" s="174" t="s">
        <v>116</v>
      </c>
      <c r="N443" s="174" t="s">
        <v>114</v>
      </c>
      <c r="O443" s="191" t="s">
        <v>72</v>
      </c>
      <c r="P443" s="189"/>
      <c r="Q443" s="188">
        <v>44595</v>
      </c>
      <c r="R443" s="188">
        <v>44613</v>
      </c>
      <c r="S443" s="182"/>
      <c r="T443" s="182"/>
      <c r="U443" s="189"/>
      <c r="V443" s="189"/>
      <c r="W443" s="189"/>
    </row>
    <row r="444" spans="1:23">
      <c r="A444" s="1">
        <v>21</v>
      </c>
      <c r="B444" s="188">
        <v>44588</v>
      </c>
      <c r="C444" s="189" t="s">
        <v>117</v>
      </c>
      <c r="D444" s="210" t="s">
        <v>38</v>
      </c>
      <c r="E444" s="173" t="s">
        <v>39</v>
      </c>
      <c r="F444" s="210">
        <v>59800477007</v>
      </c>
      <c r="G444" s="189" t="s">
        <v>64</v>
      </c>
      <c r="H444" s="189"/>
      <c r="I444" s="210" t="s">
        <v>63</v>
      </c>
      <c r="M444" s="174" t="s">
        <v>119</v>
      </c>
      <c r="N444" s="174" t="s">
        <v>118</v>
      </c>
      <c r="O444" s="191" t="s">
        <v>120</v>
      </c>
      <c r="P444" s="189" t="s">
        <v>121</v>
      </c>
      <c r="Q444" s="188">
        <v>44589</v>
      </c>
      <c r="R444" s="188">
        <v>44623</v>
      </c>
      <c r="S444" s="182">
        <v>13750</v>
      </c>
      <c r="T444" s="182" t="s">
        <v>122</v>
      </c>
      <c r="U444" s="189"/>
      <c r="V444" s="189"/>
      <c r="W444" s="189"/>
    </row>
    <row r="445" spans="1:23">
      <c r="A445" s="1">
        <v>22</v>
      </c>
      <c r="B445" s="188">
        <v>44592</v>
      </c>
      <c r="C445" s="189" t="s">
        <v>60</v>
      </c>
      <c r="D445" s="210" t="s">
        <v>37</v>
      </c>
      <c r="E445" s="173" t="s">
        <v>23</v>
      </c>
      <c r="F445" s="210">
        <v>21112156</v>
      </c>
      <c r="G445" s="189" t="s">
        <v>64</v>
      </c>
      <c r="H445" s="189"/>
      <c r="I445" s="210" t="s">
        <v>63</v>
      </c>
      <c r="M445" s="174" t="s">
        <v>124</v>
      </c>
      <c r="N445" s="174" t="s">
        <v>123</v>
      </c>
      <c r="O445" s="191" t="s">
        <v>125</v>
      </c>
      <c r="P445" s="189"/>
      <c r="Q445" s="188">
        <v>44595</v>
      </c>
      <c r="R445" s="188">
        <v>44613</v>
      </c>
      <c r="S445" s="182"/>
      <c r="T445" s="182"/>
      <c r="U445" s="189"/>
      <c r="V445" s="189"/>
      <c r="W445" s="189"/>
    </row>
    <row r="446" spans="1:23">
      <c r="A446" s="1">
        <v>23</v>
      </c>
      <c r="B446" s="188">
        <v>44594</v>
      </c>
      <c r="C446" s="189" t="s">
        <v>60</v>
      </c>
      <c r="D446" s="210" t="s">
        <v>37</v>
      </c>
      <c r="E446" s="173" t="s">
        <v>23</v>
      </c>
      <c r="F446" s="210">
        <v>18041632</v>
      </c>
      <c r="G446" s="189" t="s">
        <v>64</v>
      </c>
      <c r="H446" s="189"/>
      <c r="I446" s="210" t="s">
        <v>63</v>
      </c>
      <c r="M446" s="174" t="s">
        <v>127</v>
      </c>
      <c r="N446" s="174" t="s">
        <v>126</v>
      </c>
      <c r="O446" s="191" t="s">
        <v>128</v>
      </c>
      <c r="P446" s="189"/>
      <c r="Q446" s="188">
        <v>44595</v>
      </c>
      <c r="R446" s="188">
        <v>44613</v>
      </c>
      <c r="S446" s="182"/>
      <c r="T446" s="182"/>
      <c r="U446" s="189"/>
      <c r="V446" s="189"/>
      <c r="W446" s="189"/>
    </row>
    <row r="447" spans="1:23">
      <c r="A447" s="1">
        <v>24</v>
      </c>
      <c r="B447" s="188">
        <v>44599</v>
      </c>
      <c r="C447" s="189" t="s">
        <v>60</v>
      </c>
      <c r="D447" s="210" t="s">
        <v>37</v>
      </c>
      <c r="E447" s="173" t="s">
        <v>23</v>
      </c>
      <c r="F447" s="210">
        <v>21111136</v>
      </c>
      <c r="G447" s="189" t="s">
        <v>64</v>
      </c>
      <c r="H447" s="189"/>
      <c r="I447" s="210" t="s">
        <v>63</v>
      </c>
      <c r="M447" s="174" t="s">
        <v>130</v>
      </c>
      <c r="N447" s="174" t="s">
        <v>129</v>
      </c>
      <c r="O447" s="191" t="s">
        <v>131</v>
      </c>
      <c r="P447" s="189"/>
      <c r="Q447" s="188">
        <v>44601</v>
      </c>
      <c r="R447" s="188">
        <v>44638</v>
      </c>
      <c r="S447" s="182"/>
      <c r="T447" s="182"/>
      <c r="U447" s="189"/>
      <c r="V447" s="189"/>
      <c r="W447" s="189"/>
    </row>
    <row r="448" spans="1:23">
      <c r="A448" s="1">
        <v>25</v>
      </c>
      <c r="B448" s="188">
        <v>44599</v>
      </c>
      <c r="C448" s="189" t="s">
        <v>60</v>
      </c>
      <c r="D448" s="210" t="s">
        <v>37</v>
      </c>
      <c r="E448" s="173" t="s">
        <v>23</v>
      </c>
      <c r="F448" s="210">
        <v>21111137</v>
      </c>
      <c r="G448" s="189" t="s">
        <v>64</v>
      </c>
      <c r="H448" s="189"/>
      <c r="I448" s="210" t="s">
        <v>63</v>
      </c>
      <c r="M448" s="174" t="s">
        <v>130</v>
      </c>
      <c r="N448" s="174" t="s">
        <v>129</v>
      </c>
      <c r="O448" s="191" t="s">
        <v>131</v>
      </c>
      <c r="P448" s="189"/>
      <c r="Q448" s="188">
        <v>44601</v>
      </c>
      <c r="R448" s="188">
        <v>44638</v>
      </c>
      <c r="S448" s="182"/>
      <c r="T448" s="182"/>
      <c r="U448" s="189"/>
      <c r="V448" s="189"/>
      <c r="W448" s="189"/>
    </row>
    <row r="449" spans="1:23">
      <c r="A449" s="1">
        <v>26</v>
      </c>
      <c r="B449" s="188">
        <v>44600</v>
      </c>
      <c r="C449" s="189" t="s">
        <v>60</v>
      </c>
      <c r="D449" s="210" t="s">
        <v>37</v>
      </c>
      <c r="E449" s="173" t="s">
        <v>23</v>
      </c>
      <c r="F449" s="210">
        <v>21110611</v>
      </c>
      <c r="G449" s="189" t="s">
        <v>64</v>
      </c>
      <c r="H449" s="189"/>
      <c r="I449" s="210" t="s">
        <v>63</v>
      </c>
      <c r="M449" s="174" t="s">
        <v>133</v>
      </c>
      <c r="N449" s="174" t="s">
        <v>132</v>
      </c>
      <c r="O449" s="191" t="s">
        <v>134</v>
      </c>
      <c r="P449" s="189"/>
      <c r="Q449" s="188">
        <v>44601</v>
      </c>
      <c r="R449" s="188">
        <v>44613</v>
      </c>
      <c r="S449" s="182"/>
      <c r="T449" s="182"/>
      <c r="U449" s="189"/>
      <c r="V449" s="189"/>
      <c r="W449" s="189"/>
    </row>
    <row r="450" spans="1:23">
      <c r="A450" s="1">
        <v>27</v>
      </c>
      <c r="B450" s="188">
        <v>44601</v>
      </c>
      <c r="C450" s="189" t="s">
        <v>60</v>
      </c>
      <c r="D450" s="210" t="s">
        <v>38</v>
      </c>
      <c r="E450" s="173" t="s">
        <v>23</v>
      </c>
      <c r="F450" s="210">
        <v>16050027</v>
      </c>
      <c r="G450" s="189" t="s">
        <v>64</v>
      </c>
      <c r="H450" s="189"/>
      <c r="I450" s="210" t="s">
        <v>63</v>
      </c>
      <c r="M450" s="174" t="s">
        <v>135</v>
      </c>
      <c r="N450" s="174" t="s">
        <v>92</v>
      </c>
      <c r="O450" s="191" t="s">
        <v>136</v>
      </c>
      <c r="P450" s="189" t="s">
        <v>137</v>
      </c>
      <c r="Q450" s="188">
        <v>44613</v>
      </c>
      <c r="R450" s="188"/>
      <c r="S450" s="182"/>
      <c r="T450" s="182"/>
      <c r="U450" s="189"/>
      <c r="V450" s="189"/>
      <c r="W450" s="189"/>
    </row>
    <row r="451" spans="1:23">
      <c r="A451" s="1">
        <v>28</v>
      </c>
      <c r="B451" s="188">
        <v>44603</v>
      </c>
      <c r="C451" s="189" t="s">
        <v>138</v>
      </c>
      <c r="D451" s="210" t="s">
        <v>38</v>
      </c>
      <c r="E451" s="173" t="s">
        <v>23</v>
      </c>
      <c r="F451" s="210">
        <v>275461</v>
      </c>
      <c r="G451" s="189" t="s">
        <v>64</v>
      </c>
      <c r="H451" s="189"/>
      <c r="I451" s="210" t="s">
        <v>63</v>
      </c>
      <c r="M451" s="174" t="s">
        <v>140</v>
      </c>
      <c r="N451" s="174" t="s">
        <v>139</v>
      </c>
      <c r="O451" s="191" t="s">
        <v>141</v>
      </c>
      <c r="P451" s="189"/>
      <c r="Q451" s="188">
        <v>44603</v>
      </c>
      <c r="R451" s="188">
        <v>44623</v>
      </c>
      <c r="S451" s="182">
        <v>3500</v>
      </c>
      <c r="T451" s="182" t="s">
        <v>142</v>
      </c>
      <c r="U451" s="189"/>
      <c r="V451" s="189"/>
      <c r="W451" s="189"/>
    </row>
    <row r="452" spans="1:23">
      <c r="A452" s="1">
        <v>29</v>
      </c>
      <c r="B452" s="188">
        <v>44607</v>
      </c>
      <c r="C452" s="189" t="s">
        <v>60</v>
      </c>
      <c r="D452" s="210" t="s">
        <v>37</v>
      </c>
      <c r="E452" s="173" t="s">
        <v>23</v>
      </c>
      <c r="F452" s="210">
        <v>17060268</v>
      </c>
      <c r="G452" s="189" t="s">
        <v>64</v>
      </c>
      <c r="H452" s="189"/>
      <c r="I452" s="210" t="s">
        <v>63</v>
      </c>
      <c r="M452" s="174" t="s">
        <v>144</v>
      </c>
      <c r="N452" s="174" t="s">
        <v>143</v>
      </c>
      <c r="O452" s="191" t="s">
        <v>145</v>
      </c>
      <c r="P452" s="189"/>
      <c r="Q452" s="188">
        <v>44613</v>
      </c>
      <c r="R452" s="188">
        <v>44623</v>
      </c>
      <c r="S452" s="182"/>
      <c r="T452" s="182"/>
      <c r="U452" s="189"/>
      <c r="V452" s="189"/>
      <c r="W452" s="189"/>
    </row>
    <row r="453" spans="1:23">
      <c r="A453" s="1">
        <v>30</v>
      </c>
      <c r="B453" s="188">
        <v>44608</v>
      </c>
      <c r="C453" s="189" t="s">
        <v>60</v>
      </c>
      <c r="D453" s="210" t="s">
        <v>37</v>
      </c>
      <c r="E453" s="173" t="s">
        <v>23</v>
      </c>
      <c r="F453" s="210">
        <v>21112160</v>
      </c>
      <c r="G453" s="189" t="s">
        <v>64</v>
      </c>
      <c r="H453" s="189"/>
      <c r="I453" s="210" t="s">
        <v>63</v>
      </c>
      <c r="M453" s="174" t="s">
        <v>147</v>
      </c>
      <c r="N453" s="174" t="s">
        <v>146</v>
      </c>
      <c r="O453" s="191" t="s">
        <v>148</v>
      </c>
      <c r="P453" s="189"/>
      <c r="Q453" s="188">
        <v>44613</v>
      </c>
      <c r="R453" s="188">
        <v>44623</v>
      </c>
      <c r="S453" s="182"/>
      <c r="T453" s="182"/>
      <c r="U453" s="189"/>
      <c r="V453" s="189"/>
      <c r="W453" s="189"/>
    </row>
    <row r="454" spans="1:23">
      <c r="A454" s="1">
        <v>31</v>
      </c>
      <c r="B454" s="188">
        <v>44609</v>
      </c>
      <c r="C454" s="189" t="s">
        <v>149</v>
      </c>
      <c r="D454" s="210" t="s">
        <v>38</v>
      </c>
      <c r="E454" s="173" t="s">
        <v>23</v>
      </c>
      <c r="F454" s="210">
        <v>866795036060380</v>
      </c>
      <c r="G454" s="189" t="s">
        <v>64</v>
      </c>
      <c r="H454" s="189"/>
      <c r="I454" s="210" t="s">
        <v>63</v>
      </c>
      <c r="M454" s="174" t="s">
        <v>151</v>
      </c>
      <c r="N454" s="174" t="s">
        <v>150</v>
      </c>
      <c r="O454" s="191" t="s">
        <v>152</v>
      </c>
      <c r="P454" s="189" t="s">
        <v>153</v>
      </c>
      <c r="Q454" s="188">
        <v>44609</v>
      </c>
      <c r="R454" s="188">
        <v>44629</v>
      </c>
      <c r="S454" s="182"/>
      <c r="T454" s="182">
        <v>261</v>
      </c>
      <c r="U454" s="189"/>
      <c r="V454" s="189"/>
      <c r="W454" s="189"/>
    </row>
    <row r="455" spans="1:23">
      <c r="A455" s="1">
        <v>32</v>
      </c>
      <c r="B455" s="188">
        <v>44609</v>
      </c>
      <c r="C455" s="189" t="s">
        <v>154</v>
      </c>
      <c r="D455" s="210" t="s">
        <v>38</v>
      </c>
      <c r="E455" s="173" t="s">
        <v>23</v>
      </c>
      <c r="F455" s="210">
        <v>865733022412068</v>
      </c>
      <c r="G455" s="189" t="s">
        <v>64</v>
      </c>
      <c r="H455" s="189"/>
      <c r="I455" s="210" t="s">
        <v>63</v>
      </c>
      <c r="M455" s="174" t="s">
        <v>156</v>
      </c>
      <c r="N455" s="174" t="s">
        <v>155</v>
      </c>
      <c r="O455" s="191" t="s">
        <v>89</v>
      </c>
      <c r="P455" s="189" t="s">
        <v>90</v>
      </c>
      <c r="Q455" s="188">
        <v>44609</v>
      </c>
      <c r="R455" s="188"/>
      <c r="S455" s="182">
        <v>360</v>
      </c>
      <c r="T455" s="182">
        <v>525</v>
      </c>
      <c r="U455" s="189"/>
      <c r="V455" s="189"/>
      <c r="W455" s="189"/>
    </row>
    <row r="456" spans="1:23">
      <c r="A456" s="1">
        <v>33</v>
      </c>
      <c r="B456" s="188">
        <v>44609</v>
      </c>
      <c r="C456" s="189" t="s">
        <v>60</v>
      </c>
      <c r="D456" s="210" t="s">
        <v>37</v>
      </c>
      <c r="E456" s="173" t="s">
        <v>23</v>
      </c>
      <c r="F456" s="210">
        <v>21091031</v>
      </c>
      <c r="G456" s="189" t="s">
        <v>64</v>
      </c>
      <c r="H456" s="189"/>
      <c r="I456" s="210" t="s">
        <v>63</v>
      </c>
      <c r="M456" s="174" t="s">
        <v>158</v>
      </c>
      <c r="N456" s="174" t="s">
        <v>157</v>
      </c>
      <c r="O456" s="191" t="s">
        <v>159</v>
      </c>
      <c r="P456" s="189"/>
      <c r="Q456" s="188">
        <v>44613</v>
      </c>
      <c r="R456" s="188">
        <v>44623</v>
      </c>
      <c r="S456" s="182"/>
      <c r="T456" s="182"/>
      <c r="U456" s="189"/>
      <c r="V456" s="189"/>
      <c r="W456" s="189"/>
    </row>
    <row r="457" spans="1:23">
      <c r="A457" s="1">
        <v>34</v>
      </c>
      <c r="B457" s="188">
        <v>44609</v>
      </c>
      <c r="C457" s="189" t="s">
        <v>60</v>
      </c>
      <c r="D457" s="210" t="s">
        <v>37</v>
      </c>
      <c r="E457" s="173" t="s">
        <v>23</v>
      </c>
      <c r="F457" s="210">
        <v>21091032</v>
      </c>
      <c r="G457" s="189" t="s">
        <v>64</v>
      </c>
      <c r="H457" s="189"/>
      <c r="I457" s="210" t="s">
        <v>63</v>
      </c>
      <c r="M457" s="174" t="s">
        <v>158</v>
      </c>
      <c r="N457" s="174" t="s">
        <v>157</v>
      </c>
      <c r="O457" s="191" t="s">
        <v>159</v>
      </c>
      <c r="P457" s="189"/>
      <c r="Q457" s="188">
        <v>44613</v>
      </c>
      <c r="R457" s="188">
        <v>44623</v>
      </c>
      <c r="S457" s="182"/>
      <c r="T457" s="182"/>
      <c r="U457" s="189"/>
      <c r="V457" s="189"/>
      <c r="W457" s="189"/>
    </row>
    <row r="458" spans="1:23">
      <c r="A458" s="1">
        <v>35</v>
      </c>
      <c r="B458" s="188">
        <v>44614</v>
      </c>
      <c r="C458" s="189" t="s">
        <v>60</v>
      </c>
      <c r="D458" s="210" t="s">
        <v>37</v>
      </c>
      <c r="E458" s="173" t="s">
        <v>23</v>
      </c>
      <c r="F458" s="210">
        <v>21100735</v>
      </c>
      <c r="G458" s="189" t="s">
        <v>64</v>
      </c>
      <c r="H458" s="189"/>
      <c r="I458" s="210" t="s">
        <v>63</v>
      </c>
      <c r="M458" s="174" t="s">
        <v>161</v>
      </c>
      <c r="N458" s="174" t="s">
        <v>160</v>
      </c>
      <c r="O458" s="191" t="s">
        <v>159</v>
      </c>
      <c r="P458" s="189"/>
      <c r="Q458" s="188">
        <v>44616</v>
      </c>
      <c r="R458" s="202">
        <v>44623</v>
      </c>
      <c r="S458" s="182"/>
      <c r="T458" s="182"/>
      <c r="U458" s="189"/>
      <c r="V458" s="189"/>
      <c r="W458" s="189"/>
    </row>
    <row r="459" spans="1:23">
      <c r="A459" s="1">
        <v>36</v>
      </c>
      <c r="B459" s="188">
        <v>44617</v>
      </c>
      <c r="C459" s="189" t="s">
        <v>60</v>
      </c>
      <c r="D459" s="210" t="s">
        <v>37</v>
      </c>
      <c r="E459" s="173" t="s">
        <v>23</v>
      </c>
      <c r="F459" s="210">
        <v>21112078</v>
      </c>
      <c r="G459" s="189" t="s">
        <v>64</v>
      </c>
      <c r="H459" s="189"/>
      <c r="I459" s="210" t="s">
        <v>63</v>
      </c>
      <c r="M459" s="174" t="s">
        <v>163</v>
      </c>
      <c r="N459" s="174" t="s">
        <v>162</v>
      </c>
      <c r="O459" s="191" t="s">
        <v>164</v>
      </c>
      <c r="P459" s="189"/>
      <c r="Q459" s="188">
        <v>44623</v>
      </c>
      <c r="R459" s="188">
        <v>44637</v>
      </c>
      <c r="S459" s="182"/>
      <c r="T459" s="182"/>
      <c r="U459" s="189"/>
      <c r="V459" s="189"/>
      <c r="W459" s="189"/>
    </row>
    <row r="460" spans="1:23">
      <c r="A460" s="1">
        <v>37</v>
      </c>
      <c r="B460" s="188">
        <v>44622</v>
      </c>
      <c r="C460" s="189" t="s">
        <v>165</v>
      </c>
      <c r="D460" s="210" t="s">
        <v>37</v>
      </c>
      <c r="E460" s="173" t="s">
        <v>39</v>
      </c>
      <c r="F460" s="210" t="s">
        <v>166</v>
      </c>
      <c r="G460" s="189" t="s">
        <v>64</v>
      </c>
      <c r="H460" s="189"/>
      <c r="I460" s="210" t="s">
        <v>63</v>
      </c>
      <c r="M460" s="174" t="s">
        <v>168</v>
      </c>
      <c r="N460" s="174" t="s">
        <v>167</v>
      </c>
      <c r="O460" s="191" t="s">
        <v>169</v>
      </c>
      <c r="P460" s="189"/>
      <c r="Q460" s="188">
        <v>44625</v>
      </c>
      <c r="R460" s="189" t="s">
        <v>8199</v>
      </c>
      <c r="S460" s="182"/>
      <c r="T460" s="182" t="s">
        <v>8200</v>
      </c>
      <c r="U460" s="189"/>
      <c r="V460" s="189"/>
      <c r="W460" s="189"/>
    </row>
    <row r="461" spans="1:23">
      <c r="A461" s="1">
        <v>38</v>
      </c>
      <c r="B461" s="188">
        <v>44625</v>
      </c>
      <c r="C461" s="189" t="s">
        <v>170</v>
      </c>
      <c r="D461" s="210" t="s">
        <v>38</v>
      </c>
      <c r="E461" s="173" t="s">
        <v>23</v>
      </c>
      <c r="F461" s="210">
        <v>868345038076857</v>
      </c>
      <c r="G461" s="189" t="s">
        <v>64</v>
      </c>
      <c r="H461" s="189"/>
      <c r="I461" s="210" t="s">
        <v>63</v>
      </c>
      <c r="M461" s="174" t="s">
        <v>172</v>
      </c>
      <c r="N461" s="174" t="s">
        <v>171</v>
      </c>
      <c r="O461" s="191" t="s">
        <v>89</v>
      </c>
      <c r="P461" s="189" t="s">
        <v>173</v>
      </c>
      <c r="Q461" s="188">
        <v>44629</v>
      </c>
      <c r="R461" s="188">
        <v>44629</v>
      </c>
      <c r="S461" s="182"/>
      <c r="T461" s="182"/>
      <c r="U461" s="189"/>
      <c r="V461" s="189"/>
      <c r="W461" s="189"/>
    </row>
    <row r="462" spans="1:23">
      <c r="A462" s="1">
        <v>39</v>
      </c>
      <c r="B462" s="188">
        <v>44629</v>
      </c>
      <c r="C462" s="189" t="s">
        <v>149</v>
      </c>
      <c r="D462" s="210" t="s">
        <v>38</v>
      </c>
      <c r="E462" s="173" t="s">
        <v>23</v>
      </c>
      <c r="F462" s="210">
        <v>866795035243706</v>
      </c>
      <c r="G462" s="189" t="s">
        <v>64</v>
      </c>
      <c r="H462" s="189"/>
      <c r="I462" s="210" t="s">
        <v>63</v>
      </c>
      <c r="M462" s="174" t="s">
        <v>174</v>
      </c>
      <c r="N462" s="174" t="s">
        <v>157</v>
      </c>
      <c r="O462" s="191" t="s">
        <v>175</v>
      </c>
      <c r="P462" s="189"/>
      <c r="Q462" s="188">
        <v>44629</v>
      </c>
      <c r="R462" s="188">
        <v>44648</v>
      </c>
      <c r="S462" s="182">
        <v>1200</v>
      </c>
      <c r="T462" s="182" t="s">
        <v>8201</v>
      </c>
      <c r="U462" s="189"/>
      <c r="V462" s="189"/>
      <c r="W462" s="189"/>
    </row>
    <row r="463" spans="1:23">
      <c r="A463" s="1">
        <v>40</v>
      </c>
      <c r="B463" s="188">
        <v>44630</v>
      </c>
      <c r="C463" s="189" t="s">
        <v>60</v>
      </c>
      <c r="D463" s="210" t="s">
        <v>37</v>
      </c>
      <c r="E463" s="173" t="s">
        <v>23</v>
      </c>
      <c r="F463" s="210">
        <v>17060964</v>
      </c>
      <c r="G463" s="189" t="s">
        <v>64</v>
      </c>
      <c r="H463" s="189"/>
      <c r="I463" s="210" t="s">
        <v>63</v>
      </c>
      <c r="M463" s="174" t="s">
        <v>174</v>
      </c>
      <c r="N463" s="174" t="s">
        <v>157</v>
      </c>
      <c r="O463" s="191" t="s">
        <v>318</v>
      </c>
      <c r="P463" s="189"/>
      <c r="Q463" s="188">
        <v>44635</v>
      </c>
      <c r="R463" s="188">
        <v>44638</v>
      </c>
      <c r="S463" s="182"/>
      <c r="T463" s="182"/>
      <c r="U463" s="189"/>
      <c r="V463" s="189"/>
      <c r="W463" s="189"/>
    </row>
    <row r="464" spans="1:23">
      <c r="A464" s="1">
        <v>41</v>
      </c>
      <c r="B464" s="188">
        <v>44634</v>
      </c>
      <c r="C464" s="189" t="s">
        <v>7723</v>
      </c>
      <c r="D464" s="210" t="s">
        <v>38</v>
      </c>
      <c r="E464" s="173" t="s">
        <v>39</v>
      </c>
      <c r="F464" s="210" t="s">
        <v>8202</v>
      </c>
      <c r="G464" s="189" t="s">
        <v>64</v>
      </c>
      <c r="H464" s="189"/>
      <c r="I464" s="210" t="s">
        <v>63</v>
      </c>
      <c r="M464" s="174" t="s">
        <v>8204</v>
      </c>
      <c r="N464" s="174" t="s">
        <v>8203</v>
      </c>
      <c r="O464" s="191" t="s">
        <v>8205</v>
      </c>
      <c r="P464" s="189"/>
      <c r="Q464" s="188">
        <v>44634</v>
      </c>
      <c r="R464" s="188"/>
      <c r="S464" s="182">
        <v>5308</v>
      </c>
      <c r="T464" s="182">
        <v>291</v>
      </c>
      <c r="U464" s="189"/>
      <c r="V464" s="189"/>
      <c r="W464" s="189"/>
    </row>
    <row r="465" spans="1:23">
      <c r="A465" s="1">
        <v>42</v>
      </c>
      <c r="B465" s="188">
        <v>44635</v>
      </c>
      <c r="C465" s="189" t="s">
        <v>60</v>
      </c>
      <c r="D465" s="210" t="s">
        <v>37</v>
      </c>
      <c r="E465" s="173" t="s">
        <v>23</v>
      </c>
      <c r="F465" s="210">
        <v>21100736</v>
      </c>
      <c r="G465" s="189" t="s">
        <v>64</v>
      </c>
      <c r="H465" s="189"/>
      <c r="I465" s="210" t="s">
        <v>63</v>
      </c>
      <c r="M465" s="174" t="s">
        <v>8207</v>
      </c>
      <c r="N465" s="174" t="s">
        <v>8206</v>
      </c>
      <c r="O465" s="191" t="s">
        <v>125</v>
      </c>
      <c r="P465" s="189"/>
      <c r="Q465" s="188">
        <v>44635</v>
      </c>
      <c r="R465" s="188">
        <v>44638</v>
      </c>
      <c r="S465" s="182"/>
      <c r="T465" s="182"/>
      <c r="U465" s="189"/>
      <c r="V465" s="189"/>
      <c r="W465" s="189"/>
    </row>
    <row r="466" spans="1:23">
      <c r="A466" s="1">
        <v>43</v>
      </c>
      <c r="B466" s="188">
        <v>44641</v>
      </c>
      <c r="C466" s="189" t="s">
        <v>8036</v>
      </c>
      <c r="D466" s="210"/>
      <c r="E466" s="173" t="s">
        <v>39</v>
      </c>
      <c r="F466" s="210"/>
      <c r="G466" s="189" t="s">
        <v>64</v>
      </c>
      <c r="H466" s="189"/>
      <c r="I466" s="210" t="s">
        <v>63</v>
      </c>
      <c r="M466" s="174" t="s">
        <v>8209</v>
      </c>
      <c r="N466" s="174" t="s">
        <v>8208</v>
      </c>
      <c r="O466" s="191" t="s">
        <v>8210</v>
      </c>
      <c r="P466" s="189"/>
      <c r="Q466" s="190">
        <v>44641</v>
      </c>
      <c r="R466" s="188"/>
      <c r="S466" s="182"/>
      <c r="T466" s="182">
        <v>261</v>
      </c>
      <c r="U466" s="189"/>
      <c r="V466" s="189"/>
      <c r="W466" s="189"/>
    </row>
    <row r="467" spans="1:23">
      <c r="A467" s="1">
        <v>44</v>
      </c>
      <c r="B467" s="188">
        <v>44641</v>
      </c>
      <c r="C467" s="189" t="s">
        <v>60</v>
      </c>
      <c r="D467" s="210"/>
      <c r="E467" s="173" t="s">
        <v>23</v>
      </c>
      <c r="F467" s="210">
        <v>21112159</v>
      </c>
      <c r="G467" s="189" t="s">
        <v>64</v>
      </c>
      <c r="H467" s="189"/>
      <c r="I467" s="210" t="s">
        <v>63</v>
      </c>
      <c r="M467" s="174" t="s">
        <v>8211</v>
      </c>
      <c r="N467" s="174" t="s">
        <v>3848</v>
      </c>
      <c r="O467" s="191" t="s">
        <v>8212</v>
      </c>
      <c r="P467" s="189"/>
      <c r="Q467" s="188">
        <v>44643</v>
      </c>
      <c r="R467" s="188"/>
      <c r="S467" s="182"/>
      <c r="T467" s="182"/>
      <c r="U467" s="189"/>
      <c r="V467" s="189"/>
      <c r="W467" s="189"/>
    </row>
    <row r="468" spans="1:23">
      <c r="A468" s="1">
        <v>45</v>
      </c>
      <c r="B468" s="188">
        <v>44641</v>
      </c>
      <c r="C468" s="189" t="s">
        <v>60</v>
      </c>
      <c r="D468" s="210"/>
      <c r="E468" s="173" t="s">
        <v>23</v>
      </c>
      <c r="F468" s="210">
        <v>21100722</v>
      </c>
      <c r="G468" s="189" t="s">
        <v>64</v>
      </c>
      <c r="H468" s="189"/>
      <c r="I468" s="210" t="s">
        <v>63</v>
      </c>
      <c r="M468" s="174" t="s">
        <v>8211</v>
      </c>
      <c r="N468" s="174" t="s">
        <v>3848</v>
      </c>
      <c r="O468" s="191" t="s">
        <v>8212</v>
      </c>
      <c r="P468" s="189"/>
      <c r="Q468" s="188">
        <v>44643</v>
      </c>
      <c r="R468" s="188"/>
      <c r="S468" s="182"/>
      <c r="T468" s="182"/>
      <c r="U468" s="189"/>
      <c r="V468" s="189"/>
      <c r="W468" s="189"/>
    </row>
    <row r="469" spans="1:23">
      <c r="A469" s="1">
        <v>46</v>
      </c>
      <c r="B469" s="188">
        <v>44642</v>
      </c>
      <c r="C469" s="189" t="s">
        <v>60</v>
      </c>
      <c r="D469" s="210"/>
      <c r="E469" s="173" t="s">
        <v>23</v>
      </c>
      <c r="F469" s="210">
        <v>21111138</v>
      </c>
      <c r="G469" s="189" t="s">
        <v>64</v>
      </c>
      <c r="H469" s="189"/>
      <c r="I469" s="210" t="s">
        <v>63</v>
      </c>
      <c r="M469" s="174" t="s">
        <v>172</v>
      </c>
      <c r="N469" s="174" t="s">
        <v>3999</v>
      </c>
      <c r="O469" s="191" t="s">
        <v>8213</v>
      </c>
      <c r="P469" s="189"/>
      <c r="Q469" s="188">
        <v>44643</v>
      </c>
      <c r="R469" s="188"/>
      <c r="S469" s="182"/>
      <c r="T469" s="182"/>
      <c r="U469" s="189"/>
      <c r="V469" s="189"/>
      <c r="W469" s="189"/>
    </row>
    <row r="470" spans="1:23">
      <c r="A470" s="1">
        <v>47</v>
      </c>
      <c r="B470" s="188">
        <v>44642</v>
      </c>
      <c r="C470" s="189" t="s">
        <v>149</v>
      </c>
      <c r="D470" s="210" t="s">
        <v>37</v>
      </c>
      <c r="E470" s="173" t="s">
        <v>23</v>
      </c>
      <c r="F470" s="210">
        <v>866795033275650</v>
      </c>
      <c r="G470" s="189" t="s">
        <v>64</v>
      </c>
      <c r="H470" s="189"/>
      <c r="I470" s="210" t="s">
        <v>63</v>
      </c>
      <c r="M470" s="174" t="s">
        <v>8214</v>
      </c>
      <c r="N470" s="174" t="s">
        <v>3792</v>
      </c>
      <c r="O470" s="191" t="s">
        <v>89</v>
      </c>
      <c r="P470" s="189"/>
      <c r="Q470" s="188">
        <v>44642</v>
      </c>
      <c r="R470" s="188"/>
      <c r="S470" s="182"/>
      <c r="T470" s="182">
        <v>261</v>
      </c>
      <c r="U470" s="189"/>
      <c r="V470" s="189"/>
      <c r="W470" s="189"/>
    </row>
    <row r="471" spans="1:23">
      <c r="A471" s="1">
        <v>48</v>
      </c>
      <c r="B471" s="188">
        <v>44642</v>
      </c>
      <c r="C471" s="189" t="s">
        <v>91</v>
      </c>
      <c r="D471" s="210" t="s">
        <v>38</v>
      </c>
      <c r="E471" s="173" t="s">
        <v>23</v>
      </c>
      <c r="F471" s="210">
        <v>866192032657288</v>
      </c>
      <c r="G471" s="189" t="s">
        <v>64</v>
      </c>
      <c r="H471" s="189"/>
      <c r="I471" s="210" t="s">
        <v>63</v>
      </c>
      <c r="M471" s="174"/>
      <c r="N471" s="174" t="s">
        <v>92</v>
      </c>
      <c r="O471" s="191" t="s">
        <v>97</v>
      </c>
      <c r="P471" s="189"/>
      <c r="Q471" s="188">
        <v>44642</v>
      </c>
      <c r="R471" s="188"/>
      <c r="S471" s="182">
        <v>1200</v>
      </c>
      <c r="T471" s="182">
        <v>261</v>
      </c>
      <c r="U471" s="189"/>
      <c r="V471" s="189"/>
      <c r="W471" s="189"/>
    </row>
    <row r="472" spans="1:23">
      <c r="A472" s="1">
        <v>49</v>
      </c>
      <c r="B472" s="188">
        <v>44642</v>
      </c>
      <c r="C472" s="189" t="s">
        <v>60</v>
      </c>
      <c r="D472" s="210"/>
      <c r="E472" s="173" t="s">
        <v>23</v>
      </c>
      <c r="F472" s="210">
        <v>18101518</v>
      </c>
      <c r="G472" s="189" t="s">
        <v>64</v>
      </c>
      <c r="H472" s="189"/>
      <c r="I472" s="210" t="s">
        <v>63</v>
      </c>
      <c r="M472" s="174" t="s">
        <v>8216</v>
      </c>
      <c r="N472" s="174" t="s">
        <v>8215</v>
      </c>
      <c r="O472" s="191" t="s">
        <v>8217</v>
      </c>
      <c r="P472" s="189"/>
      <c r="Q472" s="188">
        <v>44643</v>
      </c>
      <c r="R472" s="188"/>
      <c r="S472" s="182"/>
      <c r="T472" s="182"/>
      <c r="U472" s="189"/>
      <c r="V472" s="189"/>
      <c r="W472" s="189"/>
    </row>
    <row r="473" spans="1:23">
      <c r="A473" s="1">
        <v>50</v>
      </c>
      <c r="B473" s="188">
        <v>44645</v>
      </c>
      <c r="C473" s="189" t="s">
        <v>176</v>
      </c>
      <c r="D473" s="210"/>
      <c r="E473" s="173" t="s">
        <v>23</v>
      </c>
      <c r="F473" s="210">
        <v>862531048037619</v>
      </c>
      <c r="G473" s="189" t="s">
        <v>64</v>
      </c>
      <c r="H473" s="189"/>
      <c r="I473" s="210" t="s">
        <v>63</v>
      </c>
      <c r="M473" s="174"/>
      <c r="N473" s="174" t="s">
        <v>92</v>
      </c>
      <c r="O473" s="191" t="s">
        <v>8152</v>
      </c>
      <c r="P473" s="189"/>
      <c r="Q473" s="188">
        <v>44648</v>
      </c>
      <c r="R473" s="188"/>
      <c r="S473" s="182"/>
      <c r="T473" s="182">
        <v>261</v>
      </c>
      <c r="U473" s="189"/>
      <c r="V473" s="189"/>
      <c r="W473" s="189"/>
    </row>
    <row r="474" spans="1:23">
      <c r="A474" s="1">
        <v>51</v>
      </c>
      <c r="B474" s="188">
        <v>44655</v>
      </c>
      <c r="C474" s="189" t="s">
        <v>60</v>
      </c>
      <c r="D474" s="210"/>
      <c r="E474" s="173" t="s">
        <v>23</v>
      </c>
      <c r="F474" s="210">
        <v>21112155</v>
      </c>
      <c r="G474" s="189" t="s">
        <v>64</v>
      </c>
      <c r="H474" s="189"/>
      <c r="I474" s="210" t="s">
        <v>63</v>
      </c>
      <c r="M474" s="174" t="s">
        <v>8184</v>
      </c>
      <c r="N474" s="174" t="s">
        <v>3808</v>
      </c>
      <c r="O474" s="191" t="s">
        <v>7820</v>
      </c>
      <c r="P474" s="189"/>
      <c r="Q474" s="188">
        <v>44656</v>
      </c>
      <c r="R474" s="188"/>
      <c r="S474" s="182"/>
      <c r="T474" s="182"/>
      <c r="U474" s="189"/>
      <c r="V474" s="189"/>
      <c r="W474" s="189"/>
    </row>
  </sheetData>
  <dataValidations count="4">
    <dataValidation type="list" allowBlank="1" showErrorMessage="1" sqref="E474:E1048576">
      <formula1>Направление</formula1>
    </dataValidation>
    <dataValidation type="list" allowBlank="1" showErrorMessage="1" sqref="D474:D1048576">
      <formula1>Вид_ремонта</formula1>
    </dataValidation>
    <dataValidation type="list" allowBlank="1" showErrorMessage="1" sqref="E1:E473">
      <formula1>"Направление,ГЛОНАСС,ТАХОГРАФЫ,ОТОПИТЕЛИ,ГБО,ВИДЕО,ДОПОГ"</formula1>
    </dataValidation>
    <dataValidation type="list" allowBlank="1" showErrorMessage="1" sqref="D1:D473">
      <formula1>"Вид ремонта,гарантия,не гарантия"</formula1>
    </dataValidation>
  </dataValidations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4"/>
  <dimension ref="A1:Z3029"/>
  <sheetViews>
    <sheetView workbookViewId="0">
      <pane xSplit="3" ySplit="1" topLeftCell="D3007" activePane="bottomRight" state="frozen"/>
      <selection pane="topRight" activeCell="D1" sqref="D1"/>
      <selection pane="bottomLeft" activeCell="A2" sqref="A2"/>
      <selection pane="bottomRight" activeCell="J3016" sqref="J3016"/>
    </sheetView>
  </sheetViews>
  <sheetFormatPr defaultRowHeight="15" outlineLevelRow="1"/>
  <cols>
    <col min="1" max="1" width="9.140625" style="1"/>
    <col min="2" max="2" width="11.85546875" style="11" customWidth="1"/>
    <col min="3" max="3" width="11.85546875" style="160" customWidth="1"/>
    <col min="4" max="4" width="11.140625" style="1" customWidth="1"/>
    <col min="5" max="5" width="23.42578125" style="1" bestFit="1" customWidth="1"/>
    <col min="6" max="6" width="16.140625" style="22" bestFit="1" customWidth="1"/>
    <col min="7" max="7" width="29" style="4" bestFit="1" customWidth="1"/>
    <col min="8" max="8" width="18" style="1" bestFit="1" customWidth="1"/>
    <col min="9" max="9" width="18.5703125" style="2" customWidth="1"/>
    <col min="10" max="10" width="15.85546875" style="11" customWidth="1"/>
    <col min="11" max="11" width="14" style="4" customWidth="1"/>
    <col min="12" max="12" width="20.85546875" style="24" customWidth="1"/>
    <col min="13" max="13" width="38" style="2" bestFit="1" customWidth="1"/>
    <col min="14" max="14" width="40.7109375" style="2" bestFit="1" customWidth="1"/>
    <col min="15" max="15" width="10.140625" style="18" bestFit="1" customWidth="1"/>
    <col min="16" max="16" width="9.140625" style="1"/>
    <col min="17" max="17" width="11" style="1" customWidth="1"/>
    <col min="18" max="18" width="9.140625" style="1"/>
    <col min="19" max="19" width="24" style="1" bestFit="1" customWidth="1"/>
  </cols>
  <sheetData>
    <row r="1" spans="1:19" s="47" customFormat="1" ht="25.5">
      <c r="A1" s="44" t="s">
        <v>1</v>
      </c>
      <c r="B1" s="42" t="s">
        <v>469</v>
      </c>
      <c r="C1" s="154" t="s">
        <v>488</v>
      </c>
      <c r="D1" s="38" t="s">
        <v>3</v>
      </c>
      <c r="E1" s="38" t="s">
        <v>4</v>
      </c>
      <c r="F1" s="48" t="s">
        <v>5</v>
      </c>
      <c r="G1" s="39" t="s">
        <v>476</v>
      </c>
      <c r="H1" s="38" t="s">
        <v>320</v>
      </c>
      <c r="I1" s="40" t="s">
        <v>6</v>
      </c>
      <c r="J1" s="42" t="s">
        <v>7</v>
      </c>
      <c r="K1" s="39" t="s">
        <v>478</v>
      </c>
      <c r="L1" s="42" t="s">
        <v>477</v>
      </c>
      <c r="M1" s="43" t="s">
        <v>9</v>
      </c>
      <c r="N1" s="43" t="s">
        <v>8</v>
      </c>
      <c r="O1" s="45" t="s">
        <v>16</v>
      </c>
      <c r="P1" s="38" t="s">
        <v>319</v>
      </c>
      <c r="Q1" s="46" t="s">
        <v>321</v>
      </c>
      <c r="R1" s="38" t="s">
        <v>12</v>
      </c>
      <c r="S1" s="38" t="s">
        <v>322</v>
      </c>
    </row>
    <row r="2" spans="1:19" s="47" customFormat="1">
      <c r="A2" s="8">
        <v>2018</v>
      </c>
      <c r="B2" s="115"/>
      <c r="C2" s="156"/>
      <c r="D2" s="8"/>
      <c r="E2" s="8"/>
      <c r="F2" s="9"/>
      <c r="G2" s="8"/>
      <c r="H2" s="8"/>
      <c r="I2" s="8"/>
      <c r="J2" s="58"/>
      <c r="K2" s="8"/>
      <c r="L2" s="58"/>
      <c r="M2" s="8"/>
      <c r="N2" s="8"/>
      <c r="O2" s="116"/>
      <c r="P2" s="8"/>
      <c r="Q2" s="8"/>
      <c r="R2" s="8"/>
      <c r="S2" s="8"/>
    </row>
    <row r="3" spans="1:19" hidden="1" outlineLevel="1">
      <c r="A3" s="1">
        <v>1</v>
      </c>
      <c r="B3" s="23">
        <v>43322</v>
      </c>
      <c r="C3" s="155"/>
      <c r="E3" s="1" t="s">
        <v>566</v>
      </c>
      <c r="F3" s="22">
        <v>868345031686801</v>
      </c>
      <c r="G3" s="4" t="s">
        <v>499</v>
      </c>
      <c r="I3" s="2" t="s">
        <v>521</v>
      </c>
      <c r="O3" s="12"/>
    </row>
    <row r="4" spans="1:19" hidden="1" outlineLevel="1">
      <c r="A4" s="1">
        <v>2</v>
      </c>
      <c r="B4" s="23"/>
      <c r="C4" s="155"/>
      <c r="F4" s="22">
        <v>868345031846140</v>
      </c>
      <c r="O4" s="12"/>
    </row>
    <row r="5" spans="1:19" hidden="1" outlineLevel="1">
      <c r="A5" s="1">
        <v>3</v>
      </c>
      <c r="B5" s="23"/>
      <c r="C5" s="155"/>
      <c r="F5" s="22">
        <v>868345039388137</v>
      </c>
      <c r="O5" s="12"/>
    </row>
    <row r="6" spans="1:19" hidden="1" outlineLevel="1">
      <c r="A6" s="1">
        <v>4</v>
      </c>
      <c r="B6" s="23"/>
      <c r="C6" s="155"/>
      <c r="F6" s="22">
        <v>868345039366844</v>
      </c>
      <c r="O6" s="12"/>
    </row>
    <row r="7" spans="1:19" hidden="1" outlineLevel="1">
      <c r="A7" s="1">
        <v>5</v>
      </c>
      <c r="B7" s="23"/>
      <c r="C7" s="155"/>
      <c r="F7" s="22">
        <v>868345031654361</v>
      </c>
      <c r="O7" s="12"/>
    </row>
    <row r="8" spans="1:19" hidden="1" outlineLevel="1">
      <c r="A8" s="1">
        <v>6</v>
      </c>
      <c r="B8" s="23"/>
      <c r="C8" s="155"/>
      <c r="F8" s="22">
        <v>868345031699903</v>
      </c>
      <c r="O8" s="12"/>
    </row>
    <row r="9" spans="1:19" hidden="1" outlineLevel="1">
      <c r="A9" s="1">
        <v>7</v>
      </c>
      <c r="B9" s="23"/>
      <c r="C9" s="155"/>
      <c r="F9" s="22">
        <v>868345039380076</v>
      </c>
      <c r="O9" s="12"/>
    </row>
    <row r="10" spans="1:19" hidden="1" outlineLevel="1">
      <c r="A10" s="1">
        <v>8</v>
      </c>
      <c r="B10" s="23"/>
      <c r="C10" s="155"/>
      <c r="F10" s="22">
        <v>868345039595988</v>
      </c>
      <c r="O10" s="12"/>
    </row>
    <row r="11" spans="1:19" hidden="1" outlineLevel="1">
      <c r="A11" s="1">
        <v>9</v>
      </c>
      <c r="B11" s="23"/>
      <c r="C11" s="155"/>
      <c r="F11" s="22">
        <v>868345039366919</v>
      </c>
      <c r="O11" s="12"/>
    </row>
    <row r="12" spans="1:19" hidden="1" outlineLevel="1">
      <c r="A12" s="1">
        <v>10</v>
      </c>
      <c r="B12" s="23"/>
      <c r="C12" s="155"/>
      <c r="F12" s="22">
        <v>868345031703499</v>
      </c>
      <c r="O12" s="12"/>
    </row>
    <row r="13" spans="1:19" hidden="1" outlineLevel="1">
      <c r="A13" s="1">
        <v>11</v>
      </c>
      <c r="B13" s="23"/>
      <c r="C13" s="155"/>
      <c r="F13" s="22">
        <v>868345039366885</v>
      </c>
      <c r="O13" s="12"/>
    </row>
    <row r="14" spans="1:19" hidden="1" outlineLevel="1">
      <c r="A14" s="1">
        <v>12</v>
      </c>
      <c r="B14" s="23"/>
      <c r="C14" s="155"/>
      <c r="F14" s="22">
        <v>868345031759772</v>
      </c>
      <c r="O14" s="12"/>
    </row>
    <row r="15" spans="1:19" hidden="1" outlineLevel="1">
      <c r="A15" s="1">
        <v>13</v>
      </c>
      <c r="B15" s="23"/>
      <c r="C15" s="155"/>
      <c r="F15" s="22">
        <v>868345031706484</v>
      </c>
      <c r="O15" s="12"/>
    </row>
    <row r="16" spans="1:19" hidden="1" outlineLevel="1">
      <c r="A16" s="1">
        <v>14</v>
      </c>
      <c r="B16" s="23"/>
      <c r="C16" s="155"/>
      <c r="F16" s="22">
        <v>868345031733256</v>
      </c>
      <c r="O16" s="12"/>
    </row>
    <row r="17" spans="1:19" hidden="1" outlineLevel="1">
      <c r="A17" s="1">
        <v>15</v>
      </c>
      <c r="B17" s="23"/>
      <c r="C17" s="155"/>
      <c r="F17" s="22">
        <v>868345031840267</v>
      </c>
      <c r="M17" s="2" t="s">
        <v>811</v>
      </c>
      <c r="O17" s="12"/>
    </row>
    <row r="18" spans="1:19" hidden="1" outlineLevel="1">
      <c r="A18" s="1">
        <v>16</v>
      </c>
      <c r="B18" s="23"/>
      <c r="C18" s="155"/>
      <c r="F18" s="22">
        <v>868345031828783</v>
      </c>
      <c r="O18" s="12"/>
    </row>
    <row r="19" spans="1:19" hidden="1" outlineLevel="1">
      <c r="A19" s="1">
        <v>17</v>
      </c>
      <c r="B19" s="23"/>
      <c r="C19" s="155"/>
      <c r="F19" s="22">
        <v>868345031686751</v>
      </c>
      <c r="O19" s="12"/>
    </row>
    <row r="20" spans="1:19" hidden="1" outlineLevel="1">
      <c r="A20" s="1">
        <v>18</v>
      </c>
      <c r="B20" s="23"/>
      <c r="C20" s="155"/>
      <c r="F20" s="22">
        <v>868345039608401</v>
      </c>
      <c r="O20" s="12"/>
    </row>
    <row r="21" spans="1:19" hidden="1" outlineLevel="1">
      <c r="A21" s="1">
        <v>19</v>
      </c>
      <c r="B21" s="23"/>
      <c r="C21" s="155"/>
      <c r="F21" s="22">
        <v>868345039608401</v>
      </c>
      <c r="O21" s="12"/>
    </row>
    <row r="22" spans="1:19" hidden="1" outlineLevel="1">
      <c r="A22" s="1">
        <v>20</v>
      </c>
      <c r="B22" s="23"/>
      <c r="C22" s="155"/>
      <c r="F22" s="22">
        <v>868345031661473</v>
      </c>
      <c r="O22" s="12"/>
    </row>
    <row r="23" spans="1:19" hidden="1" outlineLevel="1">
      <c r="A23" s="8"/>
      <c r="B23" s="115"/>
      <c r="C23" s="156"/>
      <c r="D23" s="8"/>
      <c r="E23" s="8"/>
      <c r="F23" s="9"/>
      <c r="G23" s="8"/>
      <c r="H23" s="8"/>
      <c r="I23" s="8"/>
      <c r="J23" s="58"/>
      <c r="K23" s="8"/>
      <c r="L23" s="58"/>
      <c r="M23" s="8"/>
      <c r="N23" s="8"/>
      <c r="O23" s="116"/>
      <c r="P23" s="8"/>
      <c r="Q23" s="8"/>
      <c r="R23" s="8"/>
      <c r="S23" s="8"/>
    </row>
    <row r="24" spans="1:19" hidden="1" outlineLevel="1">
      <c r="A24" s="1">
        <v>1</v>
      </c>
      <c r="B24" s="23">
        <v>43327</v>
      </c>
      <c r="C24" s="155"/>
      <c r="E24" s="1" t="s">
        <v>566</v>
      </c>
      <c r="F24" s="22">
        <v>868926035160214</v>
      </c>
      <c r="G24" s="4" t="s">
        <v>500</v>
      </c>
      <c r="I24" s="2" t="s">
        <v>522</v>
      </c>
      <c r="M24" s="2" t="s">
        <v>812</v>
      </c>
      <c r="N24" s="2" t="s">
        <v>813</v>
      </c>
      <c r="O24" s="12"/>
    </row>
    <row r="25" spans="1:19" hidden="1" outlineLevel="1">
      <c r="A25" s="1">
        <v>2</v>
      </c>
      <c r="B25" s="23"/>
      <c r="C25" s="155"/>
      <c r="F25" s="22">
        <v>868926035127874</v>
      </c>
      <c r="M25" s="2" t="s">
        <v>814</v>
      </c>
      <c r="O25" s="13"/>
    </row>
    <row r="26" spans="1:19" hidden="1" outlineLevel="1">
      <c r="A26" s="1">
        <v>3</v>
      </c>
      <c r="B26" s="23"/>
      <c r="C26" s="155"/>
      <c r="F26" s="22">
        <v>868926035265377</v>
      </c>
      <c r="M26" s="2" t="s">
        <v>815</v>
      </c>
      <c r="O26" s="12"/>
    </row>
    <row r="27" spans="1:19" hidden="1" outlineLevel="1">
      <c r="A27" s="1">
        <v>4</v>
      </c>
      <c r="B27" s="23"/>
      <c r="C27" s="155"/>
      <c r="F27" s="22">
        <v>868926035392338</v>
      </c>
      <c r="M27" s="2" t="s">
        <v>816</v>
      </c>
      <c r="O27" s="12"/>
    </row>
    <row r="28" spans="1:19" hidden="1" outlineLevel="1">
      <c r="A28" s="1">
        <v>5</v>
      </c>
      <c r="B28" s="23"/>
      <c r="C28" s="155"/>
      <c r="F28" s="22">
        <v>868926035264826</v>
      </c>
      <c r="M28" s="2" t="s">
        <v>817</v>
      </c>
      <c r="O28" s="12"/>
    </row>
    <row r="29" spans="1:19" hidden="1" outlineLevel="1">
      <c r="A29" s="1">
        <v>6</v>
      </c>
      <c r="B29" s="23"/>
      <c r="C29" s="155"/>
      <c r="F29" s="22">
        <v>868926035285177</v>
      </c>
      <c r="M29" s="2" t="s">
        <v>818</v>
      </c>
      <c r="O29" s="12"/>
    </row>
    <row r="30" spans="1:19" hidden="1" outlineLevel="1">
      <c r="A30" s="1">
        <v>7</v>
      </c>
      <c r="B30" s="23"/>
      <c r="C30" s="155"/>
      <c r="F30" s="22">
        <v>868926035235669</v>
      </c>
      <c r="M30" s="2" t="s">
        <v>819</v>
      </c>
      <c r="O30" s="12"/>
    </row>
    <row r="31" spans="1:19" hidden="1" outlineLevel="1">
      <c r="A31" s="1">
        <v>8</v>
      </c>
      <c r="B31" s="23"/>
      <c r="C31" s="155"/>
      <c r="F31" s="22">
        <v>868926035379830</v>
      </c>
      <c r="M31" s="2" t="s">
        <v>820</v>
      </c>
      <c r="O31" s="12"/>
    </row>
    <row r="32" spans="1:19" hidden="1" outlineLevel="1">
      <c r="A32" s="1">
        <v>9</v>
      </c>
      <c r="B32" s="23"/>
      <c r="C32" s="155"/>
      <c r="F32" s="22">
        <v>868926035158382</v>
      </c>
      <c r="M32" s="2" t="s">
        <v>821</v>
      </c>
      <c r="O32" s="12"/>
    </row>
    <row r="33" spans="1:26" hidden="1" outlineLevel="1">
      <c r="A33" s="1">
        <v>10</v>
      </c>
      <c r="B33" s="23"/>
      <c r="C33" s="155"/>
      <c r="F33" s="22">
        <v>868926035127932</v>
      </c>
      <c r="M33" s="2" t="s">
        <v>822</v>
      </c>
      <c r="O33" s="12"/>
    </row>
    <row r="34" spans="1:26" hidden="1" outlineLevel="1">
      <c r="A34" s="1">
        <v>11</v>
      </c>
      <c r="B34" s="23"/>
      <c r="C34" s="155"/>
      <c r="E34" s="1" t="s">
        <v>567</v>
      </c>
      <c r="F34" s="22">
        <v>865733023828080</v>
      </c>
      <c r="M34" s="2" t="s">
        <v>823</v>
      </c>
      <c r="O34" s="12"/>
    </row>
    <row r="35" spans="1:26" hidden="1" outlineLevel="1">
      <c r="A35" s="1">
        <v>12</v>
      </c>
      <c r="B35" s="23"/>
      <c r="C35" s="155"/>
      <c r="E35" s="1" t="s">
        <v>568</v>
      </c>
      <c r="F35" s="22">
        <v>869158003236474</v>
      </c>
      <c r="M35" s="2" t="s">
        <v>824</v>
      </c>
      <c r="O35" s="12"/>
    </row>
    <row r="36" spans="1:26" hidden="1" outlineLevel="1">
      <c r="A36" s="8"/>
      <c r="B36" s="115"/>
      <c r="C36" s="156"/>
      <c r="D36" s="8"/>
      <c r="E36" s="8"/>
      <c r="F36" s="9"/>
      <c r="G36" s="8"/>
      <c r="H36" s="8"/>
      <c r="I36" s="8"/>
      <c r="J36" s="58"/>
      <c r="K36" s="8"/>
      <c r="L36" s="58"/>
      <c r="M36" s="8"/>
      <c r="N36" s="8"/>
      <c r="O36" s="117"/>
      <c r="P36" s="8"/>
      <c r="Q36" s="8"/>
      <c r="R36" s="8"/>
      <c r="S36" s="8"/>
    </row>
    <row r="37" spans="1:26" hidden="1" outlineLevel="1">
      <c r="A37" s="1">
        <v>1</v>
      </c>
      <c r="B37" s="23">
        <v>43332</v>
      </c>
      <c r="C37" s="155"/>
      <c r="E37" s="1" t="s">
        <v>566</v>
      </c>
      <c r="F37" s="22">
        <v>868926035287587</v>
      </c>
      <c r="G37" s="4" t="s">
        <v>499</v>
      </c>
      <c r="I37" s="2" t="s">
        <v>523</v>
      </c>
      <c r="O37" s="12"/>
    </row>
    <row r="38" spans="1:26" hidden="1" outlineLevel="1">
      <c r="A38" s="1">
        <v>2</v>
      </c>
      <c r="B38" s="23"/>
      <c r="C38" s="155"/>
      <c r="F38" s="22">
        <v>868926035180808</v>
      </c>
      <c r="O38" s="12"/>
    </row>
    <row r="39" spans="1:26" hidden="1" outlineLevel="1">
      <c r="A39" s="1">
        <v>3</v>
      </c>
      <c r="B39" s="23"/>
      <c r="C39" s="155"/>
      <c r="F39" s="22">
        <v>868926035549747</v>
      </c>
      <c r="O39" s="12"/>
    </row>
    <row r="40" spans="1:26" hidden="1" outlineLevel="1">
      <c r="A40" s="1">
        <v>4</v>
      </c>
      <c r="B40" s="23"/>
      <c r="C40" s="155"/>
      <c r="F40" s="22">
        <v>868345039371240</v>
      </c>
      <c r="O40" s="12"/>
    </row>
    <row r="41" spans="1:26" hidden="1" outlineLevel="1">
      <c r="A41" s="1">
        <v>5</v>
      </c>
      <c r="B41" s="23"/>
      <c r="C41" s="155"/>
      <c r="F41" s="22">
        <v>868345031722366</v>
      </c>
      <c r="O41" s="14"/>
    </row>
    <row r="42" spans="1:26" hidden="1" outlineLevel="1">
      <c r="A42" s="1">
        <v>6</v>
      </c>
      <c r="B42" s="23"/>
      <c r="C42" s="155"/>
      <c r="F42" s="22">
        <v>868345031661523</v>
      </c>
      <c r="O42" s="12"/>
    </row>
    <row r="43" spans="1:26" hidden="1" outlineLevel="1">
      <c r="A43" s="1">
        <v>7</v>
      </c>
      <c r="B43" s="23"/>
      <c r="C43" s="155"/>
      <c r="F43" s="22">
        <v>868345031845696</v>
      </c>
      <c r="O43" s="12"/>
    </row>
    <row r="44" spans="1:26" hidden="1" outlineLevel="1">
      <c r="A44" s="1">
        <v>8</v>
      </c>
      <c r="B44" s="23"/>
      <c r="C44" s="155"/>
      <c r="F44" s="22">
        <v>868345031661200</v>
      </c>
      <c r="O44" s="12"/>
    </row>
    <row r="45" spans="1:26" hidden="1" outlineLevel="1">
      <c r="A45" s="1">
        <v>9</v>
      </c>
      <c r="B45" s="23"/>
      <c r="C45" s="155"/>
      <c r="F45" s="22">
        <v>868345039367503</v>
      </c>
      <c r="O45" s="12"/>
    </row>
    <row r="46" spans="1:26" hidden="1" outlineLevel="1">
      <c r="A46" s="1">
        <v>10</v>
      </c>
      <c r="B46" s="23"/>
      <c r="C46" s="155"/>
      <c r="F46" s="22">
        <v>868345031655384</v>
      </c>
      <c r="O46" s="12"/>
    </row>
    <row r="47" spans="1:26" hidden="1" outlineLevel="1">
      <c r="A47" s="1">
        <v>11</v>
      </c>
      <c r="B47" s="23"/>
      <c r="C47" s="155"/>
      <c r="F47" s="22">
        <v>868926035586269</v>
      </c>
      <c r="O47" s="12"/>
    </row>
    <row r="48" spans="1:26" hidden="1" outlineLevel="1">
      <c r="A48" s="4">
        <v>12</v>
      </c>
      <c r="B48" s="23"/>
      <c r="C48" s="155"/>
      <c r="D48" s="4"/>
      <c r="E48" s="4"/>
      <c r="F48" s="22">
        <v>868926035281127</v>
      </c>
      <c r="H48" s="4"/>
      <c r="J48" s="24"/>
      <c r="O48" s="114"/>
      <c r="P48" s="4"/>
      <c r="Q48" s="4"/>
      <c r="R48" s="4"/>
      <c r="S48" s="4"/>
      <c r="T48" s="68"/>
      <c r="U48" s="68"/>
      <c r="V48" s="68"/>
      <c r="W48" s="68"/>
      <c r="X48" s="68"/>
      <c r="Y48" s="68"/>
      <c r="Z48" s="68"/>
    </row>
    <row r="49" spans="1:26" hidden="1" outlineLevel="1">
      <c r="A49" s="1">
        <v>13</v>
      </c>
      <c r="B49" s="23"/>
      <c r="C49" s="155"/>
      <c r="F49" s="22">
        <v>868926035288395</v>
      </c>
      <c r="O49" s="12"/>
    </row>
    <row r="50" spans="1:26" hidden="1" outlineLevel="1">
      <c r="A50" s="4">
        <v>14</v>
      </c>
      <c r="B50" s="23"/>
      <c r="C50" s="155"/>
      <c r="D50" s="4"/>
      <c r="E50" s="4"/>
      <c r="F50" s="22">
        <v>868926035857793</v>
      </c>
      <c r="H50" s="4"/>
      <c r="J50" s="24"/>
      <c r="O50" s="114"/>
      <c r="P50" s="4"/>
      <c r="Q50" s="4"/>
      <c r="R50" s="4"/>
      <c r="S50" s="4"/>
      <c r="T50" s="68"/>
      <c r="U50" s="68"/>
      <c r="V50" s="68"/>
      <c r="W50" s="68"/>
      <c r="X50" s="68"/>
      <c r="Y50" s="68"/>
      <c r="Z50" s="68"/>
    </row>
    <row r="51" spans="1:26" hidden="1" outlineLevel="1">
      <c r="A51" s="1">
        <v>15</v>
      </c>
      <c r="B51" s="23"/>
      <c r="C51" s="155"/>
      <c r="F51" s="22">
        <v>868926035304168</v>
      </c>
      <c r="O51" s="16"/>
    </row>
    <row r="52" spans="1:26" hidden="1" outlineLevel="1">
      <c r="A52" s="1">
        <v>16</v>
      </c>
      <c r="B52" s="23"/>
      <c r="C52" s="155"/>
      <c r="F52" s="22">
        <v>868345031666761</v>
      </c>
      <c r="O52" s="17"/>
    </row>
    <row r="53" spans="1:26" hidden="1" outlineLevel="1">
      <c r="A53" s="1">
        <v>17</v>
      </c>
      <c r="B53" s="23"/>
      <c r="C53" s="155"/>
      <c r="F53" s="22">
        <v>868926035236394</v>
      </c>
      <c r="O53" s="17"/>
    </row>
    <row r="54" spans="1:26" hidden="1" outlineLevel="1">
      <c r="A54" s="1">
        <v>18</v>
      </c>
      <c r="B54" s="23"/>
      <c r="C54" s="155"/>
      <c r="F54" s="22">
        <v>868926035557450</v>
      </c>
      <c r="O54" s="17"/>
    </row>
    <row r="55" spans="1:26" hidden="1" outlineLevel="1">
      <c r="A55" s="1">
        <v>19</v>
      </c>
      <c r="B55" s="23"/>
      <c r="C55" s="155"/>
      <c r="F55" s="22">
        <v>868926035310975</v>
      </c>
      <c r="O55" s="17"/>
    </row>
    <row r="56" spans="1:26" hidden="1" outlineLevel="1">
      <c r="A56" s="1">
        <v>20</v>
      </c>
      <c r="B56" s="23"/>
      <c r="C56" s="155"/>
      <c r="F56" s="22">
        <v>868345039370796</v>
      </c>
      <c r="O56" s="17"/>
    </row>
    <row r="57" spans="1:26" hidden="1" outlineLevel="1">
      <c r="A57" s="1">
        <v>21</v>
      </c>
      <c r="B57" s="23"/>
      <c r="C57" s="155"/>
      <c r="F57" s="22">
        <v>868926035152955</v>
      </c>
      <c r="O57" s="17"/>
    </row>
    <row r="58" spans="1:26" hidden="1" outlineLevel="1">
      <c r="A58" s="1">
        <v>22</v>
      </c>
      <c r="B58" s="23"/>
      <c r="C58" s="155"/>
      <c r="F58" s="22">
        <v>868345031759715</v>
      </c>
      <c r="O58" s="17"/>
    </row>
    <row r="59" spans="1:26" hidden="1" outlineLevel="1">
      <c r="A59" s="1">
        <v>23</v>
      </c>
      <c r="B59" s="23"/>
      <c r="C59" s="155"/>
      <c r="F59" s="22">
        <v>868926035133849</v>
      </c>
      <c r="O59" s="17"/>
    </row>
    <row r="60" spans="1:26" hidden="1" outlineLevel="1">
      <c r="A60" s="1">
        <v>24</v>
      </c>
      <c r="B60" s="23"/>
      <c r="C60" s="155"/>
      <c r="F60" s="22">
        <v>868926035125357</v>
      </c>
      <c r="O60" s="17"/>
    </row>
    <row r="61" spans="1:26" hidden="1" outlineLevel="1">
      <c r="A61" s="1">
        <v>25</v>
      </c>
      <c r="B61" s="23"/>
      <c r="C61" s="155"/>
      <c r="F61" s="22">
        <v>868345031682438</v>
      </c>
      <c r="O61" s="17"/>
    </row>
    <row r="62" spans="1:26" hidden="1" outlineLevel="1">
      <c r="A62" s="1">
        <v>26</v>
      </c>
      <c r="B62" s="23"/>
      <c r="C62" s="155"/>
      <c r="F62" s="22">
        <v>868345031649775</v>
      </c>
      <c r="O62" s="17"/>
    </row>
    <row r="63" spans="1:26" hidden="1" outlineLevel="1">
      <c r="A63" s="1">
        <v>27</v>
      </c>
      <c r="B63" s="23"/>
      <c r="C63" s="155"/>
      <c r="F63" s="22">
        <v>868926035122065</v>
      </c>
      <c r="O63" s="17"/>
    </row>
    <row r="64" spans="1:26" hidden="1" outlineLevel="1">
      <c r="A64" s="1">
        <v>28</v>
      </c>
      <c r="B64" s="23"/>
      <c r="C64" s="155"/>
      <c r="F64" s="22">
        <v>868926035709903</v>
      </c>
      <c r="O64" s="17"/>
    </row>
    <row r="65" spans="1:26" hidden="1" outlineLevel="1">
      <c r="A65" s="1">
        <v>29</v>
      </c>
      <c r="B65" s="23"/>
      <c r="C65" s="155"/>
      <c r="F65" s="22">
        <v>868926035801585</v>
      </c>
      <c r="O65" s="17"/>
    </row>
    <row r="66" spans="1:26" hidden="1" outlineLevel="1">
      <c r="A66" s="1">
        <v>30</v>
      </c>
      <c r="B66" s="23"/>
      <c r="C66" s="155"/>
      <c r="F66" s="22">
        <v>868926035287595</v>
      </c>
      <c r="O66" s="17"/>
    </row>
    <row r="67" spans="1:26" hidden="1" outlineLevel="1">
      <c r="A67" s="8"/>
      <c r="B67" s="115"/>
      <c r="C67" s="156"/>
      <c r="D67" s="8"/>
      <c r="E67" s="8"/>
      <c r="F67" s="9"/>
      <c r="G67" s="8"/>
      <c r="H67" s="8"/>
      <c r="I67" s="8"/>
      <c r="J67" s="58"/>
      <c r="K67" s="8"/>
      <c r="L67" s="58"/>
      <c r="M67" s="8"/>
      <c r="N67" s="8"/>
      <c r="O67" s="118"/>
      <c r="P67" s="8"/>
      <c r="Q67" s="8"/>
      <c r="R67" s="8"/>
      <c r="S67" s="8"/>
    </row>
    <row r="68" spans="1:26" hidden="1" outlineLevel="1">
      <c r="A68" s="1">
        <v>1</v>
      </c>
      <c r="B68" s="23">
        <v>43343</v>
      </c>
      <c r="C68" s="155"/>
      <c r="E68" s="1" t="s">
        <v>566</v>
      </c>
      <c r="F68" s="22">
        <v>868926035128666</v>
      </c>
      <c r="G68" s="4" t="s">
        <v>499</v>
      </c>
      <c r="I68" s="2" t="s">
        <v>524</v>
      </c>
      <c r="O68" s="17"/>
    </row>
    <row r="69" spans="1:26" hidden="1" outlineLevel="1">
      <c r="A69" s="1">
        <v>2</v>
      </c>
      <c r="B69" s="23"/>
      <c r="C69" s="155"/>
      <c r="F69" s="22">
        <v>868926035128674</v>
      </c>
      <c r="O69" s="17"/>
    </row>
    <row r="70" spans="1:26" hidden="1" outlineLevel="1">
      <c r="A70" s="1">
        <v>3</v>
      </c>
      <c r="B70" s="23"/>
      <c r="C70" s="155"/>
      <c r="F70" s="22">
        <v>868926035317384</v>
      </c>
      <c r="O70" s="17"/>
    </row>
    <row r="71" spans="1:26" hidden="1" outlineLevel="1">
      <c r="A71" s="4">
        <v>4</v>
      </c>
      <c r="B71" s="23"/>
      <c r="C71" s="155"/>
      <c r="D71" s="4"/>
      <c r="E71" s="4"/>
      <c r="F71" s="22">
        <v>868926035357182</v>
      </c>
      <c r="H71" s="4"/>
      <c r="J71" s="24"/>
      <c r="O71" s="114"/>
      <c r="P71" s="4"/>
      <c r="Q71" s="4"/>
      <c r="R71" s="4"/>
      <c r="S71" s="4"/>
      <c r="T71" s="68"/>
      <c r="U71" s="68"/>
      <c r="V71" s="68"/>
      <c r="W71" s="68"/>
      <c r="X71" s="68"/>
      <c r="Y71" s="68"/>
      <c r="Z71" s="68"/>
    </row>
    <row r="72" spans="1:26" hidden="1" outlineLevel="1">
      <c r="A72" s="1">
        <v>5</v>
      </c>
      <c r="B72" s="23"/>
      <c r="C72" s="155"/>
      <c r="F72" s="22">
        <v>868926035859013</v>
      </c>
      <c r="O72" s="12"/>
    </row>
    <row r="73" spans="1:26" hidden="1" outlineLevel="1">
      <c r="A73" s="1">
        <v>6</v>
      </c>
      <c r="B73" s="23"/>
      <c r="C73" s="155"/>
      <c r="F73" s="22">
        <v>868926035836516</v>
      </c>
      <c r="O73" s="16"/>
    </row>
    <row r="74" spans="1:26" hidden="1" outlineLevel="1">
      <c r="A74" s="1">
        <v>7</v>
      </c>
      <c r="B74" s="23"/>
      <c r="C74" s="155"/>
      <c r="F74" s="22">
        <v>868926035586756</v>
      </c>
      <c r="O74" s="17"/>
    </row>
    <row r="75" spans="1:26" hidden="1" outlineLevel="1">
      <c r="A75" s="1">
        <v>8</v>
      </c>
      <c r="B75" s="23"/>
      <c r="C75" s="155"/>
      <c r="F75" s="22">
        <v>868926035265617</v>
      </c>
      <c r="O75" s="12"/>
    </row>
    <row r="76" spans="1:26" hidden="1" outlineLevel="1">
      <c r="A76" s="1">
        <v>9</v>
      </c>
      <c r="B76" s="23"/>
      <c r="C76" s="155"/>
      <c r="F76" s="22">
        <v>868926035808846</v>
      </c>
      <c r="O76" s="12"/>
    </row>
    <row r="77" spans="1:26" hidden="1" outlineLevel="1">
      <c r="A77" s="1">
        <v>10</v>
      </c>
      <c r="B77" s="23"/>
      <c r="C77" s="155"/>
      <c r="F77" s="22">
        <v>868926035318119</v>
      </c>
      <c r="O77" s="12"/>
    </row>
    <row r="78" spans="1:26" hidden="1" outlineLevel="1">
      <c r="A78" s="4">
        <v>11</v>
      </c>
      <c r="B78" s="23"/>
      <c r="C78" s="155"/>
      <c r="D78" s="4"/>
      <c r="E78" s="4"/>
      <c r="F78" s="22">
        <v>868926035586749</v>
      </c>
      <c r="H78" s="4"/>
      <c r="J78" s="24"/>
      <c r="O78" s="114"/>
      <c r="P78" s="4"/>
      <c r="Q78" s="4"/>
      <c r="R78" s="4"/>
      <c r="S78" s="4"/>
      <c r="T78" s="68"/>
      <c r="U78" s="68"/>
      <c r="V78" s="68"/>
      <c r="W78" s="68"/>
      <c r="X78" s="68"/>
      <c r="Y78" s="68"/>
      <c r="Z78" s="68"/>
    </row>
    <row r="79" spans="1:26" hidden="1" outlineLevel="1">
      <c r="A79" s="1">
        <v>12</v>
      </c>
      <c r="B79" s="23"/>
      <c r="C79" s="155"/>
      <c r="F79" s="22">
        <v>868926035209144</v>
      </c>
      <c r="O79" s="12"/>
    </row>
    <row r="80" spans="1:26" hidden="1" outlineLevel="1">
      <c r="A80" s="1">
        <v>13</v>
      </c>
      <c r="B80" s="23"/>
      <c r="C80" s="155"/>
      <c r="F80" s="22">
        <v>868926035285532</v>
      </c>
      <c r="O80" s="12"/>
    </row>
    <row r="81" spans="1:19" hidden="1" outlineLevel="1">
      <c r="A81" s="1">
        <v>14</v>
      </c>
      <c r="B81" s="23"/>
      <c r="C81" s="155"/>
      <c r="F81" s="22">
        <v>868926035780201</v>
      </c>
      <c r="O81" s="12"/>
    </row>
    <row r="82" spans="1:19" hidden="1" outlineLevel="1">
      <c r="A82" s="1">
        <v>15</v>
      </c>
      <c r="B82" s="23"/>
      <c r="C82" s="155"/>
      <c r="F82" s="22">
        <v>868926035284469</v>
      </c>
      <c r="O82" s="12"/>
    </row>
    <row r="83" spans="1:19" hidden="1" outlineLevel="1">
      <c r="A83" s="1">
        <v>16</v>
      </c>
      <c r="B83" s="23"/>
      <c r="C83" s="155"/>
      <c r="F83" s="22">
        <v>868926035357505</v>
      </c>
      <c r="O83" s="16"/>
    </row>
    <row r="84" spans="1:19" hidden="1" outlineLevel="1">
      <c r="A84" s="1">
        <v>17</v>
      </c>
      <c r="B84" s="23"/>
      <c r="C84" s="155"/>
      <c r="F84" s="22">
        <v>868926035320263</v>
      </c>
      <c r="O84" s="17"/>
    </row>
    <row r="85" spans="1:19" hidden="1" outlineLevel="1">
      <c r="A85" s="1">
        <v>18</v>
      </c>
      <c r="B85" s="23"/>
      <c r="C85" s="155"/>
      <c r="F85" s="22">
        <v>868926035316667</v>
      </c>
      <c r="O85" s="12"/>
    </row>
    <row r="86" spans="1:19" hidden="1" outlineLevel="1">
      <c r="A86" s="1">
        <v>19</v>
      </c>
      <c r="B86" s="23"/>
      <c r="C86" s="155"/>
      <c r="F86" s="22">
        <v>868926035342879</v>
      </c>
      <c r="O86" s="12"/>
    </row>
    <row r="87" spans="1:19" hidden="1" outlineLevel="1">
      <c r="A87" s="1">
        <v>20</v>
      </c>
      <c r="B87" s="23"/>
      <c r="C87" s="155"/>
      <c r="F87" s="22">
        <v>868926035127999</v>
      </c>
      <c r="O87" s="12"/>
    </row>
    <row r="88" spans="1:19" hidden="1" outlineLevel="1">
      <c r="A88" s="8"/>
      <c r="B88" s="115"/>
      <c r="C88" s="156"/>
      <c r="D88" s="8"/>
      <c r="E88" s="8"/>
      <c r="F88" s="9"/>
      <c r="G88" s="8"/>
      <c r="H88" s="8"/>
      <c r="I88" s="8"/>
      <c r="J88" s="58"/>
      <c r="K88" s="8"/>
      <c r="L88" s="58"/>
      <c r="M88" s="8"/>
      <c r="N88" s="8"/>
      <c r="O88" s="117"/>
      <c r="P88" s="8"/>
      <c r="Q88" s="8"/>
      <c r="R88" s="8"/>
      <c r="S88" s="8"/>
    </row>
    <row r="89" spans="1:19" hidden="1" outlineLevel="1">
      <c r="A89" s="1">
        <v>1</v>
      </c>
      <c r="B89" s="23">
        <v>43360</v>
      </c>
      <c r="C89" s="155"/>
      <c r="E89" s="1" t="s">
        <v>566</v>
      </c>
      <c r="F89" s="22">
        <v>868926035351813</v>
      </c>
      <c r="G89" s="4" t="s">
        <v>499</v>
      </c>
      <c r="I89" s="2" t="s">
        <v>525</v>
      </c>
      <c r="O89" s="12"/>
    </row>
    <row r="90" spans="1:19" hidden="1" outlineLevel="1">
      <c r="A90" s="1">
        <v>2</v>
      </c>
      <c r="B90" s="23"/>
      <c r="C90" s="155"/>
      <c r="F90" s="22">
        <v>868926035315131</v>
      </c>
      <c r="O90" s="12"/>
    </row>
    <row r="91" spans="1:19" hidden="1" outlineLevel="1">
      <c r="A91" s="1">
        <v>3</v>
      </c>
      <c r="B91" s="23"/>
      <c r="C91" s="155"/>
      <c r="F91" s="22">
        <v>868926035129466</v>
      </c>
      <c r="O91" s="12"/>
    </row>
    <row r="92" spans="1:19" hidden="1" outlineLevel="1">
      <c r="A92" s="1">
        <v>4</v>
      </c>
      <c r="B92" s="23"/>
      <c r="C92" s="155"/>
      <c r="F92" s="22">
        <v>868926035352241</v>
      </c>
      <c r="O92" s="12"/>
    </row>
    <row r="93" spans="1:19" hidden="1" outlineLevel="1">
      <c r="A93" s="1">
        <v>5</v>
      </c>
      <c r="B93" s="23"/>
      <c r="C93" s="155"/>
      <c r="F93" s="22">
        <v>868926035797601</v>
      </c>
      <c r="O93" s="12"/>
    </row>
    <row r="94" spans="1:19" hidden="1" outlineLevel="1">
      <c r="A94" s="1">
        <v>6</v>
      </c>
      <c r="B94" s="23"/>
      <c r="C94" s="155"/>
      <c r="F94" s="22">
        <v>868926035797510</v>
      </c>
      <c r="O94" s="16"/>
    </row>
    <row r="95" spans="1:19" hidden="1" outlineLevel="1">
      <c r="A95" s="1">
        <v>7</v>
      </c>
      <c r="B95" s="23"/>
      <c r="C95" s="155"/>
      <c r="F95" s="22">
        <v>868926035552022</v>
      </c>
      <c r="O95" s="12"/>
    </row>
    <row r="96" spans="1:19" hidden="1" outlineLevel="1">
      <c r="A96" s="1">
        <v>8</v>
      </c>
      <c r="B96" s="23"/>
      <c r="C96" s="155"/>
      <c r="F96" s="22">
        <v>868926035434791</v>
      </c>
      <c r="O96" s="12"/>
    </row>
    <row r="97" spans="1:19" hidden="1" outlineLevel="1">
      <c r="A97" s="1">
        <v>9</v>
      </c>
      <c r="B97" s="23"/>
      <c r="C97" s="155"/>
      <c r="F97" s="22">
        <v>868926035884540</v>
      </c>
      <c r="O97" s="12"/>
    </row>
    <row r="98" spans="1:19" hidden="1" outlineLevel="1">
      <c r="A98" s="1">
        <v>10</v>
      </c>
      <c r="B98" s="23"/>
      <c r="C98" s="155"/>
      <c r="F98" s="22">
        <v>868926035404257</v>
      </c>
      <c r="O98" s="12"/>
    </row>
    <row r="99" spans="1:19" hidden="1" outlineLevel="1">
      <c r="A99" s="8"/>
      <c r="B99" s="10"/>
      <c r="C99" s="157"/>
      <c r="D99" s="8"/>
      <c r="E99" s="8"/>
      <c r="F99" s="9"/>
      <c r="G99" s="8"/>
      <c r="H99" s="8"/>
      <c r="I99" s="8"/>
      <c r="J99" s="58"/>
      <c r="K99" s="8"/>
      <c r="L99" s="58"/>
      <c r="M99" s="8"/>
      <c r="N99" s="8"/>
      <c r="O99" s="15"/>
      <c r="P99" s="8"/>
      <c r="Q99" s="8"/>
      <c r="R99" s="8"/>
      <c r="S99" s="8"/>
    </row>
    <row r="100" spans="1:19" hidden="1" outlineLevel="1">
      <c r="A100" s="1">
        <v>1</v>
      </c>
      <c r="B100" s="23">
        <v>43375</v>
      </c>
      <c r="C100" s="155"/>
      <c r="D100" s="1" t="s">
        <v>312</v>
      </c>
      <c r="E100" s="1" t="s">
        <v>569</v>
      </c>
      <c r="F100" s="22">
        <v>868183036117393</v>
      </c>
      <c r="G100" s="4" t="s">
        <v>499</v>
      </c>
      <c r="I100" s="2" t="s">
        <v>525</v>
      </c>
      <c r="O100" s="16"/>
    </row>
    <row r="101" spans="1:19" hidden="1" outlineLevel="1">
      <c r="A101" s="1">
        <v>2</v>
      </c>
      <c r="B101" s="23"/>
      <c r="C101" s="155"/>
      <c r="F101" s="22">
        <v>868183036113921</v>
      </c>
      <c r="M101" s="2">
        <v>79020077246</v>
      </c>
      <c r="N101" s="2" t="s">
        <v>825</v>
      </c>
      <c r="O101" s="12"/>
    </row>
    <row r="102" spans="1:19" hidden="1" outlineLevel="1">
      <c r="A102" s="1">
        <v>3</v>
      </c>
      <c r="B102" s="23"/>
      <c r="C102" s="155"/>
      <c r="F102" s="22">
        <v>868183036115033</v>
      </c>
      <c r="M102" s="2">
        <v>79020083231</v>
      </c>
      <c r="O102" s="12"/>
    </row>
    <row r="103" spans="1:19" hidden="1" outlineLevel="1">
      <c r="A103" s="1">
        <v>4</v>
      </c>
      <c r="B103" s="23"/>
      <c r="C103" s="155"/>
      <c r="F103" s="22">
        <v>868183036000060</v>
      </c>
      <c r="M103" s="2">
        <v>79020084640</v>
      </c>
      <c r="O103" s="12"/>
    </row>
    <row r="104" spans="1:19" hidden="1" outlineLevel="1">
      <c r="A104" s="1">
        <v>5</v>
      </c>
      <c r="B104" s="23"/>
      <c r="C104" s="155"/>
      <c r="F104" s="22">
        <v>868183036117252</v>
      </c>
      <c r="M104" s="2">
        <v>79020085478</v>
      </c>
      <c r="O104" s="12"/>
    </row>
    <row r="105" spans="1:19" hidden="1" outlineLevel="1">
      <c r="A105" s="1">
        <v>6</v>
      </c>
      <c r="B105" s="23"/>
      <c r="C105" s="155"/>
      <c r="F105" s="22">
        <v>868183036084239</v>
      </c>
      <c r="M105" s="2">
        <v>79020077290</v>
      </c>
      <c r="O105" s="12"/>
    </row>
    <row r="106" spans="1:19" hidden="1" outlineLevel="1">
      <c r="A106" s="1">
        <v>7</v>
      </c>
      <c r="B106" s="23"/>
      <c r="C106" s="155"/>
      <c r="F106" s="22">
        <v>868183036102130</v>
      </c>
      <c r="O106" s="12"/>
    </row>
    <row r="107" spans="1:19" hidden="1" outlineLevel="1">
      <c r="A107" s="1">
        <v>8</v>
      </c>
      <c r="B107" s="23"/>
      <c r="C107" s="155"/>
      <c r="F107" s="22">
        <v>868183036116924</v>
      </c>
      <c r="M107" s="2" t="s">
        <v>565</v>
      </c>
      <c r="N107" s="2" t="s">
        <v>826</v>
      </c>
      <c r="O107" s="12"/>
    </row>
    <row r="108" spans="1:19" hidden="1" outlineLevel="1">
      <c r="A108" s="1">
        <v>9</v>
      </c>
      <c r="B108" s="23"/>
      <c r="C108" s="155"/>
      <c r="F108" s="22">
        <v>868183036099120</v>
      </c>
      <c r="M108" s="2" t="s">
        <v>827</v>
      </c>
      <c r="N108" s="2" t="s">
        <v>828</v>
      </c>
      <c r="O108" s="12"/>
    </row>
    <row r="109" spans="1:19" hidden="1" outlineLevel="1">
      <c r="A109" s="1">
        <v>10</v>
      </c>
      <c r="B109" s="23"/>
      <c r="C109" s="155"/>
      <c r="F109" s="22">
        <v>868183036116510</v>
      </c>
      <c r="M109" s="2" t="s">
        <v>565</v>
      </c>
      <c r="N109" s="2" t="s">
        <v>829</v>
      </c>
      <c r="O109" s="12"/>
    </row>
    <row r="110" spans="1:19" hidden="1" outlineLevel="1">
      <c r="A110" s="8"/>
      <c r="B110" s="115"/>
      <c r="C110" s="156"/>
      <c r="D110" s="8"/>
      <c r="E110" s="8"/>
      <c r="F110" s="9"/>
      <c r="G110" s="8"/>
      <c r="H110" s="8"/>
      <c r="I110" s="8"/>
      <c r="J110" s="58"/>
      <c r="K110" s="8"/>
      <c r="L110" s="58"/>
      <c r="M110" s="8"/>
      <c r="N110" s="8"/>
      <c r="O110" s="117"/>
      <c r="P110" s="8"/>
      <c r="Q110" s="8"/>
      <c r="R110" s="8"/>
      <c r="S110" s="8"/>
    </row>
    <row r="111" spans="1:19" hidden="1" outlineLevel="1">
      <c r="A111" s="1">
        <v>1</v>
      </c>
      <c r="B111" s="23">
        <v>43375</v>
      </c>
      <c r="C111" s="155"/>
      <c r="E111" s="1" t="s">
        <v>566</v>
      </c>
      <c r="F111" s="22">
        <v>868926035208724</v>
      </c>
      <c r="G111" s="4" t="s">
        <v>499</v>
      </c>
      <c r="I111" s="2" t="s">
        <v>525</v>
      </c>
      <c r="O111" s="12"/>
    </row>
    <row r="112" spans="1:19" hidden="1" outlineLevel="1">
      <c r="A112" s="1">
        <v>2</v>
      </c>
      <c r="B112" s="23"/>
      <c r="C112" s="155"/>
      <c r="F112" s="22">
        <v>868926035150116</v>
      </c>
      <c r="O112" s="12"/>
    </row>
    <row r="113" spans="1:26" hidden="1" outlineLevel="1">
      <c r="A113" s="1">
        <v>3</v>
      </c>
      <c r="B113" s="23"/>
      <c r="C113" s="155"/>
      <c r="F113" s="22">
        <v>868926035189577</v>
      </c>
      <c r="O113" s="12"/>
    </row>
    <row r="114" spans="1:26" hidden="1" outlineLevel="1">
      <c r="A114" s="1">
        <v>4</v>
      </c>
      <c r="B114" s="23"/>
      <c r="C114" s="155"/>
      <c r="F114" s="22">
        <v>868926035209540</v>
      </c>
      <c r="O114" s="12"/>
    </row>
    <row r="115" spans="1:26" hidden="1" outlineLevel="1">
      <c r="A115" s="1">
        <v>5</v>
      </c>
      <c r="B115" s="23"/>
      <c r="C115" s="155"/>
      <c r="F115" s="22">
        <v>868926035864864</v>
      </c>
      <c r="O115" s="12"/>
    </row>
    <row r="116" spans="1:26" hidden="1" outlineLevel="1">
      <c r="A116" s="1">
        <v>6</v>
      </c>
      <c r="B116" s="23"/>
      <c r="C116" s="155"/>
      <c r="F116" s="22">
        <v>868926035516605</v>
      </c>
      <c r="O116" s="12"/>
    </row>
    <row r="117" spans="1:26" hidden="1" outlineLevel="1">
      <c r="A117" s="1">
        <v>7</v>
      </c>
      <c r="B117" s="23"/>
      <c r="C117" s="155"/>
      <c r="F117" s="22">
        <v>868926035817409</v>
      </c>
      <c r="O117" s="12"/>
    </row>
    <row r="118" spans="1:26" hidden="1" outlineLevel="1">
      <c r="A118" s="1">
        <v>8</v>
      </c>
      <c r="B118" s="23"/>
      <c r="C118" s="155"/>
      <c r="F118" s="22">
        <v>868926035322236</v>
      </c>
      <c r="O118" s="12"/>
    </row>
    <row r="119" spans="1:26" hidden="1" outlineLevel="1">
      <c r="A119" s="1">
        <v>9</v>
      </c>
      <c r="B119" s="23"/>
      <c r="C119" s="155"/>
      <c r="F119" s="22">
        <v>868926035323291</v>
      </c>
      <c r="M119" s="2">
        <v>79020081317</v>
      </c>
      <c r="N119" s="2" t="s">
        <v>830</v>
      </c>
      <c r="O119" s="12"/>
    </row>
    <row r="120" spans="1:26" hidden="1" outlineLevel="1">
      <c r="A120" s="4">
        <v>10</v>
      </c>
      <c r="B120" s="23"/>
      <c r="C120" s="155"/>
      <c r="D120" s="4"/>
      <c r="E120" s="4"/>
      <c r="F120" s="22">
        <v>868926035403523</v>
      </c>
      <c r="H120" s="4"/>
      <c r="J120" s="24"/>
      <c r="O120" s="114"/>
      <c r="P120" s="4"/>
      <c r="Q120" s="4"/>
      <c r="R120" s="4"/>
      <c r="S120" s="4"/>
      <c r="T120" s="68"/>
      <c r="U120" s="68"/>
      <c r="V120" s="68"/>
      <c r="W120" s="68"/>
      <c r="X120" s="68"/>
      <c r="Y120" s="68"/>
      <c r="Z120" s="68"/>
    </row>
    <row r="121" spans="1:26" hidden="1" outlineLevel="1">
      <c r="A121" s="8"/>
      <c r="B121" s="115"/>
      <c r="C121" s="156"/>
      <c r="D121" s="8"/>
      <c r="E121" s="8"/>
      <c r="F121" s="9"/>
      <c r="G121" s="8"/>
      <c r="H121" s="8"/>
      <c r="I121" s="8"/>
      <c r="J121" s="58"/>
      <c r="K121" s="8"/>
      <c r="L121" s="58"/>
      <c r="M121" s="8"/>
      <c r="N121" s="8"/>
      <c r="O121" s="117"/>
      <c r="P121" s="8"/>
      <c r="Q121" s="8"/>
      <c r="R121" s="8"/>
      <c r="S121" s="8"/>
    </row>
    <row r="122" spans="1:26" hidden="1" outlineLevel="1">
      <c r="A122" s="1">
        <v>1</v>
      </c>
      <c r="B122" s="24">
        <v>43382</v>
      </c>
      <c r="C122" s="158"/>
      <c r="E122" s="1" t="s">
        <v>569</v>
      </c>
      <c r="F122" s="22">
        <v>868183036111545</v>
      </c>
      <c r="G122" s="4" t="s">
        <v>499</v>
      </c>
      <c r="I122" s="2" t="s">
        <v>526</v>
      </c>
      <c r="O122" s="12"/>
    </row>
    <row r="123" spans="1:26" hidden="1" outlineLevel="1">
      <c r="A123" s="1">
        <v>2</v>
      </c>
      <c r="B123" s="24"/>
      <c r="C123" s="158"/>
      <c r="F123" s="22">
        <v>868183036114739</v>
      </c>
      <c r="O123" s="12"/>
    </row>
    <row r="124" spans="1:26" hidden="1" outlineLevel="1">
      <c r="A124" s="1">
        <v>3</v>
      </c>
      <c r="B124" s="24"/>
      <c r="C124" s="158"/>
      <c r="F124" s="22">
        <v>868183036113897</v>
      </c>
      <c r="O124" s="12"/>
    </row>
    <row r="125" spans="1:26" hidden="1" outlineLevel="1">
      <c r="A125" s="1">
        <v>4</v>
      </c>
      <c r="B125" s="24"/>
      <c r="C125" s="158"/>
      <c r="F125" s="22">
        <v>868183036117435</v>
      </c>
      <c r="O125" s="12"/>
    </row>
    <row r="126" spans="1:26" hidden="1" outlineLevel="1">
      <c r="A126" s="1">
        <v>5</v>
      </c>
      <c r="B126" s="24"/>
      <c r="C126" s="158"/>
      <c r="F126" s="22">
        <v>868183036116882</v>
      </c>
      <c r="O126" s="12"/>
    </row>
    <row r="127" spans="1:26" hidden="1" outlineLevel="1">
      <c r="A127" s="1">
        <v>6</v>
      </c>
      <c r="B127" s="24"/>
      <c r="C127" s="158"/>
      <c r="F127" s="22">
        <v>868183036117302</v>
      </c>
      <c r="O127" s="12"/>
    </row>
    <row r="128" spans="1:26" hidden="1" outlineLevel="1">
      <c r="A128" s="1">
        <v>7</v>
      </c>
      <c r="B128" s="24"/>
      <c r="C128" s="158"/>
      <c r="F128" s="22">
        <v>868183036085673</v>
      </c>
      <c r="O128" s="12"/>
    </row>
    <row r="129" spans="1:19" hidden="1" outlineLevel="1">
      <c r="A129" s="1">
        <v>8</v>
      </c>
      <c r="B129" s="24"/>
      <c r="C129" s="158"/>
      <c r="F129" s="22">
        <v>868183036116833</v>
      </c>
      <c r="O129" s="12"/>
    </row>
    <row r="130" spans="1:19" hidden="1" outlineLevel="1">
      <c r="A130" s="1">
        <v>9</v>
      </c>
      <c r="B130" s="24"/>
      <c r="C130" s="158"/>
      <c r="F130" s="22">
        <v>868183034058136</v>
      </c>
      <c r="M130" s="2">
        <v>868183036005218</v>
      </c>
      <c r="O130" s="12"/>
    </row>
    <row r="131" spans="1:19" hidden="1" outlineLevel="1">
      <c r="A131" s="1">
        <v>10</v>
      </c>
      <c r="B131" s="24"/>
      <c r="C131" s="158"/>
      <c r="F131" s="22">
        <v>868183036114788</v>
      </c>
      <c r="O131" s="12"/>
    </row>
    <row r="132" spans="1:19" hidden="1" outlineLevel="1">
      <c r="A132" s="1">
        <v>11</v>
      </c>
      <c r="B132" s="24"/>
      <c r="C132" s="158"/>
      <c r="F132" s="22">
        <v>868183036000185</v>
      </c>
      <c r="O132" s="12"/>
    </row>
    <row r="133" spans="1:19" hidden="1" outlineLevel="1">
      <c r="A133" s="1">
        <v>12</v>
      </c>
      <c r="B133" s="24"/>
      <c r="C133" s="158"/>
      <c r="F133" s="22">
        <v>868183036005291</v>
      </c>
      <c r="O133" s="12"/>
    </row>
    <row r="134" spans="1:19" hidden="1" outlineLevel="1">
      <c r="A134" s="1">
        <v>13</v>
      </c>
      <c r="B134" s="24"/>
      <c r="C134" s="158"/>
      <c r="F134" s="22">
        <v>868183036084247</v>
      </c>
      <c r="O134" s="12"/>
    </row>
    <row r="135" spans="1:19" hidden="1" outlineLevel="1">
      <c r="A135" s="1">
        <v>14</v>
      </c>
      <c r="B135" s="24"/>
      <c r="C135" s="158"/>
      <c r="F135" s="22">
        <v>868183036084296</v>
      </c>
      <c r="O135" s="12"/>
    </row>
    <row r="136" spans="1:19" hidden="1" outlineLevel="1">
      <c r="A136" s="1">
        <v>15</v>
      </c>
      <c r="B136" s="24"/>
      <c r="C136" s="158"/>
      <c r="F136" s="22">
        <v>868183036114911</v>
      </c>
      <c r="O136" s="12"/>
    </row>
    <row r="137" spans="1:19" hidden="1" outlineLevel="1">
      <c r="A137" s="8"/>
      <c r="B137" s="58"/>
      <c r="C137" s="159"/>
      <c r="D137" s="8"/>
      <c r="E137" s="8"/>
      <c r="F137" s="9"/>
      <c r="G137" s="8"/>
      <c r="H137" s="8"/>
      <c r="I137" s="8"/>
      <c r="J137" s="58"/>
      <c r="K137" s="8"/>
      <c r="L137" s="58"/>
      <c r="M137" s="8"/>
      <c r="N137" s="8"/>
      <c r="O137" s="117"/>
      <c r="P137" s="8"/>
      <c r="Q137" s="8"/>
      <c r="R137" s="8"/>
      <c r="S137" s="8"/>
    </row>
    <row r="138" spans="1:19" hidden="1" outlineLevel="1">
      <c r="A138" s="1">
        <v>1</v>
      </c>
      <c r="B138" s="24">
        <v>43382</v>
      </c>
      <c r="C138" s="158"/>
      <c r="E138" s="1" t="s">
        <v>570</v>
      </c>
      <c r="F138" s="22">
        <v>868926035767331</v>
      </c>
      <c r="G138" s="4" t="s">
        <v>499</v>
      </c>
      <c r="I138" s="2" t="s">
        <v>527</v>
      </c>
      <c r="O138" s="12"/>
    </row>
    <row r="139" spans="1:19" hidden="1" outlineLevel="1">
      <c r="A139" s="1">
        <v>2</v>
      </c>
      <c r="B139" s="24"/>
      <c r="C139" s="158"/>
      <c r="F139" s="22">
        <v>868926035404364</v>
      </c>
      <c r="O139" s="12"/>
    </row>
    <row r="140" spans="1:19" hidden="1" outlineLevel="1">
      <c r="A140" s="1">
        <v>3</v>
      </c>
      <c r="B140" s="24"/>
      <c r="C140" s="158"/>
      <c r="F140" s="22">
        <v>868926035288593</v>
      </c>
      <c r="O140" s="12"/>
    </row>
    <row r="141" spans="1:19" s="68" customFormat="1" hidden="1" outlineLevel="1">
      <c r="A141" s="4">
        <v>4</v>
      </c>
      <c r="B141" s="24"/>
      <c r="C141" s="158"/>
      <c r="D141" s="4"/>
      <c r="E141" s="4"/>
      <c r="F141" s="113">
        <v>868926035179420</v>
      </c>
      <c r="G141" s="4"/>
      <c r="H141" s="4"/>
      <c r="I141" s="2"/>
      <c r="J141" s="24"/>
      <c r="K141" s="4"/>
      <c r="L141" s="24"/>
      <c r="M141" s="2"/>
      <c r="N141" s="2"/>
      <c r="O141" s="18"/>
      <c r="P141" s="4"/>
      <c r="Q141" s="4"/>
      <c r="R141" s="4"/>
      <c r="S141" s="4"/>
    </row>
    <row r="142" spans="1:19" s="68" customFormat="1" hidden="1" outlineLevel="1">
      <c r="A142" s="4">
        <v>5</v>
      </c>
      <c r="B142" s="24"/>
      <c r="C142" s="158"/>
      <c r="D142" s="4"/>
      <c r="E142" s="4"/>
      <c r="F142" s="22">
        <v>868926035357331</v>
      </c>
      <c r="G142" s="4"/>
      <c r="H142" s="4"/>
      <c r="I142" s="2"/>
      <c r="J142" s="24"/>
      <c r="K142" s="4"/>
      <c r="L142" s="24"/>
      <c r="M142" s="2"/>
      <c r="N142" s="2"/>
      <c r="O142" s="18"/>
      <c r="P142" s="4"/>
      <c r="Q142" s="4"/>
      <c r="R142" s="4"/>
      <c r="S142" s="4"/>
    </row>
    <row r="143" spans="1:19" hidden="1" outlineLevel="1">
      <c r="A143" s="4">
        <v>6</v>
      </c>
      <c r="B143" s="24"/>
      <c r="C143" s="158"/>
      <c r="D143" s="4"/>
      <c r="E143" s="4"/>
      <c r="F143" s="22">
        <v>868926035885224</v>
      </c>
      <c r="H143" s="4"/>
      <c r="J143" s="24"/>
      <c r="P143" s="4"/>
      <c r="Q143" s="4"/>
      <c r="R143" s="4"/>
      <c r="S143" s="4"/>
    </row>
    <row r="144" spans="1:19" hidden="1" outlineLevel="1">
      <c r="A144" s="1">
        <v>7</v>
      </c>
      <c r="B144" s="24"/>
      <c r="C144" s="158"/>
      <c r="F144" s="22">
        <v>868926035288585</v>
      </c>
    </row>
    <row r="145" spans="1:19" hidden="1" outlineLevel="1">
      <c r="A145" s="4">
        <v>8</v>
      </c>
      <c r="B145" s="24"/>
      <c r="C145" s="158"/>
      <c r="D145" s="4"/>
      <c r="E145" s="4"/>
      <c r="F145" s="22">
        <v>868926035564118</v>
      </c>
      <c r="H145" s="4"/>
      <c r="J145" s="24"/>
      <c r="P145" s="4"/>
      <c r="Q145" s="4"/>
      <c r="R145" s="4"/>
      <c r="S145" s="4"/>
    </row>
    <row r="146" spans="1:19" hidden="1" outlineLevel="1">
      <c r="A146" s="8"/>
      <c r="B146" s="58"/>
      <c r="C146" s="159"/>
      <c r="D146" s="8"/>
      <c r="E146" s="8"/>
      <c r="F146" s="9"/>
      <c r="G146" s="8"/>
      <c r="H146" s="8"/>
      <c r="I146" s="8"/>
      <c r="J146" s="58"/>
      <c r="K146" s="8"/>
      <c r="L146" s="58"/>
      <c r="M146" s="8"/>
      <c r="N146" s="8"/>
      <c r="O146" s="58"/>
      <c r="P146" s="8"/>
      <c r="Q146" s="8"/>
      <c r="R146" s="8"/>
      <c r="S146" s="8"/>
    </row>
    <row r="147" spans="1:19" hidden="1" outlineLevel="1">
      <c r="A147" s="1">
        <v>1</v>
      </c>
      <c r="B147" s="24">
        <v>43392</v>
      </c>
      <c r="C147" s="158"/>
      <c r="E147" s="1" t="s">
        <v>570</v>
      </c>
      <c r="F147" s="22">
        <v>868926039884405</v>
      </c>
      <c r="G147" s="4" t="s">
        <v>499</v>
      </c>
      <c r="I147" s="2" t="s">
        <v>528</v>
      </c>
    </row>
    <row r="148" spans="1:19" hidden="1" outlineLevel="1">
      <c r="A148" s="1">
        <v>2</v>
      </c>
      <c r="B148" s="24"/>
      <c r="C148" s="158"/>
      <c r="F148" s="22">
        <v>869627037766359</v>
      </c>
    </row>
    <row r="149" spans="1:19" hidden="1" outlineLevel="1">
      <c r="A149" s="1">
        <v>3</v>
      </c>
      <c r="B149" s="24"/>
      <c r="C149" s="158"/>
      <c r="F149" s="22">
        <v>868926035250148</v>
      </c>
    </row>
    <row r="150" spans="1:19" hidden="1" outlineLevel="1">
      <c r="A150" s="1">
        <v>4</v>
      </c>
      <c r="B150" s="24"/>
      <c r="C150" s="158"/>
      <c r="F150" s="22">
        <v>868926039892697</v>
      </c>
    </row>
    <row r="151" spans="1:19" hidden="1" outlineLevel="1">
      <c r="A151" s="1">
        <v>5</v>
      </c>
      <c r="B151" s="24"/>
      <c r="C151" s="158"/>
      <c r="F151" s="22">
        <v>868926039896334</v>
      </c>
    </row>
    <row r="152" spans="1:19" hidden="1" outlineLevel="1">
      <c r="A152" s="1">
        <v>6</v>
      </c>
      <c r="B152" s="24"/>
      <c r="C152" s="158"/>
      <c r="F152" s="22">
        <v>868345039580261</v>
      </c>
    </row>
    <row r="153" spans="1:19" hidden="1" outlineLevel="1">
      <c r="A153" s="1">
        <v>7</v>
      </c>
      <c r="B153" s="24"/>
      <c r="C153" s="158"/>
      <c r="F153" s="22">
        <v>868926035342168</v>
      </c>
    </row>
    <row r="154" spans="1:19" hidden="1" outlineLevel="1">
      <c r="A154" s="1">
        <v>8</v>
      </c>
      <c r="B154" s="24"/>
      <c r="C154" s="158"/>
      <c r="F154" s="22">
        <v>868926035252227</v>
      </c>
    </row>
    <row r="155" spans="1:19" hidden="1" outlineLevel="1">
      <c r="A155" s="1">
        <v>9</v>
      </c>
      <c r="B155" s="24"/>
      <c r="C155" s="158"/>
      <c r="F155" s="22">
        <v>868926039844821</v>
      </c>
    </row>
    <row r="156" spans="1:19" hidden="1" outlineLevel="1">
      <c r="A156" s="1">
        <v>10</v>
      </c>
      <c r="B156" s="24"/>
      <c r="C156" s="158"/>
      <c r="F156" s="22">
        <v>868926039847964</v>
      </c>
    </row>
    <row r="157" spans="1:19" hidden="1" outlineLevel="1">
      <c r="A157" s="1">
        <v>11</v>
      </c>
      <c r="B157" s="24"/>
      <c r="C157" s="158"/>
      <c r="F157" s="22">
        <v>868926039888661</v>
      </c>
    </row>
    <row r="158" spans="1:19" hidden="1" outlineLevel="1">
      <c r="A158" s="1">
        <v>12</v>
      </c>
      <c r="B158" s="24"/>
      <c r="C158" s="158"/>
      <c r="F158" s="22">
        <v>868345039575337</v>
      </c>
    </row>
    <row r="159" spans="1:19" hidden="1" outlineLevel="1">
      <c r="A159" s="1">
        <v>13</v>
      </c>
      <c r="B159" s="24"/>
      <c r="C159" s="158"/>
      <c r="F159" s="22">
        <v>868926039843641</v>
      </c>
    </row>
    <row r="160" spans="1:19" hidden="1" outlineLevel="1">
      <c r="A160" s="1">
        <v>14</v>
      </c>
      <c r="B160" s="24"/>
      <c r="C160" s="158"/>
      <c r="F160" s="22">
        <v>868926035342903</v>
      </c>
    </row>
    <row r="161" spans="1:19" hidden="1" outlineLevel="1">
      <c r="A161" s="8"/>
      <c r="B161" s="58"/>
      <c r="C161" s="159"/>
      <c r="D161" s="8"/>
      <c r="E161" s="8"/>
      <c r="F161" s="9"/>
      <c r="G161" s="8"/>
      <c r="H161" s="8"/>
      <c r="I161" s="8"/>
      <c r="J161" s="58"/>
      <c r="K161" s="8"/>
      <c r="L161" s="58"/>
      <c r="M161" s="8"/>
      <c r="N161" s="8"/>
      <c r="O161" s="58"/>
      <c r="P161" s="8"/>
      <c r="Q161" s="8"/>
      <c r="R161" s="8"/>
      <c r="S161" s="8"/>
    </row>
    <row r="162" spans="1:19" hidden="1" outlineLevel="1">
      <c r="A162" s="1">
        <v>1</v>
      </c>
      <c r="B162" s="24">
        <v>43412</v>
      </c>
      <c r="C162" s="158"/>
      <c r="E162" s="1" t="s">
        <v>570</v>
      </c>
      <c r="F162" s="22">
        <v>868926039859217</v>
      </c>
      <c r="G162" s="4" t="s">
        <v>499</v>
      </c>
      <c r="I162" s="2" t="s">
        <v>529</v>
      </c>
    </row>
    <row r="163" spans="1:19" hidden="1" outlineLevel="1">
      <c r="A163" s="1">
        <v>2</v>
      </c>
      <c r="B163" s="24"/>
      <c r="C163" s="158"/>
      <c r="F163" s="22">
        <v>868926039842890</v>
      </c>
    </row>
    <row r="164" spans="1:19" hidden="1" outlineLevel="1">
      <c r="A164" s="1">
        <v>3</v>
      </c>
      <c r="B164" s="24"/>
      <c r="C164" s="158"/>
      <c r="F164" s="22">
        <v>868926039820664</v>
      </c>
    </row>
    <row r="165" spans="1:19" hidden="1" outlineLevel="1">
      <c r="A165" s="1">
        <v>4</v>
      </c>
      <c r="B165" s="24"/>
      <c r="C165" s="158"/>
      <c r="F165" s="22">
        <v>868926039892457</v>
      </c>
    </row>
    <row r="166" spans="1:19" hidden="1" outlineLevel="1">
      <c r="A166" s="1">
        <v>5</v>
      </c>
      <c r="B166" s="24"/>
      <c r="C166" s="158"/>
      <c r="F166" s="22">
        <v>868926039842924</v>
      </c>
      <c r="M166" s="2" t="s">
        <v>831</v>
      </c>
    </row>
    <row r="167" spans="1:19" hidden="1" outlineLevel="1">
      <c r="A167" s="1">
        <v>6</v>
      </c>
      <c r="B167" s="24"/>
      <c r="C167" s="158"/>
      <c r="F167" s="22">
        <v>869627037813649</v>
      </c>
    </row>
    <row r="168" spans="1:19" hidden="1" outlineLevel="1">
      <c r="A168" s="1">
        <v>7</v>
      </c>
      <c r="B168" s="24"/>
      <c r="C168" s="158"/>
      <c r="F168" s="22">
        <v>868926035950879</v>
      </c>
    </row>
    <row r="169" spans="1:19" hidden="1" outlineLevel="1">
      <c r="A169" s="8"/>
      <c r="B169" s="58"/>
      <c r="C169" s="159"/>
      <c r="D169" s="8"/>
      <c r="E169" s="8"/>
      <c r="F169" s="9"/>
      <c r="G169" s="8"/>
      <c r="H169" s="8"/>
      <c r="I169" s="8"/>
      <c r="J169" s="58"/>
      <c r="K169" s="8"/>
      <c r="L169" s="58"/>
      <c r="M169" s="8"/>
      <c r="N169" s="8"/>
      <c r="O169" s="58"/>
      <c r="P169" s="8"/>
      <c r="Q169" s="8"/>
      <c r="R169" s="8"/>
      <c r="S169" s="8"/>
    </row>
    <row r="170" spans="1:19" hidden="1" outlineLevel="1">
      <c r="A170" s="1">
        <v>1</v>
      </c>
      <c r="B170" s="24">
        <v>43417</v>
      </c>
      <c r="C170" s="158"/>
      <c r="E170" s="1" t="s">
        <v>571</v>
      </c>
      <c r="F170" s="22">
        <v>867793031261151</v>
      </c>
      <c r="G170" s="4" t="s">
        <v>501</v>
      </c>
      <c r="I170" s="2" t="s">
        <v>530</v>
      </c>
    </row>
    <row r="171" spans="1:19" hidden="1" outlineLevel="1">
      <c r="A171" s="8"/>
      <c r="B171" s="58"/>
      <c r="C171" s="159"/>
      <c r="D171" s="8"/>
      <c r="E171" s="8"/>
      <c r="F171" s="9"/>
      <c r="G171" s="8"/>
      <c r="H171" s="8"/>
      <c r="I171" s="8"/>
      <c r="J171" s="58"/>
      <c r="K171" s="8"/>
      <c r="L171" s="58"/>
      <c r="M171" s="8"/>
      <c r="N171" s="8"/>
      <c r="O171" s="58"/>
      <c r="P171" s="8"/>
      <c r="Q171" s="8"/>
      <c r="R171" s="8"/>
      <c r="S171" s="8"/>
    </row>
    <row r="172" spans="1:19" hidden="1" outlineLevel="1">
      <c r="A172" s="1">
        <v>1</v>
      </c>
      <c r="B172" s="24">
        <v>43420</v>
      </c>
      <c r="C172" s="158"/>
      <c r="E172" s="1" t="s">
        <v>570</v>
      </c>
      <c r="F172" s="22">
        <v>868926039888927</v>
      </c>
      <c r="G172" s="4" t="s">
        <v>499</v>
      </c>
      <c r="I172" s="2" t="s">
        <v>526</v>
      </c>
    </row>
    <row r="173" spans="1:19" hidden="1" outlineLevel="1">
      <c r="A173" s="1">
        <v>2</v>
      </c>
      <c r="B173" s="24"/>
      <c r="C173" s="158"/>
      <c r="F173" s="22">
        <v>868926035302022</v>
      </c>
    </row>
    <row r="174" spans="1:19" hidden="1" outlineLevel="1">
      <c r="A174" s="1">
        <v>3</v>
      </c>
      <c r="B174" s="24"/>
      <c r="C174" s="158"/>
      <c r="F174" s="22">
        <v>869627037809407</v>
      </c>
    </row>
    <row r="175" spans="1:19" hidden="1" outlineLevel="1">
      <c r="A175" s="1">
        <v>4</v>
      </c>
      <c r="B175" s="24"/>
      <c r="C175" s="158"/>
      <c r="F175" s="22">
        <v>869627037776820</v>
      </c>
    </row>
    <row r="176" spans="1:19" hidden="1" outlineLevel="1">
      <c r="A176" s="1">
        <v>5</v>
      </c>
      <c r="B176" s="24"/>
      <c r="C176" s="158"/>
      <c r="F176" s="22">
        <v>868926039914764</v>
      </c>
    </row>
    <row r="177" spans="1:19" hidden="1" outlineLevel="1">
      <c r="A177" s="1">
        <v>6</v>
      </c>
      <c r="B177" s="24"/>
      <c r="C177" s="158"/>
      <c r="F177" s="22">
        <v>869627037769833</v>
      </c>
    </row>
    <row r="178" spans="1:19" hidden="1" outlineLevel="1">
      <c r="A178" s="1">
        <v>7</v>
      </c>
      <c r="B178" s="24"/>
      <c r="C178" s="158"/>
      <c r="F178" s="22">
        <v>868926035243481</v>
      </c>
    </row>
    <row r="179" spans="1:19" hidden="1" outlineLevel="1">
      <c r="A179" s="1">
        <v>8</v>
      </c>
      <c r="B179" s="24"/>
      <c r="C179" s="158"/>
      <c r="F179" s="22">
        <v>868926039888638</v>
      </c>
    </row>
    <row r="180" spans="1:19" hidden="1" outlineLevel="1">
      <c r="A180" s="1">
        <v>9</v>
      </c>
      <c r="B180" s="24"/>
      <c r="C180" s="158"/>
      <c r="F180" s="22">
        <v>868926039840233</v>
      </c>
    </row>
    <row r="181" spans="1:19" hidden="1" outlineLevel="1">
      <c r="A181" s="1">
        <v>10</v>
      </c>
      <c r="B181" s="24"/>
      <c r="C181" s="158"/>
      <c r="F181" s="22">
        <v>868926039840332</v>
      </c>
    </row>
    <row r="182" spans="1:19" hidden="1" outlineLevel="1">
      <c r="A182" s="1">
        <v>11</v>
      </c>
      <c r="B182" s="24"/>
      <c r="C182" s="158"/>
      <c r="F182" s="22">
        <v>868926035975272</v>
      </c>
    </row>
    <row r="183" spans="1:19" hidden="1" outlineLevel="1">
      <c r="A183" s="1">
        <v>12</v>
      </c>
      <c r="B183" s="24"/>
      <c r="C183" s="158"/>
      <c r="F183" s="22">
        <v>869627037775509</v>
      </c>
    </row>
    <row r="184" spans="1:19" hidden="1" outlineLevel="1">
      <c r="A184" s="1">
        <v>13</v>
      </c>
      <c r="B184" s="24"/>
      <c r="C184" s="158"/>
      <c r="F184" s="22">
        <v>868345039600747</v>
      </c>
    </row>
    <row r="185" spans="1:19" hidden="1" outlineLevel="1">
      <c r="A185" s="1">
        <v>14</v>
      </c>
      <c r="B185" s="24"/>
      <c r="C185" s="158"/>
      <c r="F185" s="22">
        <v>869627037809415</v>
      </c>
    </row>
    <row r="186" spans="1:19" hidden="1" outlineLevel="1">
      <c r="A186" s="1">
        <v>15</v>
      </c>
      <c r="B186" s="24"/>
      <c r="C186" s="158"/>
      <c r="F186" s="22">
        <v>868926039893372</v>
      </c>
    </row>
    <row r="187" spans="1:19" hidden="1" outlineLevel="1">
      <c r="A187" s="8"/>
      <c r="B187" s="58"/>
      <c r="C187" s="159"/>
      <c r="D187" s="8"/>
      <c r="E187" s="8"/>
      <c r="F187" s="9"/>
      <c r="G187" s="8"/>
      <c r="H187" s="8"/>
      <c r="I187" s="8"/>
      <c r="J187" s="58"/>
      <c r="K187" s="8"/>
      <c r="L187" s="58"/>
      <c r="M187" s="8"/>
      <c r="N187" s="8"/>
      <c r="O187" s="58"/>
      <c r="P187" s="8"/>
      <c r="Q187" s="8"/>
      <c r="R187" s="8"/>
      <c r="S187" s="8"/>
    </row>
    <row r="188" spans="1:19" hidden="1" outlineLevel="1">
      <c r="A188" s="1">
        <v>1</v>
      </c>
      <c r="B188" s="24">
        <v>43420</v>
      </c>
      <c r="C188" s="158"/>
      <c r="E188" s="1" t="s">
        <v>572</v>
      </c>
      <c r="F188" s="22">
        <v>868345038051900</v>
      </c>
      <c r="G188" s="4" t="s">
        <v>499</v>
      </c>
      <c r="I188" s="2" t="s">
        <v>531</v>
      </c>
    </row>
    <row r="189" spans="1:19" hidden="1" outlineLevel="1">
      <c r="A189" s="1">
        <v>2</v>
      </c>
      <c r="B189" s="24"/>
      <c r="C189" s="158"/>
      <c r="F189" s="22">
        <v>868345038049540</v>
      </c>
    </row>
    <row r="190" spans="1:19" hidden="1" outlineLevel="1">
      <c r="A190" s="1">
        <v>3</v>
      </c>
      <c r="B190" s="24"/>
      <c r="C190" s="158"/>
      <c r="F190" s="22">
        <v>868345038051967</v>
      </c>
    </row>
    <row r="191" spans="1:19" hidden="1" outlineLevel="1">
      <c r="A191" s="1">
        <v>4</v>
      </c>
      <c r="B191" s="24"/>
      <c r="C191" s="158"/>
      <c r="F191" s="22">
        <v>868345038077921</v>
      </c>
    </row>
    <row r="192" spans="1:19" hidden="1" outlineLevel="1">
      <c r="A192" s="1">
        <v>5</v>
      </c>
      <c r="B192" s="24"/>
      <c r="C192" s="158"/>
      <c r="F192" s="22">
        <v>868345038078838</v>
      </c>
    </row>
    <row r="193" spans="1:19" hidden="1" outlineLevel="1">
      <c r="A193" s="1">
        <v>6</v>
      </c>
      <c r="B193" s="24"/>
      <c r="C193" s="158"/>
      <c r="F193" s="22">
        <v>868345038045373</v>
      </c>
    </row>
    <row r="194" spans="1:19" hidden="1" outlineLevel="1">
      <c r="A194" s="1">
        <v>7</v>
      </c>
      <c r="B194" s="24"/>
      <c r="C194" s="158"/>
      <c r="F194" s="22">
        <v>868345038050217</v>
      </c>
    </row>
    <row r="195" spans="1:19" hidden="1" outlineLevel="1">
      <c r="A195" s="1">
        <v>8</v>
      </c>
      <c r="B195" s="24"/>
      <c r="C195" s="158"/>
      <c r="F195" s="22">
        <v>868345038051371</v>
      </c>
    </row>
    <row r="196" spans="1:19" hidden="1" outlineLevel="1">
      <c r="A196" s="1">
        <v>9</v>
      </c>
      <c r="B196" s="24"/>
      <c r="C196" s="158"/>
      <c r="F196" s="22">
        <v>868345038076873</v>
      </c>
    </row>
    <row r="197" spans="1:19" hidden="1" outlineLevel="1">
      <c r="A197" s="1">
        <v>10</v>
      </c>
      <c r="B197" s="24"/>
      <c r="C197" s="158"/>
      <c r="F197" s="22">
        <v>868345038053484</v>
      </c>
    </row>
    <row r="198" spans="1:19" hidden="1" outlineLevel="1">
      <c r="A198" s="8"/>
      <c r="B198" s="58"/>
      <c r="C198" s="159"/>
      <c r="D198" s="8"/>
      <c r="E198" s="8"/>
      <c r="F198" s="9"/>
      <c r="G198" s="8"/>
      <c r="H198" s="8"/>
      <c r="I198" s="8"/>
      <c r="J198" s="58"/>
      <c r="K198" s="8"/>
      <c r="L198" s="58"/>
      <c r="M198" s="8"/>
      <c r="N198" s="8"/>
      <c r="O198" s="58"/>
      <c r="P198" s="8"/>
      <c r="Q198" s="8"/>
      <c r="R198" s="8"/>
      <c r="S198" s="8"/>
    </row>
    <row r="199" spans="1:19" hidden="1" outlineLevel="1">
      <c r="A199" s="1">
        <v>1</v>
      </c>
      <c r="B199" s="24">
        <v>43420</v>
      </c>
      <c r="C199" s="158"/>
      <c r="E199" s="1" t="s">
        <v>572</v>
      </c>
      <c r="F199" s="22">
        <v>868345038048302</v>
      </c>
      <c r="G199" s="4" t="s">
        <v>499</v>
      </c>
      <c r="I199" s="2" t="s">
        <v>531</v>
      </c>
    </row>
    <row r="200" spans="1:19" hidden="1" outlineLevel="1">
      <c r="A200" s="1">
        <v>2</v>
      </c>
      <c r="B200" s="24"/>
      <c r="C200" s="158"/>
      <c r="F200" s="22">
        <v>868345038076857</v>
      </c>
    </row>
    <row r="201" spans="1:19" hidden="1" outlineLevel="1">
      <c r="A201" s="1">
        <v>3</v>
      </c>
      <c r="B201" s="24"/>
      <c r="C201" s="158"/>
      <c r="F201" s="22">
        <v>868345038048286</v>
      </c>
    </row>
    <row r="202" spans="1:19" hidden="1" outlineLevel="1">
      <c r="A202" s="1">
        <v>4</v>
      </c>
      <c r="B202" s="24"/>
      <c r="C202" s="158"/>
      <c r="F202" s="22">
        <v>868345038078747</v>
      </c>
    </row>
    <row r="203" spans="1:19" hidden="1" outlineLevel="1">
      <c r="A203" s="1">
        <v>5</v>
      </c>
      <c r="B203" s="24"/>
      <c r="C203" s="158"/>
      <c r="F203" s="22">
        <v>868345038077731</v>
      </c>
    </row>
    <row r="204" spans="1:19" hidden="1" outlineLevel="1">
      <c r="A204" s="1">
        <v>6</v>
      </c>
      <c r="B204" s="24"/>
      <c r="C204" s="158"/>
      <c r="F204" s="22">
        <v>868345038075503</v>
      </c>
    </row>
    <row r="205" spans="1:19" hidden="1" outlineLevel="1">
      <c r="A205" s="1">
        <v>7</v>
      </c>
      <c r="B205" s="24"/>
      <c r="C205" s="158"/>
      <c r="F205" s="22">
        <v>868345038052023</v>
      </c>
    </row>
    <row r="206" spans="1:19" hidden="1" outlineLevel="1">
      <c r="A206" s="1">
        <v>8</v>
      </c>
      <c r="B206" s="24"/>
      <c r="C206" s="158"/>
      <c r="F206" s="22">
        <v>868345038053385</v>
      </c>
      <c r="M206" s="2" t="s">
        <v>832</v>
      </c>
    </row>
    <row r="207" spans="1:19" hidden="1" outlineLevel="1">
      <c r="A207" s="1">
        <v>9</v>
      </c>
      <c r="B207" s="24"/>
      <c r="C207" s="158"/>
      <c r="F207" s="22">
        <v>868345038078531</v>
      </c>
    </row>
    <row r="208" spans="1:19" hidden="1" outlineLevel="1">
      <c r="A208" s="1">
        <v>10</v>
      </c>
      <c r="B208" s="24"/>
      <c r="C208" s="158"/>
      <c r="F208" s="22">
        <v>868345038050159</v>
      </c>
    </row>
    <row r="209" spans="1:19" hidden="1" outlineLevel="1">
      <c r="A209" s="8"/>
      <c r="B209" s="58"/>
      <c r="C209" s="159"/>
      <c r="D209" s="8"/>
      <c r="E209" s="8"/>
      <c r="F209" s="9"/>
      <c r="G209" s="8"/>
      <c r="H209" s="8"/>
      <c r="I209" s="8"/>
      <c r="J209" s="58"/>
      <c r="K209" s="8"/>
      <c r="L209" s="58"/>
      <c r="M209" s="8"/>
      <c r="N209" s="8"/>
      <c r="O209" s="58"/>
      <c r="P209" s="8"/>
      <c r="Q209" s="8"/>
      <c r="R209" s="8"/>
      <c r="S209" s="8"/>
    </row>
    <row r="210" spans="1:19" hidden="1" outlineLevel="1">
      <c r="A210" s="1">
        <v>1</v>
      </c>
      <c r="B210" s="24">
        <v>43425</v>
      </c>
      <c r="C210" s="158"/>
      <c r="E210" s="1" t="s">
        <v>573</v>
      </c>
      <c r="F210" s="22">
        <v>358004090418567</v>
      </c>
      <c r="G210" s="4" t="s">
        <v>501</v>
      </c>
      <c r="I210" s="2" t="s">
        <v>526</v>
      </c>
    </row>
    <row r="211" spans="1:19" hidden="1" outlineLevel="1">
      <c r="A211" s="1">
        <v>2</v>
      </c>
      <c r="B211" s="24"/>
      <c r="C211" s="158"/>
      <c r="F211" s="22">
        <v>358004090418104</v>
      </c>
    </row>
    <row r="212" spans="1:19" hidden="1" outlineLevel="1">
      <c r="A212" s="1">
        <v>3</v>
      </c>
      <c r="B212" s="24"/>
      <c r="C212" s="158"/>
      <c r="F212" s="22">
        <v>358004090426180</v>
      </c>
    </row>
    <row r="213" spans="1:19" hidden="1" outlineLevel="1">
      <c r="A213" s="1">
        <v>4</v>
      </c>
      <c r="B213" s="24"/>
      <c r="C213" s="158"/>
      <c r="F213" s="22">
        <v>358004090426560</v>
      </c>
    </row>
    <row r="214" spans="1:19" hidden="1" outlineLevel="1">
      <c r="A214" s="1">
        <v>5</v>
      </c>
      <c r="B214" s="24"/>
      <c r="C214" s="158"/>
      <c r="F214" s="22">
        <v>358004090426701</v>
      </c>
    </row>
    <row r="215" spans="1:19" hidden="1" outlineLevel="1">
      <c r="A215" s="1">
        <v>6</v>
      </c>
      <c r="B215" s="24"/>
      <c r="C215" s="158"/>
      <c r="F215" s="22">
        <v>358004090426958</v>
      </c>
    </row>
    <row r="216" spans="1:19" hidden="1" outlineLevel="1">
      <c r="A216" s="1">
        <v>7</v>
      </c>
      <c r="B216" s="24"/>
      <c r="C216" s="158"/>
      <c r="F216" s="22">
        <v>358004090427030</v>
      </c>
    </row>
    <row r="217" spans="1:19" hidden="1" outlineLevel="1">
      <c r="A217" s="1">
        <v>8</v>
      </c>
      <c r="B217" s="24"/>
      <c r="C217" s="158"/>
      <c r="F217" s="22">
        <v>358004090428996</v>
      </c>
    </row>
    <row r="218" spans="1:19" hidden="1" outlineLevel="1">
      <c r="A218" s="1">
        <v>9</v>
      </c>
      <c r="B218" s="24"/>
      <c r="C218" s="158"/>
      <c r="F218" s="22">
        <v>358004090429473</v>
      </c>
    </row>
    <row r="219" spans="1:19" hidden="1" outlineLevel="1">
      <c r="A219" s="1">
        <v>10</v>
      </c>
      <c r="B219" s="24"/>
      <c r="C219" s="158"/>
      <c r="F219" s="22">
        <v>358004090430174</v>
      </c>
    </row>
    <row r="220" spans="1:19" hidden="1" outlineLevel="1">
      <c r="A220" s="1">
        <v>11</v>
      </c>
      <c r="B220" s="24"/>
      <c r="C220" s="158"/>
      <c r="F220" s="22">
        <v>358004090430364</v>
      </c>
    </row>
    <row r="221" spans="1:19" hidden="1" outlineLevel="1">
      <c r="A221" s="1">
        <v>12</v>
      </c>
      <c r="B221" s="24"/>
      <c r="C221" s="158"/>
      <c r="F221" s="22">
        <v>358004090432550</v>
      </c>
    </row>
    <row r="222" spans="1:19" hidden="1" outlineLevel="1">
      <c r="A222" s="1">
        <v>13</v>
      </c>
      <c r="B222" s="24"/>
      <c r="C222" s="158"/>
      <c r="F222" s="22">
        <v>358004090432618</v>
      </c>
    </row>
    <row r="223" spans="1:19" hidden="1" outlineLevel="1">
      <c r="A223" s="1">
        <v>14</v>
      </c>
      <c r="B223" s="24"/>
      <c r="C223" s="158"/>
      <c r="F223" s="22">
        <v>358004090441056</v>
      </c>
    </row>
    <row r="224" spans="1:19" hidden="1" outlineLevel="1">
      <c r="A224" s="1">
        <v>15</v>
      </c>
      <c r="B224" s="24"/>
      <c r="C224" s="158"/>
      <c r="F224" s="22">
        <v>358004090443359</v>
      </c>
    </row>
    <row r="225" spans="1:19" hidden="1" outlineLevel="1">
      <c r="A225" s="8"/>
      <c r="B225" s="58"/>
      <c r="C225" s="159"/>
      <c r="D225" s="8"/>
      <c r="E225" s="8"/>
      <c r="F225" s="9"/>
      <c r="G225" s="8"/>
      <c r="H225" s="8"/>
      <c r="I225" s="8"/>
      <c r="J225" s="58"/>
      <c r="K225" s="8"/>
      <c r="L225" s="58"/>
      <c r="M225" s="8"/>
      <c r="N225" s="8"/>
      <c r="O225" s="58"/>
      <c r="P225" s="8"/>
      <c r="Q225" s="8"/>
      <c r="R225" s="8"/>
      <c r="S225" s="8"/>
    </row>
    <row r="226" spans="1:19" hidden="1" outlineLevel="1">
      <c r="A226" s="1">
        <v>1</v>
      </c>
      <c r="B226" s="24">
        <v>43426</v>
      </c>
      <c r="C226" s="158"/>
      <c r="E226" s="1" t="s">
        <v>574</v>
      </c>
      <c r="F226" s="22">
        <v>868728031782524</v>
      </c>
      <c r="G226" s="4" t="s">
        <v>502</v>
      </c>
      <c r="I226" s="2" t="s">
        <v>532</v>
      </c>
    </row>
    <row r="227" spans="1:19" hidden="1" outlineLevel="1">
      <c r="A227" s="1">
        <v>2</v>
      </c>
      <c r="B227" s="24"/>
      <c r="C227" s="158"/>
      <c r="F227" s="22">
        <v>868728031776369</v>
      </c>
    </row>
    <row r="228" spans="1:19" hidden="1" outlineLevel="1">
      <c r="A228" s="1">
        <v>3</v>
      </c>
      <c r="B228" s="24"/>
      <c r="C228" s="158"/>
      <c r="F228" s="22">
        <v>868728031760033</v>
      </c>
    </row>
    <row r="229" spans="1:19" hidden="1" outlineLevel="1">
      <c r="A229" s="8"/>
      <c r="B229" s="58"/>
      <c r="C229" s="159"/>
      <c r="D229" s="8"/>
      <c r="E229" s="8"/>
      <c r="F229" s="9"/>
      <c r="G229" s="8"/>
      <c r="H229" s="8"/>
      <c r="I229" s="8"/>
      <c r="J229" s="58"/>
      <c r="K229" s="8"/>
      <c r="L229" s="58"/>
      <c r="M229" s="8"/>
      <c r="N229" s="8"/>
      <c r="O229" s="58"/>
      <c r="P229" s="8"/>
      <c r="Q229" s="8"/>
      <c r="R229" s="8"/>
      <c r="S229" s="8"/>
    </row>
    <row r="230" spans="1:19" hidden="1" outlineLevel="1">
      <c r="A230" s="1">
        <v>1</v>
      </c>
      <c r="B230" s="24">
        <v>43420</v>
      </c>
      <c r="C230" s="158"/>
      <c r="E230" s="1" t="s">
        <v>572</v>
      </c>
      <c r="F230" s="22">
        <v>868345038051900</v>
      </c>
      <c r="G230" s="4" t="s">
        <v>499</v>
      </c>
      <c r="I230" s="2" t="s">
        <v>531</v>
      </c>
    </row>
    <row r="231" spans="1:19" hidden="1" outlineLevel="1">
      <c r="A231" s="1">
        <v>2</v>
      </c>
      <c r="B231" s="24"/>
      <c r="C231" s="158"/>
      <c r="F231" s="22">
        <v>868345038049540</v>
      </c>
    </row>
    <row r="232" spans="1:19" hidden="1" outlineLevel="1">
      <c r="A232" s="1">
        <v>3</v>
      </c>
      <c r="B232" s="24"/>
      <c r="C232" s="158"/>
      <c r="F232" s="22">
        <v>868345038051967</v>
      </c>
    </row>
    <row r="233" spans="1:19" hidden="1" outlineLevel="1">
      <c r="A233" s="1">
        <v>4</v>
      </c>
      <c r="B233" s="24"/>
      <c r="C233" s="158"/>
      <c r="F233" s="22">
        <v>868345038077921</v>
      </c>
    </row>
    <row r="234" spans="1:19" hidden="1" outlineLevel="1">
      <c r="A234" s="1">
        <v>5</v>
      </c>
      <c r="B234" s="24"/>
      <c r="C234" s="158"/>
      <c r="F234" s="22">
        <v>868345038078838</v>
      </c>
    </row>
    <row r="235" spans="1:19" hidden="1" outlineLevel="1">
      <c r="A235" s="1">
        <v>6</v>
      </c>
      <c r="B235" s="24"/>
      <c r="C235" s="158"/>
      <c r="F235" s="22">
        <v>868345038045373</v>
      </c>
    </row>
    <row r="236" spans="1:19" hidden="1" outlineLevel="1">
      <c r="A236" s="1">
        <v>7</v>
      </c>
      <c r="B236" s="24"/>
      <c r="C236" s="158"/>
      <c r="F236" s="22">
        <v>868345038050217</v>
      </c>
    </row>
    <row r="237" spans="1:19" hidden="1" outlineLevel="1">
      <c r="A237" s="1">
        <v>8</v>
      </c>
      <c r="B237" s="24"/>
      <c r="C237" s="158"/>
      <c r="F237" s="22">
        <v>868345038051371</v>
      </c>
    </row>
    <row r="238" spans="1:19" hidden="1" outlineLevel="1">
      <c r="A238" s="1">
        <v>9</v>
      </c>
      <c r="B238" s="24"/>
      <c r="C238" s="158"/>
      <c r="F238" s="22">
        <v>868345038076873</v>
      </c>
    </row>
    <row r="239" spans="1:19" hidden="1" outlineLevel="1">
      <c r="A239" s="1">
        <v>10</v>
      </c>
      <c r="B239" s="24"/>
      <c r="C239" s="158"/>
      <c r="F239" s="22">
        <v>868345038053484</v>
      </c>
    </row>
    <row r="240" spans="1:19" hidden="1" outlineLevel="1">
      <c r="A240" s="8"/>
      <c r="B240" s="58"/>
      <c r="C240" s="159"/>
      <c r="D240" s="8"/>
      <c r="E240" s="8"/>
      <c r="F240" s="9"/>
      <c r="G240" s="8"/>
      <c r="H240" s="8"/>
      <c r="I240" s="8"/>
      <c r="J240" s="58"/>
      <c r="K240" s="8"/>
      <c r="L240" s="58"/>
      <c r="M240" s="8"/>
      <c r="N240" s="8"/>
      <c r="O240" s="58"/>
      <c r="P240" s="8"/>
      <c r="Q240" s="8"/>
      <c r="R240" s="8"/>
      <c r="S240" s="8"/>
    </row>
    <row r="241" spans="1:19" hidden="1" outlineLevel="1">
      <c r="A241" s="1">
        <v>1</v>
      </c>
      <c r="B241" s="24">
        <v>43444</v>
      </c>
      <c r="C241" s="158"/>
      <c r="E241" s="1" t="s">
        <v>570</v>
      </c>
      <c r="F241" s="22">
        <v>868345039547104</v>
      </c>
      <c r="G241" s="4" t="s">
        <v>499</v>
      </c>
      <c r="I241" s="2" t="s">
        <v>533</v>
      </c>
    </row>
    <row r="242" spans="1:19" hidden="1" outlineLevel="1">
      <c r="A242" s="1">
        <v>2</v>
      </c>
      <c r="B242" s="24"/>
      <c r="C242" s="158"/>
      <c r="F242" s="22">
        <v>869627037809126</v>
      </c>
    </row>
    <row r="243" spans="1:19" hidden="1" outlineLevel="1">
      <c r="A243" s="1">
        <v>3</v>
      </c>
      <c r="B243" s="24"/>
      <c r="C243" s="158"/>
      <c r="F243" s="22">
        <v>868926035468666</v>
      </c>
    </row>
    <row r="244" spans="1:19" hidden="1" outlineLevel="1">
      <c r="A244" s="1">
        <v>4</v>
      </c>
      <c r="B244" s="24"/>
      <c r="C244" s="158"/>
      <c r="F244" s="22">
        <v>868926035468344</v>
      </c>
    </row>
    <row r="245" spans="1:19" hidden="1" outlineLevel="1">
      <c r="A245" s="1">
        <v>5</v>
      </c>
      <c r="B245" s="24"/>
      <c r="C245" s="158"/>
      <c r="F245" s="22">
        <v>868926035541280</v>
      </c>
    </row>
    <row r="246" spans="1:19" hidden="1" outlineLevel="1">
      <c r="A246" s="1">
        <v>6</v>
      </c>
      <c r="B246" s="24"/>
      <c r="C246" s="158"/>
      <c r="F246" s="22">
        <v>868345039567003</v>
      </c>
    </row>
    <row r="247" spans="1:19" hidden="1" outlineLevel="1">
      <c r="A247" s="8"/>
      <c r="B247" s="58"/>
      <c r="C247" s="159"/>
      <c r="D247" s="8"/>
      <c r="E247" s="8"/>
      <c r="F247" s="9"/>
      <c r="G247" s="8"/>
      <c r="H247" s="8"/>
      <c r="I247" s="8"/>
      <c r="J247" s="58"/>
      <c r="K247" s="8"/>
      <c r="L247" s="58"/>
      <c r="M247" s="8"/>
      <c r="N247" s="8"/>
      <c r="O247" s="58"/>
      <c r="P247" s="8"/>
      <c r="Q247" s="8"/>
      <c r="R247" s="8"/>
      <c r="S247" s="8"/>
    </row>
    <row r="248" spans="1:19" hidden="1" outlineLevel="1">
      <c r="A248" s="1">
        <v>1</v>
      </c>
      <c r="B248" s="24">
        <v>43447</v>
      </c>
      <c r="C248" s="158"/>
      <c r="E248" s="1" t="s">
        <v>570</v>
      </c>
      <c r="F248" s="22">
        <v>869627037953874</v>
      </c>
      <c r="G248" s="4" t="s">
        <v>499</v>
      </c>
      <c r="I248" s="2" t="s">
        <v>534</v>
      </c>
    </row>
    <row r="249" spans="1:19" hidden="1" outlineLevel="1">
      <c r="A249" s="1">
        <v>2</v>
      </c>
      <c r="B249" s="24"/>
      <c r="C249" s="158"/>
      <c r="F249" s="22">
        <v>868926039843609</v>
      </c>
    </row>
    <row r="250" spans="1:19" hidden="1" outlineLevel="1">
      <c r="A250" s="1">
        <v>3</v>
      </c>
      <c r="B250" s="24"/>
      <c r="C250" s="158"/>
      <c r="F250" s="22">
        <v>869627037771987</v>
      </c>
    </row>
    <row r="251" spans="1:19" hidden="1" outlineLevel="1">
      <c r="A251" s="1">
        <v>4</v>
      </c>
      <c r="B251" s="24"/>
      <c r="C251" s="158"/>
      <c r="F251" s="22">
        <v>868926035514824</v>
      </c>
    </row>
    <row r="252" spans="1:19" collapsed="1">
      <c r="A252" s="8">
        <v>2019</v>
      </c>
      <c r="B252" s="58"/>
      <c r="C252" s="159"/>
      <c r="D252" s="8"/>
      <c r="E252" s="8"/>
      <c r="F252" s="9"/>
      <c r="G252" s="8"/>
      <c r="H252" s="8"/>
      <c r="I252" s="8"/>
      <c r="J252" s="58"/>
      <c r="K252" s="8"/>
      <c r="L252" s="58"/>
      <c r="M252" s="8"/>
      <c r="N252" s="8"/>
      <c r="O252" s="58"/>
      <c r="P252" s="8"/>
      <c r="Q252" s="8"/>
      <c r="R252" s="8"/>
      <c r="S252" s="8"/>
    </row>
    <row r="253" spans="1:19" hidden="1" outlineLevel="1">
      <c r="A253" s="1">
        <v>1</v>
      </c>
      <c r="B253" s="24">
        <v>43494</v>
      </c>
      <c r="C253" s="158"/>
      <c r="E253" s="1" t="s">
        <v>572</v>
      </c>
      <c r="F253" s="22">
        <v>868345038078705</v>
      </c>
      <c r="G253" s="4" t="s">
        <v>499</v>
      </c>
      <c r="I253" s="2" t="s">
        <v>531</v>
      </c>
      <c r="M253" s="2" t="s">
        <v>833</v>
      </c>
      <c r="N253" s="2" t="s">
        <v>834</v>
      </c>
      <c r="O253" s="18">
        <v>43580</v>
      </c>
    </row>
    <row r="254" spans="1:19" hidden="1" outlineLevel="1">
      <c r="A254" s="1">
        <v>2</v>
      </c>
      <c r="B254" s="24"/>
      <c r="C254" s="158"/>
      <c r="F254" s="22">
        <v>868345038053468</v>
      </c>
      <c r="M254" s="2" t="s">
        <v>835</v>
      </c>
      <c r="N254" s="2" t="s">
        <v>836</v>
      </c>
      <c r="O254" s="18" t="s">
        <v>836</v>
      </c>
    </row>
    <row r="255" spans="1:19" hidden="1" outlineLevel="1">
      <c r="A255" s="1">
        <v>3</v>
      </c>
      <c r="B255" s="24"/>
      <c r="C255" s="158"/>
      <c r="F255" s="22">
        <v>868345038078804</v>
      </c>
      <c r="M255" s="2" t="s">
        <v>837</v>
      </c>
      <c r="N255" s="2" t="s">
        <v>126</v>
      </c>
      <c r="O255" s="18">
        <v>43502</v>
      </c>
    </row>
    <row r="256" spans="1:19" hidden="1" outlineLevel="1">
      <c r="A256" s="1">
        <v>4</v>
      </c>
      <c r="B256" s="24"/>
      <c r="C256" s="158"/>
      <c r="F256" s="22">
        <v>868345038078499</v>
      </c>
      <c r="M256" s="2" t="s">
        <v>838</v>
      </c>
      <c r="N256" s="2" t="s">
        <v>839</v>
      </c>
      <c r="O256" s="18">
        <v>43495</v>
      </c>
    </row>
    <row r="257" spans="1:19" hidden="1" outlineLevel="1">
      <c r="A257" s="1">
        <v>5</v>
      </c>
      <c r="B257" s="24"/>
      <c r="C257" s="158"/>
      <c r="F257" s="22">
        <v>868345038078564</v>
      </c>
      <c r="M257" s="2" t="s">
        <v>840</v>
      </c>
      <c r="N257" s="2" t="s">
        <v>841</v>
      </c>
      <c r="O257" s="18">
        <v>43521</v>
      </c>
    </row>
    <row r="258" spans="1:19" hidden="1" outlineLevel="1">
      <c r="A258" s="1">
        <v>6</v>
      </c>
      <c r="B258" s="24"/>
      <c r="C258" s="158"/>
      <c r="F258" s="22">
        <v>868345038075677</v>
      </c>
      <c r="M258" s="2" t="s">
        <v>842</v>
      </c>
      <c r="N258" s="2" t="s">
        <v>834</v>
      </c>
      <c r="O258" s="18">
        <v>43580</v>
      </c>
    </row>
    <row r="259" spans="1:19" hidden="1" outlineLevel="1">
      <c r="A259" s="1">
        <v>7</v>
      </c>
      <c r="B259" s="24"/>
      <c r="C259" s="158"/>
      <c r="F259" s="22">
        <v>868345038078481</v>
      </c>
      <c r="M259" s="2" t="s">
        <v>843</v>
      </c>
      <c r="N259" s="2" t="s">
        <v>844</v>
      </c>
      <c r="O259" s="18">
        <v>43495</v>
      </c>
    </row>
    <row r="260" spans="1:19" hidden="1" outlineLevel="1">
      <c r="A260" s="1">
        <v>8</v>
      </c>
      <c r="B260" s="24"/>
      <c r="C260" s="158"/>
      <c r="F260" s="22">
        <v>868345038053252</v>
      </c>
      <c r="M260" s="2" t="s">
        <v>845</v>
      </c>
      <c r="N260" s="2" t="s">
        <v>844</v>
      </c>
      <c r="O260" s="18">
        <v>43495</v>
      </c>
    </row>
    <row r="261" spans="1:19" hidden="1" outlineLevel="1">
      <c r="A261" s="1">
        <v>9</v>
      </c>
      <c r="B261" s="24"/>
      <c r="C261" s="158"/>
      <c r="F261" s="22">
        <v>868345038052668</v>
      </c>
      <c r="M261" s="2" t="s">
        <v>846</v>
      </c>
      <c r="N261" s="2" t="s">
        <v>847</v>
      </c>
      <c r="O261" s="18">
        <v>43503</v>
      </c>
    </row>
    <row r="262" spans="1:19" hidden="1" outlineLevel="1">
      <c r="A262" s="1">
        <v>10</v>
      </c>
      <c r="B262" s="24"/>
      <c r="C262" s="158"/>
      <c r="F262" s="22">
        <v>868345038075651</v>
      </c>
      <c r="M262" s="2" t="s">
        <v>848</v>
      </c>
      <c r="N262" s="2" t="s">
        <v>844</v>
      </c>
      <c r="O262" s="18">
        <v>43495</v>
      </c>
    </row>
    <row r="263" spans="1:19" hidden="1" outlineLevel="1">
      <c r="A263" s="8"/>
      <c r="B263" s="58"/>
      <c r="C263" s="159"/>
      <c r="D263" s="8"/>
      <c r="E263" s="8"/>
      <c r="F263" s="9"/>
      <c r="G263" s="8"/>
      <c r="H263" s="8"/>
      <c r="I263" s="8"/>
      <c r="J263" s="58"/>
      <c r="K263" s="8"/>
      <c r="L263" s="58"/>
      <c r="M263" s="8"/>
      <c r="N263" s="8"/>
      <c r="O263" s="58"/>
      <c r="P263" s="8"/>
      <c r="Q263" s="8"/>
      <c r="R263" s="8"/>
      <c r="S263" s="8"/>
    </row>
    <row r="264" spans="1:19" hidden="1" outlineLevel="1">
      <c r="A264" s="1">
        <v>1</v>
      </c>
      <c r="B264" s="24">
        <v>43494</v>
      </c>
      <c r="C264" s="158"/>
      <c r="E264" s="1" t="s">
        <v>570</v>
      </c>
      <c r="F264" s="22">
        <v>869286034937792</v>
      </c>
      <c r="G264" s="4" t="s">
        <v>499</v>
      </c>
      <c r="I264" s="2" t="s">
        <v>531</v>
      </c>
      <c r="M264" s="2" t="s">
        <v>849</v>
      </c>
      <c r="N264" s="2" t="s">
        <v>850</v>
      </c>
      <c r="O264" s="18">
        <v>43187</v>
      </c>
    </row>
    <row r="265" spans="1:19" hidden="1" outlineLevel="1">
      <c r="A265" s="1">
        <v>2</v>
      </c>
      <c r="B265" s="24"/>
      <c r="C265" s="158"/>
      <c r="F265" s="22">
        <v>869286034974043</v>
      </c>
      <c r="M265" s="2" t="s">
        <v>851</v>
      </c>
      <c r="N265" s="2" t="s">
        <v>852</v>
      </c>
      <c r="O265" s="18">
        <v>43511</v>
      </c>
    </row>
    <row r="266" spans="1:19" hidden="1" outlineLevel="1">
      <c r="A266" s="1">
        <v>3</v>
      </c>
      <c r="B266" s="24"/>
      <c r="C266" s="158"/>
      <c r="F266" s="22">
        <v>869286030862978</v>
      </c>
      <c r="M266" s="2" t="s">
        <v>853</v>
      </c>
      <c r="N266" s="2" t="s">
        <v>850</v>
      </c>
      <c r="O266" s="18">
        <v>43524</v>
      </c>
    </row>
    <row r="267" spans="1:19" hidden="1" outlineLevel="1">
      <c r="A267" s="1">
        <v>4</v>
      </c>
      <c r="B267" s="24"/>
      <c r="C267" s="158"/>
      <c r="F267" s="22">
        <v>869286035089296</v>
      </c>
      <c r="M267" s="2" t="s">
        <v>854</v>
      </c>
      <c r="N267" s="2" t="s">
        <v>855</v>
      </c>
      <c r="O267" s="18">
        <v>43510</v>
      </c>
    </row>
    <row r="268" spans="1:19" hidden="1" outlineLevel="1">
      <c r="A268" s="1">
        <v>5</v>
      </c>
      <c r="B268" s="24"/>
      <c r="C268" s="158"/>
      <c r="F268" s="22">
        <v>869286030881739</v>
      </c>
      <c r="M268" s="2" t="s">
        <v>856</v>
      </c>
      <c r="N268" s="2" t="s">
        <v>857</v>
      </c>
      <c r="O268" s="18">
        <v>43496</v>
      </c>
    </row>
    <row r="269" spans="1:19" hidden="1" outlineLevel="1">
      <c r="A269" s="1">
        <v>6</v>
      </c>
      <c r="B269" s="24"/>
      <c r="C269" s="158"/>
      <c r="F269" s="22">
        <v>869286035172902</v>
      </c>
      <c r="M269" s="2" t="s">
        <v>858</v>
      </c>
      <c r="N269" s="2" t="s">
        <v>852</v>
      </c>
      <c r="O269" s="18">
        <v>43521</v>
      </c>
    </row>
    <row r="270" spans="1:19" hidden="1" outlineLevel="1">
      <c r="A270" s="1">
        <v>7</v>
      </c>
      <c r="B270" s="24"/>
      <c r="C270" s="158"/>
      <c r="F270" s="22">
        <v>869286030886365</v>
      </c>
      <c r="M270" s="2" t="s">
        <v>859</v>
      </c>
      <c r="N270" s="2" t="s">
        <v>860</v>
      </c>
      <c r="O270" s="18">
        <v>43495</v>
      </c>
    </row>
    <row r="271" spans="1:19" hidden="1" outlineLevel="1">
      <c r="A271" s="1">
        <v>8</v>
      </c>
      <c r="B271" s="24"/>
      <c r="C271" s="158"/>
      <c r="F271" s="22">
        <v>869286030881788</v>
      </c>
      <c r="M271" s="2" t="s">
        <v>861</v>
      </c>
      <c r="N271" s="2" t="s">
        <v>860</v>
      </c>
      <c r="O271" s="18">
        <v>43495</v>
      </c>
    </row>
    <row r="272" spans="1:19" hidden="1" outlineLevel="1">
      <c r="A272" s="1">
        <v>9</v>
      </c>
      <c r="B272" s="24"/>
      <c r="C272" s="158"/>
      <c r="F272" s="22">
        <v>869286030862531</v>
      </c>
      <c r="M272" s="2" t="s">
        <v>862</v>
      </c>
      <c r="N272" s="2" t="s">
        <v>863</v>
      </c>
      <c r="O272" s="18">
        <v>43504</v>
      </c>
    </row>
    <row r="273" spans="1:19" hidden="1" outlineLevel="1">
      <c r="A273" s="1">
        <v>10</v>
      </c>
      <c r="B273" s="24"/>
      <c r="C273" s="158"/>
      <c r="F273" s="22">
        <v>869286034916754</v>
      </c>
      <c r="M273" s="2" t="s">
        <v>864</v>
      </c>
      <c r="N273" s="2" t="s">
        <v>865</v>
      </c>
      <c r="O273" s="18">
        <v>43515</v>
      </c>
    </row>
    <row r="274" spans="1:19" hidden="1" outlineLevel="1">
      <c r="A274" s="8"/>
      <c r="B274" s="58"/>
      <c r="C274" s="159"/>
      <c r="D274" s="8"/>
      <c r="E274" s="8"/>
      <c r="F274" s="9"/>
      <c r="G274" s="8"/>
      <c r="H274" s="8"/>
      <c r="I274" s="8"/>
      <c r="J274" s="58"/>
      <c r="K274" s="8"/>
      <c r="L274" s="58"/>
      <c r="M274" s="8"/>
      <c r="N274" s="8"/>
      <c r="O274" s="58"/>
      <c r="P274" s="8"/>
      <c r="Q274" s="8"/>
      <c r="R274" s="8"/>
      <c r="S274" s="8"/>
    </row>
    <row r="275" spans="1:19" hidden="1" outlineLevel="1">
      <c r="A275" s="1">
        <v>1</v>
      </c>
      <c r="B275" s="24">
        <v>43494</v>
      </c>
      <c r="C275" s="158"/>
      <c r="E275" s="1" t="s">
        <v>570</v>
      </c>
      <c r="F275" s="22">
        <v>869270042911247</v>
      </c>
      <c r="G275" s="4" t="s">
        <v>499</v>
      </c>
      <c r="I275" s="2" t="s">
        <v>531</v>
      </c>
      <c r="M275" s="2" t="s">
        <v>866</v>
      </c>
      <c r="N275" s="2" t="s">
        <v>867</v>
      </c>
      <c r="O275" s="18">
        <v>43522</v>
      </c>
    </row>
    <row r="276" spans="1:19" hidden="1" outlineLevel="1">
      <c r="A276" s="1">
        <v>2</v>
      </c>
      <c r="B276" s="24"/>
      <c r="C276" s="158"/>
      <c r="F276" s="22">
        <v>869270042851831</v>
      </c>
      <c r="M276" s="2" t="s">
        <v>868</v>
      </c>
      <c r="N276" s="2" t="s">
        <v>869</v>
      </c>
      <c r="O276" s="18">
        <v>43536</v>
      </c>
    </row>
    <row r="277" spans="1:19" hidden="1" outlineLevel="1">
      <c r="A277" s="1">
        <v>3</v>
      </c>
      <c r="B277" s="24"/>
      <c r="C277" s="158"/>
      <c r="F277" s="22">
        <v>869270042488956</v>
      </c>
      <c r="M277" s="2" t="s">
        <v>870</v>
      </c>
      <c r="N277" s="2" t="s">
        <v>869</v>
      </c>
      <c r="O277" s="18">
        <v>43535</v>
      </c>
    </row>
    <row r="278" spans="1:19" hidden="1" outlineLevel="1">
      <c r="A278" s="1">
        <v>4</v>
      </c>
      <c r="B278" s="24"/>
      <c r="C278" s="158"/>
      <c r="F278" s="22">
        <v>869270042814375</v>
      </c>
      <c r="M278" s="2" t="s">
        <v>871</v>
      </c>
      <c r="N278" s="2" t="s">
        <v>869</v>
      </c>
      <c r="O278" s="18">
        <v>43536</v>
      </c>
    </row>
    <row r="279" spans="1:19" hidden="1" outlineLevel="1">
      <c r="A279" s="1">
        <v>5</v>
      </c>
      <c r="B279" s="24"/>
      <c r="C279" s="158"/>
      <c r="F279" s="22">
        <v>869270042849652</v>
      </c>
      <c r="M279" s="2" t="s">
        <v>872</v>
      </c>
      <c r="N279" s="2" t="s">
        <v>869</v>
      </c>
      <c r="O279" s="18">
        <v>43535</v>
      </c>
    </row>
    <row r="280" spans="1:19" hidden="1" outlineLevel="1">
      <c r="A280" s="1">
        <v>6</v>
      </c>
      <c r="B280" s="24"/>
      <c r="C280" s="158"/>
      <c r="F280" s="22">
        <v>869270042489350</v>
      </c>
      <c r="M280" s="2" t="s">
        <v>873</v>
      </c>
      <c r="N280" s="2" t="s">
        <v>874</v>
      </c>
      <c r="O280" s="18">
        <v>43524</v>
      </c>
    </row>
    <row r="281" spans="1:19" hidden="1" outlineLevel="1">
      <c r="A281" s="1">
        <v>7</v>
      </c>
      <c r="B281" s="24"/>
      <c r="C281" s="158"/>
      <c r="F281" s="22">
        <v>869270042488865</v>
      </c>
      <c r="M281" s="2" t="s">
        <v>875</v>
      </c>
      <c r="N281" s="2" t="s">
        <v>869</v>
      </c>
      <c r="O281" s="18">
        <v>43535</v>
      </c>
    </row>
    <row r="282" spans="1:19" hidden="1" outlineLevel="1">
      <c r="A282" s="1">
        <v>8</v>
      </c>
      <c r="B282" s="24"/>
      <c r="C282" s="158"/>
      <c r="F282" s="22">
        <v>869270042851922</v>
      </c>
      <c r="M282" s="2" t="s">
        <v>876</v>
      </c>
      <c r="N282" s="2" t="s">
        <v>877</v>
      </c>
      <c r="O282" s="18">
        <v>43529</v>
      </c>
    </row>
    <row r="283" spans="1:19" hidden="1" outlineLevel="1">
      <c r="A283" s="1">
        <v>9</v>
      </c>
      <c r="B283" s="24"/>
      <c r="C283" s="158"/>
      <c r="F283" s="22">
        <v>869270042971092</v>
      </c>
      <c r="M283" s="2" t="s">
        <v>878</v>
      </c>
      <c r="N283" s="2" t="s">
        <v>867</v>
      </c>
      <c r="O283" s="18">
        <v>43523</v>
      </c>
    </row>
    <row r="284" spans="1:19" hidden="1" outlineLevel="1">
      <c r="A284" s="1">
        <v>10</v>
      </c>
      <c r="B284" s="24"/>
      <c r="C284" s="158"/>
      <c r="F284" s="22">
        <v>869270042514215</v>
      </c>
      <c r="M284" s="2" t="s">
        <v>879</v>
      </c>
      <c r="N284" s="2" t="s">
        <v>880</v>
      </c>
      <c r="O284" s="18">
        <v>43525</v>
      </c>
    </row>
    <row r="285" spans="1:19" hidden="1" outlineLevel="1">
      <c r="A285" s="8"/>
      <c r="B285" s="58"/>
      <c r="C285" s="159"/>
      <c r="D285" s="8"/>
      <c r="E285" s="8"/>
      <c r="F285" s="9"/>
      <c r="G285" s="8"/>
      <c r="H285" s="8"/>
      <c r="I285" s="8"/>
      <c r="J285" s="58"/>
      <c r="K285" s="8"/>
      <c r="L285" s="58"/>
      <c r="M285" s="8"/>
      <c r="N285" s="8"/>
      <c r="O285" s="58"/>
      <c r="P285" s="8"/>
      <c r="Q285" s="8"/>
      <c r="R285" s="8"/>
      <c r="S285" s="8"/>
    </row>
    <row r="286" spans="1:19" hidden="1" outlineLevel="1">
      <c r="A286" s="1">
        <v>1</v>
      </c>
      <c r="B286" s="24">
        <v>43514</v>
      </c>
      <c r="C286" s="158"/>
      <c r="E286" s="1" t="s">
        <v>570</v>
      </c>
      <c r="F286" s="22">
        <v>869286030890995</v>
      </c>
      <c r="G286" s="4" t="s">
        <v>499</v>
      </c>
      <c r="I286" s="2" t="s">
        <v>535</v>
      </c>
      <c r="M286" s="2" t="s">
        <v>881</v>
      </c>
      <c r="N286" s="2" t="s">
        <v>882</v>
      </c>
      <c r="O286" s="18">
        <v>43549</v>
      </c>
    </row>
    <row r="287" spans="1:19" hidden="1" outlineLevel="1">
      <c r="A287" s="1">
        <v>2</v>
      </c>
      <c r="B287" s="24"/>
      <c r="C287" s="158"/>
      <c r="F287" s="22">
        <v>869696041144283</v>
      </c>
      <c r="M287" s="2" t="s">
        <v>883</v>
      </c>
      <c r="N287" s="2" t="s">
        <v>884</v>
      </c>
      <c r="O287" s="18">
        <v>43516</v>
      </c>
    </row>
    <row r="288" spans="1:19" hidden="1" outlineLevel="1">
      <c r="A288" s="1">
        <v>3</v>
      </c>
      <c r="B288" s="24"/>
      <c r="C288" s="158"/>
      <c r="F288" s="22">
        <v>869286034977350</v>
      </c>
      <c r="M288" s="2" t="s">
        <v>885</v>
      </c>
      <c r="N288" s="2" t="s">
        <v>884</v>
      </c>
      <c r="O288" s="18">
        <v>43516</v>
      </c>
    </row>
    <row r="289" spans="1:19" hidden="1" outlineLevel="1">
      <c r="A289" s="1">
        <v>4</v>
      </c>
      <c r="B289" s="24"/>
      <c r="C289" s="158"/>
      <c r="F289" s="22">
        <v>869286035217442</v>
      </c>
      <c r="M289" s="2" t="s">
        <v>886</v>
      </c>
      <c r="N289" s="2" t="s">
        <v>882</v>
      </c>
      <c r="O289" s="18">
        <v>43549</v>
      </c>
    </row>
    <row r="290" spans="1:19" hidden="1" outlineLevel="1">
      <c r="A290" s="1">
        <v>5</v>
      </c>
      <c r="B290" s="24"/>
      <c r="C290" s="158"/>
      <c r="F290" s="22">
        <v>869696041214821</v>
      </c>
      <c r="M290" s="2" t="s">
        <v>887</v>
      </c>
      <c r="N290" s="2" t="s">
        <v>884</v>
      </c>
      <c r="O290" s="18">
        <v>43516</v>
      </c>
    </row>
    <row r="291" spans="1:19" hidden="1" outlineLevel="1">
      <c r="A291" s="8"/>
      <c r="B291" s="58"/>
      <c r="C291" s="159"/>
      <c r="D291" s="8"/>
      <c r="E291" s="8"/>
      <c r="F291" s="9"/>
      <c r="G291" s="8"/>
      <c r="H291" s="8"/>
      <c r="I291" s="8"/>
      <c r="J291" s="58"/>
      <c r="K291" s="8"/>
      <c r="L291" s="58"/>
      <c r="M291" s="8"/>
      <c r="N291" s="8"/>
      <c r="O291" s="58"/>
      <c r="P291" s="8"/>
      <c r="Q291" s="8"/>
      <c r="R291" s="8"/>
      <c r="S291" s="8"/>
    </row>
    <row r="292" spans="1:19" hidden="1" outlineLevel="1">
      <c r="A292" s="1">
        <v>1</v>
      </c>
      <c r="B292" s="24">
        <v>43529</v>
      </c>
      <c r="C292" s="158"/>
      <c r="E292" s="1" t="s">
        <v>575</v>
      </c>
      <c r="F292" s="22">
        <v>866795031872789</v>
      </c>
      <c r="G292" s="4" t="s">
        <v>499</v>
      </c>
      <c r="I292" s="2" t="s">
        <v>526</v>
      </c>
      <c r="M292" s="2" t="s">
        <v>888</v>
      </c>
      <c r="N292" s="2" t="s">
        <v>889</v>
      </c>
      <c r="O292" s="18">
        <v>43620</v>
      </c>
    </row>
    <row r="293" spans="1:19" hidden="1" outlineLevel="1">
      <c r="A293" s="1">
        <v>2</v>
      </c>
      <c r="B293" s="24"/>
      <c r="C293" s="158"/>
      <c r="F293" s="22">
        <v>866795031725912</v>
      </c>
      <c r="M293" s="2" t="s">
        <v>890</v>
      </c>
      <c r="N293" s="2" t="s">
        <v>891</v>
      </c>
      <c r="O293" s="18">
        <v>43605</v>
      </c>
    </row>
    <row r="294" spans="1:19" hidden="1" outlineLevel="1">
      <c r="A294" s="1">
        <v>3</v>
      </c>
      <c r="B294" s="24"/>
      <c r="C294" s="158"/>
      <c r="F294" s="22">
        <v>866795031867334</v>
      </c>
      <c r="M294" s="2" t="s">
        <v>892</v>
      </c>
      <c r="N294" s="2" t="s">
        <v>893</v>
      </c>
      <c r="O294" s="18" t="s">
        <v>894</v>
      </c>
    </row>
    <row r="295" spans="1:19" hidden="1" outlineLevel="1">
      <c r="A295" s="1">
        <v>4</v>
      </c>
      <c r="B295" s="24"/>
      <c r="C295" s="158"/>
      <c r="F295" s="22">
        <v>866795031882887</v>
      </c>
      <c r="M295" s="2" t="s">
        <v>895</v>
      </c>
      <c r="N295" s="2" t="s">
        <v>896</v>
      </c>
      <c r="O295" s="18">
        <v>43585</v>
      </c>
    </row>
    <row r="296" spans="1:19" hidden="1" outlineLevel="1">
      <c r="A296" s="1">
        <v>5</v>
      </c>
      <c r="B296" s="24"/>
      <c r="C296" s="158"/>
      <c r="F296" s="22">
        <v>866795031868563</v>
      </c>
      <c r="M296" s="2" t="s">
        <v>897</v>
      </c>
      <c r="N296" s="2" t="s">
        <v>869</v>
      </c>
      <c r="O296" s="18">
        <v>43535</v>
      </c>
    </row>
    <row r="297" spans="1:19" hidden="1" outlineLevel="1">
      <c r="A297" s="1">
        <v>6</v>
      </c>
      <c r="B297" s="24"/>
      <c r="C297" s="158"/>
      <c r="F297" s="22">
        <v>866795031874405</v>
      </c>
      <c r="M297" s="2" t="s">
        <v>898</v>
      </c>
      <c r="N297" s="2" t="s">
        <v>899</v>
      </c>
      <c r="O297" s="18" t="s">
        <v>894</v>
      </c>
    </row>
    <row r="298" spans="1:19" hidden="1" outlineLevel="1">
      <c r="A298" s="1">
        <v>7</v>
      </c>
      <c r="B298" s="24"/>
      <c r="C298" s="158"/>
      <c r="F298" s="22">
        <v>866795031868738</v>
      </c>
      <c r="M298" s="2" t="s">
        <v>900</v>
      </c>
      <c r="N298" s="2" t="s">
        <v>889</v>
      </c>
      <c r="O298" s="18" t="s">
        <v>894</v>
      </c>
    </row>
    <row r="299" spans="1:19" hidden="1" outlineLevel="1">
      <c r="A299" s="1">
        <v>8</v>
      </c>
      <c r="B299" s="24"/>
      <c r="C299" s="158"/>
      <c r="F299" s="22">
        <v>866795031858333</v>
      </c>
      <c r="M299" s="2" t="s">
        <v>901</v>
      </c>
      <c r="N299" s="2" t="s">
        <v>869</v>
      </c>
      <c r="O299" s="18">
        <v>43535</v>
      </c>
    </row>
    <row r="300" spans="1:19" hidden="1" outlineLevel="1">
      <c r="A300" s="1">
        <v>9</v>
      </c>
      <c r="B300" s="24"/>
      <c r="C300" s="158"/>
      <c r="F300" s="22">
        <v>866795031871997</v>
      </c>
      <c r="M300" s="2" t="s">
        <v>902</v>
      </c>
      <c r="N300" s="2" t="s">
        <v>889</v>
      </c>
      <c r="O300" s="18" t="s">
        <v>894</v>
      </c>
    </row>
    <row r="301" spans="1:19" hidden="1" outlineLevel="1">
      <c r="A301" s="1">
        <v>10</v>
      </c>
      <c r="B301" s="24"/>
      <c r="C301" s="158"/>
      <c r="F301" s="22">
        <v>866795031884479</v>
      </c>
      <c r="M301" s="2" t="s">
        <v>903</v>
      </c>
      <c r="N301" s="2" t="s">
        <v>869</v>
      </c>
      <c r="O301" s="18">
        <v>43539</v>
      </c>
    </row>
    <row r="302" spans="1:19" hidden="1" outlineLevel="1">
      <c r="A302" s="1">
        <v>11</v>
      </c>
      <c r="B302" s="24"/>
      <c r="C302" s="158"/>
      <c r="F302" s="22">
        <v>866795031877457</v>
      </c>
      <c r="M302" s="2" t="s">
        <v>904</v>
      </c>
      <c r="N302" s="2" t="s">
        <v>905</v>
      </c>
      <c r="O302" s="18">
        <v>43619</v>
      </c>
    </row>
    <row r="303" spans="1:19" hidden="1" outlineLevel="1">
      <c r="A303" s="1">
        <v>12</v>
      </c>
      <c r="B303" s="24"/>
      <c r="C303" s="158"/>
      <c r="F303" s="22">
        <v>866795031875170</v>
      </c>
      <c r="M303" s="2" t="s">
        <v>906</v>
      </c>
      <c r="N303" s="2" t="s">
        <v>907</v>
      </c>
      <c r="O303" s="18">
        <v>43607</v>
      </c>
    </row>
    <row r="304" spans="1:19" hidden="1" outlineLevel="1">
      <c r="A304" s="1">
        <v>13</v>
      </c>
      <c r="B304" s="24"/>
      <c r="C304" s="158"/>
      <c r="F304" s="22">
        <v>866795031873431</v>
      </c>
      <c r="M304" s="2" t="s">
        <v>908</v>
      </c>
      <c r="N304" s="2" t="s">
        <v>889</v>
      </c>
      <c r="O304" s="18" t="s">
        <v>894</v>
      </c>
    </row>
    <row r="305" spans="1:19" hidden="1" outlineLevel="1">
      <c r="A305" s="1">
        <v>14</v>
      </c>
      <c r="B305" s="24"/>
      <c r="C305" s="158"/>
      <c r="F305" s="22">
        <v>866795031872870</v>
      </c>
      <c r="M305" s="2" t="s">
        <v>909</v>
      </c>
      <c r="N305" s="2" t="s">
        <v>910</v>
      </c>
      <c r="O305" s="18">
        <v>43600</v>
      </c>
    </row>
    <row r="306" spans="1:19" hidden="1" outlineLevel="1">
      <c r="A306" s="1">
        <v>15</v>
      </c>
      <c r="B306" s="24"/>
      <c r="C306" s="158"/>
      <c r="F306" s="22">
        <v>866795031873407</v>
      </c>
      <c r="M306" s="2" t="s">
        <v>911</v>
      </c>
      <c r="N306" s="2" t="s">
        <v>912</v>
      </c>
      <c r="O306" s="18">
        <v>43643</v>
      </c>
    </row>
    <row r="307" spans="1:19" hidden="1" outlineLevel="1">
      <c r="A307" s="8"/>
      <c r="B307" s="58"/>
      <c r="C307" s="159"/>
      <c r="D307" s="8"/>
      <c r="E307" s="8"/>
      <c r="F307" s="9"/>
      <c r="G307" s="8"/>
      <c r="H307" s="8"/>
      <c r="I307" s="8"/>
      <c r="J307" s="58"/>
      <c r="K307" s="8"/>
      <c r="L307" s="58"/>
      <c r="M307" s="8"/>
      <c r="N307" s="8"/>
      <c r="O307" s="58"/>
      <c r="P307" s="8"/>
      <c r="Q307" s="8"/>
      <c r="R307" s="8"/>
      <c r="S307" s="8"/>
    </row>
    <row r="308" spans="1:19" hidden="1" outlineLevel="1">
      <c r="A308" s="1">
        <v>1</v>
      </c>
      <c r="B308" s="24"/>
      <c r="C308" s="158"/>
      <c r="F308" s="22">
        <v>869270042445766</v>
      </c>
      <c r="M308" s="2" t="s">
        <v>913</v>
      </c>
      <c r="N308" s="2" t="s">
        <v>914</v>
      </c>
      <c r="O308" s="18" t="s">
        <v>836</v>
      </c>
    </row>
    <row r="309" spans="1:19" hidden="1" outlineLevel="1">
      <c r="A309" s="1">
        <v>2</v>
      </c>
      <c r="B309" s="24"/>
      <c r="C309" s="158"/>
      <c r="F309" s="22">
        <v>869270042854462</v>
      </c>
      <c r="M309" s="2" t="s">
        <v>915</v>
      </c>
      <c r="N309" s="2" t="s">
        <v>916</v>
      </c>
      <c r="O309" s="18">
        <v>43538</v>
      </c>
    </row>
    <row r="310" spans="1:19" hidden="1" outlineLevel="1">
      <c r="A310" s="1">
        <v>3</v>
      </c>
      <c r="B310" s="24"/>
      <c r="C310" s="158"/>
      <c r="F310" s="22">
        <v>869270042860618</v>
      </c>
      <c r="M310" s="2" t="s">
        <v>917</v>
      </c>
      <c r="N310" s="2" t="s">
        <v>880</v>
      </c>
      <c r="O310" s="18">
        <v>43564</v>
      </c>
    </row>
    <row r="311" spans="1:19" hidden="1" outlineLevel="1">
      <c r="A311" s="1">
        <v>4</v>
      </c>
      <c r="B311" s="24"/>
      <c r="C311" s="158"/>
      <c r="F311" s="22">
        <v>869270043003051</v>
      </c>
      <c r="M311" s="2" t="s">
        <v>918</v>
      </c>
      <c r="N311" s="2" t="s">
        <v>919</v>
      </c>
      <c r="O311" s="18">
        <v>43542</v>
      </c>
    </row>
    <row r="312" spans="1:19" hidden="1" outlineLevel="1">
      <c r="A312" s="1">
        <v>5</v>
      </c>
      <c r="F312" s="22">
        <v>869270042630441</v>
      </c>
      <c r="M312" s="2" t="s">
        <v>920</v>
      </c>
      <c r="N312" s="2" t="s">
        <v>921</v>
      </c>
      <c r="O312" s="18">
        <v>43545</v>
      </c>
    </row>
    <row r="313" spans="1:19" hidden="1" outlineLevel="1">
      <c r="A313" s="1">
        <v>6</v>
      </c>
      <c r="B313" s="11">
        <v>43536</v>
      </c>
      <c r="E313" s="1" t="s">
        <v>576</v>
      </c>
      <c r="F313" s="22">
        <v>869270042826528</v>
      </c>
      <c r="M313" s="2" t="s">
        <v>922</v>
      </c>
      <c r="N313" s="2" t="s">
        <v>923</v>
      </c>
      <c r="O313" s="18">
        <v>43637</v>
      </c>
    </row>
    <row r="314" spans="1:19" hidden="1" outlineLevel="1">
      <c r="A314" s="1">
        <v>7</v>
      </c>
      <c r="F314" s="22">
        <v>869270042680883</v>
      </c>
      <c r="M314" s="2" t="s">
        <v>924</v>
      </c>
      <c r="N314" s="2" t="s">
        <v>925</v>
      </c>
      <c r="O314" s="18">
        <v>43544</v>
      </c>
    </row>
    <row r="315" spans="1:19" hidden="1" outlineLevel="1">
      <c r="A315" s="1">
        <v>8</v>
      </c>
      <c r="F315" s="22">
        <v>869270042830306</v>
      </c>
      <c r="I315" s="2" t="s">
        <v>536</v>
      </c>
      <c r="M315" s="2" t="s">
        <v>835</v>
      </c>
      <c r="N315" s="2" t="s">
        <v>836</v>
      </c>
      <c r="O315" s="18" t="s">
        <v>836</v>
      </c>
    </row>
    <row r="316" spans="1:19" hidden="1" outlineLevel="1">
      <c r="A316" s="1">
        <v>9</v>
      </c>
      <c r="F316" s="22">
        <v>869270042855048</v>
      </c>
      <c r="G316" s="4" t="s">
        <v>503</v>
      </c>
      <c r="I316" s="2" t="s">
        <v>537</v>
      </c>
      <c r="N316" s="2" t="s">
        <v>836</v>
      </c>
      <c r="O316" s="18">
        <v>43836</v>
      </c>
    </row>
    <row r="317" spans="1:19" hidden="1" outlineLevel="1">
      <c r="A317" s="1">
        <v>10</v>
      </c>
      <c r="F317" s="22">
        <v>869270042625367</v>
      </c>
      <c r="M317" s="2" t="s">
        <v>926</v>
      </c>
      <c r="N317" s="2" t="s">
        <v>925</v>
      </c>
      <c r="O317" s="18">
        <v>43635</v>
      </c>
    </row>
    <row r="318" spans="1:19" hidden="1" outlineLevel="1">
      <c r="A318" s="8"/>
      <c r="B318" s="58"/>
      <c r="C318" s="159"/>
      <c r="D318" s="8"/>
      <c r="E318" s="8"/>
      <c r="F318" s="9"/>
      <c r="G318" s="8"/>
      <c r="H318" s="8"/>
      <c r="I318" s="8"/>
      <c r="J318" s="58"/>
      <c r="K318" s="8"/>
      <c r="L318" s="58"/>
      <c r="M318" s="8"/>
      <c r="N318" s="8"/>
      <c r="O318" s="58"/>
      <c r="P318" s="8"/>
      <c r="Q318" s="8"/>
      <c r="R318" s="8"/>
      <c r="S318" s="8"/>
    </row>
    <row r="319" spans="1:19" hidden="1" outlineLevel="1">
      <c r="A319" s="1">
        <v>1</v>
      </c>
      <c r="F319" s="22">
        <v>869270042792795</v>
      </c>
      <c r="M319" s="2" t="s">
        <v>927</v>
      </c>
      <c r="N319" s="2" t="s">
        <v>928</v>
      </c>
      <c r="O319" s="18" t="s">
        <v>836</v>
      </c>
    </row>
    <row r="320" spans="1:19" hidden="1" outlineLevel="1">
      <c r="A320" s="1">
        <v>2</v>
      </c>
      <c r="F320" s="22">
        <v>869270042936277</v>
      </c>
      <c r="M320" s="2" t="s">
        <v>929</v>
      </c>
      <c r="N320" s="2" t="s">
        <v>880</v>
      </c>
      <c r="O320" s="18">
        <v>43560</v>
      </c>
    </row>
    <row r="321" spans="1:19" hidden="1" outlineLevel="1">
      <c r="A321" s="1">
        <v>3</v>
      </c>
      <c r="F321" s="22">
        <v>869270042455633</v>
      </c>
      <c r="M321" s="2" t="s">
        <v>930</v>
      </c>
      <c r="N321" s="2" t="s">
        <v>931</v>
      </c>
      <c r="O321" s="18">
        <v>43556</v>
      </c>
    </row>
    <row r="322" spans="1:19" hidden="1" outlineLevel="1">
      <c r="A322" s="1">
        <v>4</v>
      </c>
      <c r="F322" s="22">
        <v>869270042855972</v>
      </c>
      <c r="M322" s="2" t="s">
        <v>932</v>
      </c>
      <c r="N322" s="2" t="s">
        <v>933</v>
      </c>
      <c r="O322" s="18">
        <v>43567</v>
      </c>
    </row>
    <row r="323" spans="1:19" hidden="1" outlineLevel="1">
      <c r="A323" s="1">
        <v>5</v>
      </c>
      <c r="F323" s="22">
        <v>869270042939131</v>
      </c>
      <c r="M323" s="2" t="s">
        <v>934</v>
      </c>
      <c r="N323" s="2" t="s">
        <v>931</v>
      </c>
      <c r="O323" s="18">
        <v>43556</v>
      </c>
    </row>
    <row r="324" spans="1:19" hidden="1" outlineLevel="1">
      <c r="A324" s="1">
        <v>6</v>
      </c>
      <c r="B324" s="11">
        <v>43549</v>
      </c>
      <c r="E324" s="1" t="s">
        <v>576</v>
      </c>
      <c r="F324" s="22">
        <v>869270042795244</v>
      </c>
      <c r="M324" s="2" t="s">
        <v>935</v>
      </c>
      <c r="N324" s="2" t="s">
        <v>936</v>
      </c>
      <c r="O324" s="18">
        <v>43560</v>
      </c>
    </row>
    <row r="325" spans="1:19" hidden="1" outlineLevel="1">
      <c r="A325" s="1">
        <v>7</v>
      </c>
      <c r="F325" s="22">
        <v>869270042796069</v>
      </c>
      <c r="M325" s="2" t="s">
        <v>937</v>
      </c>
      <c r="N325" s="2" t="s">
        <v>938</v>
      </c>
      <c r="O325" s="18">
        <v>43564</v>
      </c>
    </row>
    <row r="326" spans="1:19" hidden="1" outlineLevel="1">
      <c r="A326" s="1">
        <v>8</v>
      </c>
      <c r="F326" s="22">
        <v>869270042791516</v>
      </c>
      <c r="M326" s="2" t="s">
        <v>939</v>
      </c>
      <c r="N326" s="2" t="s">
        <v>928</v>
      </c>
      <c r="O326" s="18">
        <v>43567</v>
      </c>
    </row>
    <row r="327" spans="1:19" hidden="1" outlineLevel="1">
      <c r="A327" s="1">
        <v>9</v>
      </c>
      <c r="F327" s="22">
        <v>869270042681873</v>
      </c>
      <c r="M327" s="2" t="s">
        <v>940</v>
      </c>
      <c r="N327" s="2" t="s">
        <v>928</v>
      </c>
      <c r="O327" s="18">
        <v>43568</v>
      </c>
    </row>
    <row r="328" spans="1:19" hidden="1" outlineLevel="1">
      <c r="A328" s="1">
        <v>10</v>
      </c>
      <c r="F328" s="22">
        <v>869270042795269</v>
      </c>
      <c r="M328" s="2" t="s">
        <v>941</v>
      </c>
      <c r="N328" s="2" t="s">
        <v>942</v>
      </c>
      <c r="O328" s="18">
        <v>43571</v>
      </c>
    </row>
    <row r="329" spans="1:19" hidden="1" outlineLevel="1">
      <c r="A329" s="8"/>
      <c r="B329" s="58"/>
      <c r="C329" s="159"/>
      <c r="D329" s="8"/>
      <c r="E329" s="8"/>
      <c r="F329" s="9"/>
      <c r="G329" s="8"/>
      <c r="H329" s="8"/>
      <c r="I329" s="8"/>
      <c r="J329" s="58"/>
      <c r="K329" s="8"/>
      <c r="L329" s="58"/>
      <c r="M329" s="8"/>
      <c r="N329" s="8"/>
      <c r="O329" s="58"/>
      <c r="P329" s="8"/>
      <c r="Q329" s="8"/>
      <c r="R329" s="8"/>
      <c r="S329" s="8"/>
    </row>
    <row r="330" spans="1:19" hidden="1" outlineLevel="1">
      <c r="A330" s="1">
        <v>1</v>
      </c>
      <c r="B330" s="11">
        <v>43564</v>
      </c>
      <c r="E330" s="1" t="s">
        <v>576</v>
      </c>
      <c r="F330" s="22">
        <v>869270042788421</v>
      </c>
      <c r="M330" s="2" t="s">
        <v>943</v>
      </c>
      <c r="N330" s="2" t="s">
        <v>942</v>
      </c>
      <c r="O330" s="18">
        <v>43566</v>
      </c>
    </row>
    <row r="331" spans="1:19" hidden="1" outlineLevel="1">
      <c r="A331" s="1">
        <v>2</v>
      </c>
      <c r="F331" s="22">
        <v>869270042825033</v>
      </c>
      <c r="M331" s="2" t="s">
        <v>944</v>
      </c>
      <c r="N331" s="2" t="s">
        <v>945</v>
      </c>
      <c r="O331" s="18">
        <v>43566</v>
      </c>
    </row>
    <row r="332" spans="1:19" hidden="1" outlineLevel="1">
      <c r="A332" s="1">
        <v>3</v>
      </c>
      <c r="F332" s="22">
        <v>869270042514116</v>
      </c>
      <c r="M332" s="2" t="s">
        <v>946</v>
      </c>
      <c r="N332" s="2" t="s">
        <v>947</v>
      </c>
      <c r="O332" s="18">
        <v>43570</v>
      </c>
    </row>
    <row r="333" spans="1:19" hidden="1" outlineLevel="1">
      <c r="A333" s="1">
        <v>4</v>
      </c>
      <c r="F333" s="22">
        <v>869270042454636</v>
      </c>
      <c r="M333" s="2" t="s">
        <v>948</v>
      </c>
      <c r="N333" s="2" t="s">
        <v>942</v>
      </c>
      <c r="O333" s="18">
        <v>43571</v>
      </c>
    </row>
    <row r="334" spans="1:19" hidden="1" outlineLevel="1">
      <c r="A334" s="1">
        <v>5</v>
      </c>
      <c r="F334" s="22">
        <v>869270042587252</v>
      </c>
      <c r="M334" s="2" t="s">
        <v>949</v>
      </c>
      <c r="N334" s="2" t="s">
        <v>942</v>
      </c>
      <c r="O334" s="18">
        <v>43571</v>
      </c>
    </row>
    <row r="335" spans="1:19" hidden="1" outlineLevel="1">
      <c r="A335" s="1">
        <v>6</v>
      </c>
      <c r="F335" s="22">
        <v>869270042953041</v>
      </c>
      <c r="M335" s="2" t="s">
        <v>950</v>
      </c>
      <c r="N335" s="2" t="s">
        <v>951</v>
      </c>
      <c r="O335" s="18">
        <v>43570</v>
      </c>
    </row>
    <row r="336" spans="1:19" hidden="1" outlineLevel="1">
      <c r="A336" s="1">
        <v>7</v>
      </c>
      <c r="F336" s="22">
        <v>869270042820620</v>
      </c>
      <c r="M336" s="2" t="s">
        <v>952</v>
      </c>
      <c r="N336" s="2" t="s">
        <v>953</v>
      </c>
      <c r="O336" s="18">
        <v>43573</v>
      </c>
    </row>
    <row r="337" spans="1:19" hidden="1" outlineLevel="1">
      <c r="A337" s="1">
        <v>8</v>
      </c>
      <c r="F337" s="22">
        <v>869270042957661</v>
      </c>
      <c r="M337" s="2" t="s">
        <v>954</v>
      </c>
      <c r="N337" s="2" t="s">
        <v>951</v>
      </c>
      <c r="O337" s="18">
        <v>43570</v>
      </c>
    </row>
    <row r="338" spans="1:19" hidden="1" outlineLevel="1">
      <c r="A338" s="1">
        <v>9</v>
      </c>
      <c r="F338" s="22">
        <v>869270042444827</v>
      </c>
      <c r="M338" s="2" t="s">
        <v>955</v>
      </c>
      <c r="N338" s="2" t="s">
        <v>880</v>
      </c>
      <c r="O338" s="18">
        <v>43565</v>
      </c>
    </row>
    <row r="339" spans="1:19" hidden="1" outlineLevel="1">
      <c r="A339" s="1">
        <v>10</v>
      </c>
      <c r="F339" s="22">
        <v>869270042842137</v>
      </c>
      <c r="M339" s="2" t="s">
        <v>956</v>
      </c>
      <c r="N339" s="2" t="s">
        <v>945</v>
      </c>
      <c r="O339" s="18">
        <v>43566</v>
      </c>
    </row>
    <row r="340" spans="1:19" hidden="1" outlineLevel="1">
      <c r="A340" s="8"/>
      <c r="B340" s="58"/>
      <c r="C340" s="159"/>
      <c r="D340" s="8"/>
      <c r="E340" s="8"/>
      <c r="F340" s="9"/>
      <c r="G340" s="8"/>
      <c r="H340" s="8"/>
      <c r="I340" s="8"/>
      <c r="J340" s="58"/>
      <c r="K340" s="8"/>
      <c r="L340" s="58"/>
      <c r="M340" s="8"/>
      <c r="N340" s="8"/>
      <c r="O340" s="58"/>
      <c r="P340" s="8"/>
      <c r="Q340" s="8"/>
      <c r="R340" s="8"/>
      <c r="S340" s="8"/>
    </row>
    <row r="341" spans="1:19" hidden="1" outlineLevel="1">
      <c r="A341" s="1">
        <v>1</v>
      </c>
      <c r="B341" s="11">
        <v>43570</v>
      </c>
      <c r="E341" s="1" t="s">
        <v>577</v>
      </c>
      <c r="F341" s="22">
        <v>867157046273314</v>
      </c>
      <c r="M341" s="2" t="s">
        <v>957</v>
      </c>
      <c r="N341" s="2" t="s">
        <v>958</v>
      </c>
      <c r="O341" s="18">
        <v>43676</v>
      </c>
    </row>
    <row r="342" spans="1:19" hidden="1" outlineLevel="1">
      <c r="A342" s="1">
        <v>2</v>
      </c>
      <c r="F342" s="22">
        <v>867459041055054</v>
      </c>
      <c r="M342" s="2" t="s">
        <v>959</v>
      </c>
      <c r="N342" s="2" t="s">
        <v>960</v>
      </c>
      <c r="O342" s="18">
        <v>43591</v>
      </c>
    </row>
    <row r="343" spans="1:19" hidden="1" outlineLevel="1">
      <c r="A343" s="1">
        <v>3</v>
      </c>
      <c r="F343" s="22">
        <v>867459041043126</v>
      </c>
      <c r="M343" s="2" t="s">
        <v>961</v>
      </c>
      <c r="N343" s="2" t="s">
        <v>852</v>
      </c>
      <c r="O343" s="18">
        <v>43602</v>
      </c>
    </row>
    <row r="344" spans="1:19" hidden="1" outlineLevel="1">
      <c r="A344" s="1">
        <v>4</v>
      </c>
      <c r="F344" s="22">
        <v>867157046082426</v>
      </c>
      <c r="M344" s="2" t="s">
        <v>962</v>
      </c>
      <c r="N344" s="2" t="s">
        <v>963</v>
      </c>
      <c r="O344" s="18">
        <v>43581</v>
      </c>
    </row>
    <row r="345" spans="1:19" hidden="1" outlineLevel="1">
      <c r="A345" s="1">
        <v>5</v>
      </c>
      <c r="F345" s="22">
        <v>867459041059916</v>
      </c>
      <c r="M345" s="2" t="s">
        <v>964</v>
      </c>
      <c r="N345" s="2" t="s">
        <v>852</v>
      </c>
      <c r="O345" s="18">
        <v>43602</v>
      </c>
    </row>
    <row r="346" spans="1:19" hidden="1" outlineLevel="1">
      <c r="A346" s="1">
        <v>6</v>
      </c>
      <c r="F346" s="22">
        <v>867157046079992</v>
      </c>
      <c r="M346" s="2" t="s">
        <v>965</v>
      </c>
      <c r="N346" s="2" t="s">
        <v>966</v>
      </c>
      <c r="O346" s="18">
        <v>43579</v>
      </c>
    </row>
    <row r="347" spans="1:19" hidden="1" outlineLevel="1">
      <c r="A347" s="1">
        <v>7</v>
      </c>
      <c r="F347" s="22">
        <v>867459041040163</v>
      </c>
      <c r="M347" s="2" t="s">
        <v>967</v>
      </c>
      <c r="N347" s="2" t="s">
        <v>968</v>
      </c>
      <c r="O347" s="18">
        <v>43581</v>
      </c>
    </row>
    <row r="348" spans="1:19" hidden="1" outlineLevel="1">
      <c r="A348" s="1">
        <v>8</v>
      </c>
      <c r="F348" s="22">
        <v>867157046098083</v>
      </c>
      <c r="M348" s="2" t="s">
        <v>969</v>
      </c>
      <c r="N348" s="2" t="s">
        <v>970</v>
      </c>
      <c r="O348" s="18">
        <v>43581</v>
      </c>
    </row>
    <row r="349" spans="1:19" hidden="1" outlineLevel="1">
      <c r="A349" s="1">
        <v>9</v>
      </c>
      <c r="F349" s="22">
        <v>867157046101127</v>
      </c>
      <c r="M349" s="2" t="s">
        <v>971</v>
      </c>
      <c r="N349" s="2" t="s">
        <v>931</v>
      </c>
      <c r="O349" s="18">
        <v>43585</v>
      </c>
    </row>
    <row r="350" spans="1:19" hidden="1" outlineLevel="1">
      <c r="A350" s="1">
        <v>10</v>
      </c>
      <c r="F350" s="22">
        <v>867459041048174</v>
      </c>
      <c r="M350" s="2" t="s">
        <v>972</v>
      </c>
      <c r="N350" s="2" t="s">
        <v>973</v>
      </c>
      <c r="O350" s="18">
        <v>43572</v>
      </c>
    </row>
    <row r="351" spans="1:19" hidden="1" outlineLevel="1">
      <c r="A351" s="8"/>
      <c r="B351" s="58"/>
      <c r="C351" s="159"/>
      <c r="D351" s="8"/>
      <c r="E351" s="8"/>
      <c r="F351" s="9"/>
      <c r="G351" s="8"/>
      <c r="H351" s="8"/>
      <c r="I351" s="8"/>
      <c r="J351" s="58"/>
      <c r="K351" s="8"/>
      <c r="L351" s="58"/>
      <c r="M351" s="8"/>
      <c r="N351" s="8"/>
      <c r="O351" s="58"/>
      <c r="P351" s="8"/>
      <c r="Q351" s="8"/>
      <c r="R351" s="8"/>
      <c r="S351" s="8"/>
    </row>
    <row r="352" spans="1:19" hidden="1" outlineLevel="1">
      <c r="A352" s="1">
        <v>1</v>
      </c>
      <c r="B352" s="11">
        <v>43571</v>
      </c>
      <c r="E352" s="1" t="s">
        <v>576</v>
      </c>
      <c r="F352" s="22">
        <v>867459041044967</v>
      </c>
      <c r="M352" s="2" t="s">
        <v>974</v>
      </c>
      <c r="N352" s="2" t="s">
        <v>852</v>
      </c>
      <c r="O352" s="18">
        <v>43605</v>
      </c>
    </row>
    <row r="353" spans="1:19" hidden="1" outlineLevel="1">
      <c r="A353" s="1">
        <v>2</v>
      </c>
      <c r="F353" s="22">
        <v>867157046272407</v>
      </c>
      <c r="M353" s="2" t="s">
        <v>975</v>
      </c>
      <c r="N353" s="2" t="s">
        <v>976</v>
      </c>
      <c r="O353" s="18">
        <v>43561</v>
      </c>
    </row>
    <row r="354" spans="1:19" hidden="1" outlineLevel="1">
      <c r="A354" s="1">
        <v>3</v>
      </c>
      <c r="F354" s="22">
        <v>867157046264677</v>
      </c>
      <c r="M354" s="2" t="s">
        <v>977</v>
      </c>
      <c r="N354" s="2" t="s">
        <v>978</v>
      </c>
      <c r="O354" s="18">
        <v>43664</v>
      </c>
    </row>
    <row r="355" spans="1:19" hidden="1" outlineLevel="1">
      <c r="A355" s="1">
        <v>4</v>
      </c>
      <c r="F355" s="22">
        <v>867157046270344</v>
      </c>
      <c r="M355" s="2" t="s">
        <v>979</v>
      </c>
      <c r="N355" s="2" t="s">
        <v>877</v>
      </c>
      <c r="O355" s="18">
        <v>43578</v>
      </c>
    </row>
    <row r="356" spans="1:19" hidden="1" outlineLevel="1">
      <c r="A356" s="1">
        <v>5</v>
      </c>
      <c r="F356" s="22">
        <v>867459041045055</v>
      </c>
      <c r="M356" s="2" t="s">
        <v>980</v>
      </c>
      <c r="N356" s="2" t="s">
        <v>981</v>
      </c>
      <c r="O356" s="18">
        <v>43581</v>
      </c>
    </row>
    <row r="357" spans="1:19" hidden="1" outlineLevel="1">
      <c r="A357" s="1">
        <v>6</v>
      </c>
      <c r="F357" s="22">
        <v>867157046098125</v>
      </c>
      <c r="M357" s="2" t="s">
        <v>982</v>
      </c>
      <c r="N357" s="2" t="s">
        <v>852</v>
      </c>
      <c r="O357" s="18">
        <v>43602</v>
      </c>
    </row>
    <row r="358" spans="1:19" hidden="1" outlineLevel="1">
      <c r="A358" s="1">
        <v>7</v>
      </c>
      <c r="F358" s="22">
        <v>867157048465983</v>
      </c>
      <c r="M358" s="2" t="s">
        <v>983</v>
      </c>
      <c r="N358" s="2" t="s">
        <v>860</v>
      </c>
      <c r="O358" s="18">
        <v>43580</v>
      </c>
    </row>
    <row r="359" spans="1:19" hidden="1" outlineLevel="1">
      <c r="A359" s="1">
        <v>8</v>
      </c>
      <c r="F359" s="22">
        <v>867157046272910</v>
      </c>
      <c r="M359" s="2" t="s">
        <v>984</v>
      </c>
      <c r="N359" s="2" t="s">
        <v>966</v>
      </c>
      <c r="O359" s="18">
        <v>43578</v>
      </c>
    </row>
    <row r="360" spans="1:19" hidden="1" outlineLevel="1">
      <c r="A360" s="1">
        <v>9</v>
      </c>
      <c r="F360" s="22">
        <v>867459041044421</v>
      </c>
      <c r="M360" s="2" t="s">
        <v>985</v>
      </c>
      <c r="N360" s="2" t="s">
        <v>925</v>
      </c>
      <c r="O360" s="18">
        <v>43579</v>
      </c>
    </row>
    <row r="361" spans="1:19" hidden="1" outlineLevel="1">
      <c r="A361" s="1">
        <v>10</v>
      </c>
      <c r="F361" s="22">
        <v>867157046274205</v>
      </c>
      <c r="M361" s="2" t="s">
        <v>986</v>
      </c>
      <c r="N361" s="2" t="s">
        <v>852</v>
      </c>
      <c r="O361" s="18">
        <v>43606</v>
      </c>
    </row>
    <row r="362" spans="1:19" hidden="1" outlineLevel="1">
      <c r="A362" s="8"/>
      <c r="B362" s="58"/>
      <c r="C362" s="159"/>
      <c r="D362" s="8"/>
      <c r="E362" s="8"/>
      <c r="F362" s="9"/>
      <c r="G362" s="8"/>
      <c r="H362" s="8"/>
      <c r="I362" s="8"/>
      <c r="J362" s="58"/>
      <c r="K362" s="8"/>
      <c r="L362" s="58"/>
      <c r="M362" s="8"/>
      <c r="N362" s="8"/>
      <c r="O362" s="58"/>
      <c r="P362" s="8"/>
      <c r="Q362" s="8"/>
      <c r="R362" s="8"/>
      <c r="S362" s="8"/>
    </row>
    <row r="363" spans="1:19" hidden="1" outlineLevel="1">
      <c r="A363" s="1">
        <v>1</v>
      </c>
      <c r="B363" s="11">
        <v>43570</v>
      </c>
      <c r="E363" s="1" t="s">
        <v>578</v>
      </c>
      <c r="F363" s="22" t="s">
        <v>494</v>
      </c>
      <c r="M363" s="2" t="s">
        <v>987</v>
      </c>
      <c r="N363" s="2" t="s">
        <v>988</v>
      </c>
      <c r="O363" s="18">
        <v>43570</v>
      </c>
    </row>
    <row r="364" spans="1:19" hidden="1" outlineLevel="1">
      <c r="A364" s="8"/>
      <c r="B364" s="58"/>
      <c r="C364" s="159"/>
      <c r="D364" s="8"/>
      <c r="E364" s="8"/>
      <c r="F364" s="9"/>
      <c r="G364" s="8"/>
      <c r="H364" s="8"/>
      <c r="I364" s="8"/>
      <c r="J364" s="58"/>
      <c r="K364" s="8"/>
      <c r="L364" s="58"/>
      <c r="M364" s="8"/>
      <c r="N364" s="8"/>
      <c r="O364" s="58"/>
      <c r="P364" s="8"/>
      <c r="Q364" s="8"/>
      <c r="R364" s="8"/>
      <c r="S364" s="8"/>
    </row>
    <row r="365" spans="1:19" hidden="1" outlineLevel="1">
      <c r="A365" s="1">
        <v>1</v>
      </c>
      <c r="B365" s="11">
        <v>43591</v>
      </c>
      <c r="E365" s="1" t="s">
        <v>579</v>
      </c>
      <c r="F365" s="22">
        <v>867459041033929</v>
      </c>
      <c r="M365" s="2" t="s">
        <v>989</v>
      </c>
      <c r="N365" s="2" t="s">
        <v>990</v>
      </c>
      <c r="O365" s="18">
        <v>43589</v>
      </c>
    </row>
    <row r="366" spans="1:19" hidden="1" outlineLevel="1">
      <c r="A366" s="1">
        <v>2</v>
      </c>
      <c r="F366" s="22">
        <v>867459041037441</v>
      </c>
      <c r="M366" s="2" t="s">
        <v>991</v>
      </c>
      <c r="N366" s="2" t="s">
        <v>992</v>
      </c>
      <c r="O366" s="18">
        <v>43593</v>
      </c>
    </row>
    <row r="367" spans="1:19" hidden="1" outlineLevel="1">
      <c r="A367" s="1">
        <v>3</v>
      </c>
      <c r="F367" s="22">
        <v>867459041043894</v>
      </c>
      <c r="M367" s="2" t="s">
        <v>993</v>
      </c>
      <c r="N367" s="2" t="s">
        <v>992</v>
      </c>
      <c r="O367" s="18">
        <v>43593</v>
      </c>
    </row>
    <row r="368" spans="1:19" hidden="1" outlineLevel="1">
      <c r="A368" s="1">
        <v>4</v>
      </c>
      <c r="F368" s="22">
        <v>867459041035510</v>
      </c>
      <c r="M368" s="2" t="s">
        <v>994</v>
      </c>
      <c r="N368" s="2" t="s">
        <v>992</v>
      </c>
      <c r="O368" s="18">
        <v>43595</v>
      </c>
    </row>
    <row r="369" spans="1:19" hidden="1" outlineLevel="1">
      <c r="A369" s="1">
        <v>5</v>
      </c>
      <c r="F369" s="22">
        <v>867459041039504</v>
      </c>
      <c r="M369" s="2" t="s">
        <v>995</v>
      </c>
      <c r="N369" s="2" t="s">
        <v>966</v>
      </c>
      <c r="O369" s="18">
        <v>43598</v>
      </c>
    </row>
    <row r="370" spans="1:19" hidden="1" outlineLevel="1">
      <c r="A370" s="1">
        <v>6</v>
      </c>
      <c r="F370" s="22">
        <v>867459041038050</v>
      </c>
      <c r="M370" s="2" t="s">
        <v>996</v>
      </c>
      <c r="N370" s="2" t="s">
        <v>992</v>
      </c>
      <c r="O370" s="18">
        <v>43598</v>
      </c>
    </row>
    <row r="371" spans="1:19" hidden="1" outlineLevel="1">
      <c r="A371" s="1">
        <v>7</v>
      </c>
      <c r="F371" s="22">
        <v>867459041035528</v>
      </c>
      <c r="M371" s="2" t="s">
        <v>997</v>
      </c>
      <c r="N371" s="2" t="s">
        <v>992</v>
      </c>
      <c r="O371" s="18">
        <v>43598</v>
      </c>
    </row>
    <row r="372" spans="1:19" hidden="1" outlineLevel="1">
      <c r="A372" s="1">
        <v>8</v>
      </c>
      <c r="F372" s="22">
        <v>867459041045915</v>
      </c>
      <c r="M372" s="2" t="s">
        <v>998</v>
      </c>
      <c r="N372" s="2" t="s">
        <v>938</v>
      </c>
      <c r="O372" s="18">
        <v>43598</v>
      </c>
    </row>
    <row r="373" spans="1:19" hidden="1" outlineLevel="1">
      <c r="A373" s="1">
        <v>9</v>
      </c>
      <c r="F373" s="22">
        <v>867459041041880</v>
      </c>
      <c r="M373" s="2" t="s">
        <v>999</v>
      </c>
      <c r="N373" s="2" t="s">
        <v>1000</v>
      </c>
      <c r="O373" s="18">
        <v>43600</v>
      </c>
    </row>
    <row r="374" spans="1:19" hidden="1" outlineLevel="1">
      <c r="A374" s="1">
        <v>10</v>
      </c>
      <c r="F374" s="22">
        <v>867459041034976</v>
      </c>
      <c r="I374" s="2" t="s">
        <v>538</v>
      </c>
      <c r="M374" s="2" t="s">
        <v>1001</v>
      </c>
      <c r="N374" s="2" t="s">
        <v>1002</v>
      </c>
      <c r="O374" s="18">
        <v>43600</v>
      </c>
    </row>
    <row r="375" spans="1:19" hidden="1" outlineLevel="1">
      <c r="A375" s="8"/>
      <c r="B375" s="58"/>
      <c r="C375" s="159"/>
      <c r="D375" s="8"/>
      <c r="E375" s="8"/>
      <c r="F375" s="9"/>
      <c r="G375" s="8"/>
      <c r="H375" s="8"/>
      <c r="I375" s="8"/>
      <c r="J375" s="58"/>
      <c r="K375" s="8"/>
      <c r="L375" s="58"/>
      <c r="M375" s="8"/>
      <c r="N375" s="8"/>
      <c r="O375" s="58"/>
      <c r="P375" s="8"/>
      <c r="Q375" s="8"/>
      <c r="R375" s="8"/>
      <c r="S375" s="8"/>
    </row>
    <row r="376" spans="1:19" hidden="1" outlineLevel="1">
      <c r="A376" s="1">
        <v>1</v>
      </c>
      <c r="B376" s="11">
        <v>43600</v>
      </c>
      <c r="E376" s="1" t="s">
        <v>580</v>
      </c>
      <c r="F376" s="22">
        <v>867157048470355</v>
      </c>
      <c r="M376" s="2" t="s">
        <v>1003</v>
      </c>
      <c r="N376" s="2" t="s">
        <v>978</v>
      </c>
      <c r="O376" s="18">
        <v>43605</v>
      </c>
    </row>
    <row r="377" spans="1:19" hidden="1" outlineLevel="1">
      <c r="A377" s="1">
        <v>2</v>
      </c>
      <c r="F377" s="22">
        <v>867157046269379</v>
      </c>
      <c r="M377" s="2" t="s">
        <v>1004</v>
      </c>
      <c r="N377" s="2" t="s">
        <v>1005</v>
      </c>
      <c r="O377" s="18">
        <v>43606</v>
      </c>
    </row>
    <row r="378" spans="1:19" hidden="1" outlineLevel="1">
      <c r="A378" s="1">
        <v>3</v>
      </c>
      <c r="F378" s="22">
        <v>867157048461339</v>
      </c>
      <c r="M378" s="2" t="s">
        <v>1006</v>
      </c>
      <c r="N378" s="2" t="s">
        <v>1007</v>
      </c>
      <c r="O378" s="18">
        <v>43607</v>
      </c>
    </row>
    <row r="379" spans="1:19" hidden="1" outlineLevel="1">
      <c r="A379" s="1">
        <v>4</v>
      </c>
      <c r="F379" s="22">
        <v>867157048376966</v>
      </c>
      <c r="M379" s="2" t="s">
        <v>1008</v>
      </c>
      <c r="N379" s="2" t="s">
        <v>992</v>
      </c>
      <c r="O379" s="18">
        <v>43596</v>
      </c>
    </row>
    <row r="380" spans="1:19" hidden="1" outlineLevel="1">
      <c r="A380" s="1">
        <v>5</v>
      </c>
      <c r="F380" s="22">
        <v>867459041068735</v>
      </c>
      <c r="M380" s="2" t="s">
        <v>1009</v>
      </c>
      <c r="N380" s="2" t="s">
        <v>276</v>
      </c>
      <c r="O380" s="18">
        <v>43605</v>
      </c>
    </row>
    <row r="381" spans="1:19" hidden="1" outlineLevel="1">
      <c r="A381" s="1">
        <v>6</v>
      </c>
      <c r="F381" s="22">
        <v>867157048381511</v>
      </c>
      <c r="M381" s="2" t="s">
        <v>1010</v>
      </c>
      <c r="N381" s="2" t="s">
        <v>978</v>
      </c>
      <c r="O381" s="18">
        <v>43605</v>
      </c>
    </row>
    <row r="382" spans="1:19" hidden="1" outlineLevel="1">
      <c r="A382" s="1">
        <v>7</v>
      </c>
      <c r="F382" s="22">
        <v>867157046263935</v>
      </c>
      <c r="M382" s="2" t="s">
        <v>1011</v>
      </c>
      <c r="N382" s="2" t="s">
        <v>978</v>
      </c>
      <c r="O382" s="18">
        <v>43609</v>
      </c>
    </row>
    <row r="383" spans="1:19" hidden="1" outlineLevel="1">
      <c r="A383" s="1">
        <v>8</v>
      </c>
      <c r="F383" s="22">
        <v>867157048382105</v>
      </c>
      <c r="M383" s="2" t="s">
        <v>1012</v>
      </c>
      <c r="N383" s="2" t="s">
        <v>852</v>
      </c>
      <c r="O383" s="18">
        <v>43614</v>
      </c>
    </row>
    <row r="384" spans="1:19" hidden="1" outlineLevel="1">
      <c r="A384" s="1">
        <v>9</v>
      </c>
      <c r="F384" s="22">
        <v>867157046100871</v>
      </c>
      <c r="M384" s="2" t="s">
        <v>1013</v>
      </c>
      <c r="N384" s="2" t="s">
        <v>978</v>
      </c>
      <c r="O384" s="18">
        <v>43605</v>
      </c>
    </row>
    <row r="385" spans="1:19" hidden="1" outlineLevel="1">
      <c r="A385" s="1">
        <v>10</v>
      </c>
      <c r="F385" s="22">
        <v>867157046097077</v>
      </c>
      <c r="M385" s="2" t="s">
        <v>1014</v>
      </c>
      <c r="N385" s="2" t="s">
        <v>978</v>
      </c>
      <c r="O385" s="18">
        <v>43605</v>
      </c>
    </row>
    <row r="386" spans="1:19" hidden="1" outlineLevel="1">
      <c r="A386" s="1">
        <v>11</v>
      </c>
      <c r="F386" s="22">
        <v>867157046265450</v>
      </c>
      <c r="M386" s="2" t="s">
        <v>1015</v>
      </c>
      <c r="N386" s="2" t="s">
        <v>951</v>
      </c>
      <c r="O386" s="18">
        <v>43634</v>
      </c>
    </row>
    <row r="387" spans="1:19" hidden="1" outlineLevel="1">
      <c r="A387" s="1">
        <v>12</v>
      </c>
      <c r="F387" s="22">
        <v>867157046171690</v>
      </c>
      <c r="M387" s="2" t="s">
        <v>1016</v>
      </c>
      <c r="N387" s="2" t="s">
        <v>852</v>
      </c>
      <c r="O387" s="18">
        <v>43614</v>
      </c>
    </row>
    <row r="388" spans="1:19" hidden="1" outlineLevel="1">
      <c r="A388" s="1">
        <v>13</v>
      </c>
      <c r="F388" s="22">
        <v>867157046099693</v>
      </c>
      <c r="M388" s="2" t="s">
        <v>1017</v>
      </c>
      <c r="N388" s="2" t="s">
        <v>1005</v>
      </c>
      <c r="O388" s="18">
        <v>43606</v>
      </c>
    </row>
    <row r="389" spans="1:19" hidden="1" outlineLevel="1">
      <c r="A389" s="1">
        <v>14</v>
      </c>
      <c r="F389" s="22">
        <v>867157046100533</v>
      </c>
      <c r="M389" s="2" t="s">
        <v>1018</v>
      </c>
      <c r="N389" s="2" t="s">
        <v>1005</v>
      </c>
      <c r="O389" s="18">
        <v>43606</v>
      </c>
    </row>
    <row r="390" spans="1:19" hidden="1" outlineLevel="1">
      <c r="A390" s="1">
        <v>15</v>
      </c>
      <c r="F390" s="22">
        <v>867459041078361</v>
      </c>
      <c r="M390" s="2" t="s">
        <v>1019</v>
      </c>
      <c r="N390" s="2" t="s">
        <v>931</v>
      </c>
      <c r="O390" s="18">
        <v>43601</v>
      </c>
    </row>
    <row r="391" spans="1:19" hidden="1" outlineLevel="1">
      <c r="A391" s="8"/>
      <c r="B391" s="58"/>
      <c r="C391" s="159"/>
      <c r="D391" s="8"/>
      <c r="E391" s="8"/>
      <c r="F391" s="9"/>
      <c r="G391" s="8"/>
      <c r="H391" s="8"/>
      <c r="I391" s="8"/>
      <c r="J391" s="58"/>
      <c r="K391" s="8"/>
      <c r="L391" s="58"/>
      <c r="M391" s="8"/>
      <c r="N391" s="8"/>
      <c r="O391" s="58"/>
      <c r="P391" s="8"/>
      <c r="Q391" s="8"/>
      <c r="R391" s="8"/>
      <c r="S391" s="8"/>
    </row>
    <row r="392" spans="1:19" hidden="1" outlineLevel="1">
      <c r="A392" s="1">
        <v>1</v>
      </c>
      <c r="B392" s="11">
        <v>43607</v>
      </c>
      <c r="E392" s="1" t="s">
        <v>581</v>
      </c>
      <c r="F392" s="22">
        <v>866795031417023</v>
      </c>
      <c r="M392" s="2" t="s">
        <v>1020</v>
      </c>
      <c r="N392" s="2" t="s">
        <v>860</v>
      </c>
      <c r="O392" s="18">
        <v>43609</v>
      </c>
    </row>
    <row r="393" spans="1:19" hidden="1" outlineLevel="1">
      <c r="A393" s="1">
        <v>2</v>
      </c>
      <c r="F393" s="22">
        <v>866795031453895</v>
      </c>
      <c r="M393" s="2" t="s">
        <v>1021</v>
      </c>
      <c r="N393" s="2" t="s">
        <v>1022</v>
      </c>
      <c r="O393" s="18">
        <v>43609</v>
      </c>
    </row>
    <row r="394" spans="1:19" hidden="1" outlineLevel="1">
      <c r="A394" s="1">
        <v>3</v>
      </c>
      <c r="F394" s="22">
        <v>866795031425760</v>
      </c>
      <c r="I394" s="2" t="s">
        <v>539</v>
      </c>
      <c r="M394" s="2" t="s">
        <v>1023</v>
      </c>
      <c r="N394" s="2" t="s">
        <v>1024</v>
      </c>
      <c r="O394" s="18" t="s">
        <v>836</v>
      </c>
    </row>
    <row r="395" spans="1:19" hidden="1" outlineLevel="1">
      <c r="A395" s="1">
        <v>4</v>
      </c>
      <c r="F395" s="22">
        <v>866795031467333</v>
      </c>
      <c r="M395" s="2" t="s">
        <v>1025</v>
      </c>
      <c r="N395" s="2" t="s">
        <v>1022</v>
      </c>
      <c r="O395" s="18">
        <v>43608</v>
      </c>
    </row>
    <row r="396" spans="1:19" hidden="1" outlineLevel="1">
      <c r="A396" s="1">
        <v>5</v>
      </c>
      <c r="F396" s="22">
        <v>866795031472036</v>
      </c>
      <c r="M396" s="2" t="s">
        <v>1026</v>
      </c>
      <c r="N396" s="2" t="s">
        <v>1022</v>
      </c>
      <c r="O396" s="18">
        <v>43608</v>
      </c>
    </row>
    <row r="397" spans="1:19" hidden="1" outlineLevel="1">
      <c r="A397" s="1">
        <v>6</v>
      </c>
      <c r="F397" s="22">
        <v>866795031426537</v>
      </c>
      <c r="M397" s="2" t="s">
        <v>1027</v>
      </c>
      <c r="N397" s="2" t="s">
        <v>1022</v>
      </c>
      <c r="O397" s="18">
        <v>43608</v>
      </c>
    </row>
    <row r="398" spans="1:19" hidden="1" outlineLevel="1">
      <c r="A398" s="1">
        <v>7</v>
      </c>
      <c r="F398" s="22">
        <v>866795031472010</v>
      </c>
      <c r="M398" s="2" t="s">
        <v>1028</v>
      </c>
      <c r="N398" s="2" t="s">
        <v>860</v>
      </c>
      <c r="O398" s="18">
        <v>43609</v>
      </c>
    </row>
    <row r="399" spans="1:19" hidden="1" outlineLevel="1">
      <c r="A399" s="1">
        <v>8</v>
      </c>
      <c r="F399" s="22">
        <v>866795031472275</v>
      </c>
      <c r="M399" s="2" t="s">
        <v>1029</v>
      </c>
      <c r="N399" s="2" t="s">
        <v>1030</v>
      </c>
      <c r="O399" s="18">
        <v>43613</v>
      </c>
    </row>
    <row r="400" spans="1:19" hidden="1" outlineLevel="1">
      <c r="A400" s="1">
        <v>9</v>
      </c>
      <c r="F400" s="22">
        <v>866795031464827</v>
      </c>
      <c r="M400" s="2" t="s">
        <v>1031</v>
      </c>
      <c r="N400" s="2" t="s">
        <v>1032</v>
      </c>
      <c r="O400" s="18">
        <v>43609</v>
      </c>
    </row>
    <row r="401" spans="1:19" hidden="1" outlineLevel="1">
      <c r="A401" s="1">
        <v>10</v>
      </c>
      <c r="F401" s="22">
        <v>866795031462805</v>
      </c>
      <c r="M401" s="2" t="s">
        <v>1033</v>
      </c>
      <c r="N401" s="2" t="s">
        <v>1030</v>
      </c>
      <c r="O401" s="18">
        <v>43613</v>
      </c>
    </row>
    <row r="402" spans="1:19" hidden="1" outlineLevel="1">
      <c r="A402" s="1">
        <v>11</v>
      </c>
      <c r="F402" s="22">
        <v>866795031736760</v>
      </c>
      <c r="M402" s="2" t="s">
        <v>1034</v>
      </c>
      <c r="N402" s="2" t="s">
        <v>1022</v>
      </c>
      <c r="O402" s="18">
        <v>43608</v>
      </c>
    </row>
    <row r="403" spans="1:19" hidden="1" outlineLevel="1">
      <c r="A403" s="1">
        <v>12</v>
      </c>
      <c r="F403" s="22">
        <v>866795031471988</v>
      </c>
      <c r="M403" s="2" t="s">
        <v>1035</v>
      </c>
      <c r="N403" s="2" t="s">
        <v>863</v>
      </c>
      <c r="O403" s="18">
        <v>43609</v>
      </c>
    </row>
    <row r="404" spans="1:19" hidden="1" outlineLevel="1">
      <c r="A404" s="1">
        <v>13</v>
      </c>
      <c r="F404" s="22">
        <v>866795031736752</v>
      </c>
      <c r="M404" s="2" t="s">
        <v>1036</v>
      </c>
      <c r="N404" s="2" t="s">
        <v>1022</v>
      </c>
      <c r="O404" s="18">
        <v>43609</v>
      </c>
    </row>
    <row r="405" spans="1:19" hidden="1" outlineLevel="1">
      <c r="A405" s="1">
        <v>14</v>
      </c>
      <c r="F405" s="22">
        <v>866795031465402</v>
      </c>
      <c r="M405" s="2" t="s">
        <v>1037</v>
      </c>
      <c r="N405" s="2" t="s">
        <v>1022</v>
      </c>
      <c r="O405" s="18">
        <v>43609</v>
      </c>
    </row>
    <row r="406" spans="1:19" hidden="1" outlineLevel="1">
      <c r="A406" s="1">
        <v>15</v>
      </c>
      <c r="F406" s="22">
        <v>866795031449620</v>
      </c>
      <c r="M406" s="2" t="s">
        <v>1038</v>
      </c>
      <c r="N406" s="2" t="s">
        <v>1022</v>
      </c>
      <c r="O406" s="18">
        <v>43609</v>
      </c>
    </row>
    <row r="407" spans="1:19" hidden="1" outlineLevel="1">
      <c r="A407" s="8"/>
      <c r="B407" s="58"/>
      <c r="C407" s="159"/>
      <c r="D407" s="8"/>
      <c r="E407" s="8"/>
      <c r="F407" s="9"/>
      <c r="G407" s="8"/>
      <c r="H407" s="8"/>
      <c r="I407" s="8"/>
      <c r="J407" s="58"/>
      <c r="K407" s="8"/>
      <c r="L407" s="58"/>
      <c r="M407" s="8"/>
      <c r="N407" s="8"/>
      <c r="O407" s="58"/>
      <c r="P407" s="8"/>
      <c r="Q407" s="8"/>
      <c r="R407" s="8"/>
      <c r="S407" s="8"/>
    </row>
    <row r="408" spans="1:19" hidden="1" outlineLevel="1">
      <c r="A408" s="1">
        <v>1</v>
      </c>
      <c r="B408" s="11">
        <v>43614</v>
      </c>
      <c r="E408" s="1" t="s">
        <v>581</v>
      </c>
      <c r="F408" s="22">
        <v>866795031410887</v>
      </c>
      <c r="I408" s="2" t="s">
        <v>540</v>
      </c>
      <c r="M408" s="2" t="s">
        <v>835</v>
      </c>
      <c r="N408" s="2" t="s">
        <v>836</v>
      </c>
      <c r="O408" s="18" t="s">
        <v>836</v>
      </c>
    </row>
    <row r="409" spans="1:19" hidden="1" outlineLevel="1">
      <c r="A409" s="1">
        <v>2</v>
      </c>
      <c r="F409" s="22">
        <v>866795031720814</v>
      </c>
      <c r="M409" s="2" t="s">
        <v>1039</v>
      </c>
      <c r="N409" s="2" t="s">
        <v>1040</v>
      </c>
      <c r="O409" s="18">
        <v>43614</v>
      </c>
    </row>
    <row r="410" spans="1:19" hidden="1" outlineLevel="1">
      <c r="A410" s="1">
        <v>3</v>
      </c>
      <c r="F410" s="22">
        <v>866795031403056</v>
      </c>
      <c r="M410" s="2" t="s">
        <v>1041</v>
      </c>
      <c r="N410" s="2" t="s">
        <v>1042</v>
      </c>
      <c r="O410" s="18">
        <v>43621</v>
      </c>
    </row>
    <row r="411" spans="1:19" hidden="1" outlineLevel="1">
      <c r="A411" s="1">
        <v>4</v>
      </c>
      <c r="F411" s="22">
        <v>866795031750175</v>
      </c>
      <c r="M411" s="2" t="s">
        <v>1043</v>
      </c>
      <c r="N411" s="2" t="s">
        <v>1044</v>
      </c>
      <c r="O411" s="18">
        <v>43622</v>
      </c>
    </row>
    <row r="412" spans="1:19" hidden="1" outlineLevel="1">
      <c r="A412" s="1">
        <v>5</v>
      </c>
      <c r="F412" s="22">
        <v>866795031406836</v>
      </c>
      <c r="M412" s="2" t="s">
        <v>1045</v>
      </c>
      <c r="N412" s="2" t="s">
        <v>978</v>
      </c>
      <c r="O412" s="18">
        <v>43670</v>
      </c>
    </row>
    <row r="413" spans="1:19" hidden="1" outlineLevel="1">
      <c r="A413" s="1">
        <v>6</v>
      </c>
      <c r="F413" s="22">
        <v>866795031721432</v>
      </c>
      <c r="M413" s="2" t="s">
        <v>1046</v>
      </c>
      <c r="N413" s="2" t="s">
        <v>276</v>
      </c>
      <c r="O413" s="18">
        <v>43615</v>
      </c>
    </row>
    <row r="414" spans="1:19" hidden="1" outlineLevel="1">
      <c r="A414" s="1">
        <v>7</v>
      </c>
      <c r="F414" s="22">
        <v>866795031402397</v>
      </c>
      <c r="M414" s="2" t="s">
        <v>1047</v>
      </c>
      <c r="N414" s="2" t="s">
        <v>1048</v>
      </c>
      <c r="O414" s="18">
        <v>43620</v>
      </c>
    </row>
    <row r="415" spans="1:19" hidden="1" outlineLevel="1">
      <c r="A415" s="1">
        <v>8</v>
      </c>
      <c r="F415" s="22">
        <v>866795031750027</v>
      </c>
      <c r="M415" s="2" t="s">
        <v>1049</v>
      </c>
      <c r="N415" s="2" t="s">
        <v>874</v>
      </c>
      <c r="O415" s="18">
        <v>43627</v>
      </c>
    </row>
    <row r="416" spans="1:19" hidden="1" outlineLevel="1">
      <c r="A416" s="1">
        <v>9</v>
      </c>
      <c r="F416" s="22">
        <v>866795031430562</v>
      </c>
      <c r="M416" s="2" t="s">
        <v>1050</v>
      </c>
      <c r="N416" s="2" t="s">
        <v>874</v>
      </c>
      <c r="O416" s="18">
        <v>43627</v>
      </c>
    </row>
    <row r="417" spans="1:19" hidden="1" outlineLevel="1">
      <c r="A417" s="1">
        <v>10</v>
      </c>
      <c r="F417" s="22">
        <v>866795031720616</v>
      </c>
      <c r="M417" s="2" t="s">
        <v>1051</v>
      </c>
      <c r="N417" s="2" t="s">
        <v>1052</v>
      </c>
      <c r="O417" s="18">
        <v>43624</v>
      </c>
    </row>
    <row r="418" spans="1:19" hidden="1" outlineLevel="1">
      <c r="A418" s="1">
        <v>11</v>
      </c>
      <c r="F418" s="22">
        <v>866795031716812</v>
      </c>
      <c r="M418" s="2" t="s">
        <v>1053</v>
      </c>
      <c r="N418" s="2" t="s">
        <v>1044</v>
      </c>
      <c r="O418" s="18">
        <v>43621</v>
      </c>
    </row>
    <row r="419" spans="1:19" hidden="1" outlineLevel="1">
      <c r="A419" s="1">
        <v>12</v>
      </c>
      <c r="F419" s="22">
        <v>866795031401589</v>
      </c>
      <c r="M419" s="2" t="s">
        <v>1054</v>
      </c>
      <c r="N419" s="2" t="s">
        <v>914</v>
      </c>
      <c r="O419" s="18">
        <v>43627</v>
      </c>
    </row>
    <row r="420" spans="1:19" hidden="1" outlineLevel="1">
      <c r="A420" s="1">
        <v>13</v>
      </c>
      <c r="F420" s="22">
        <v>866795031718271</v>
      </c>
      <c r="M420" s="2" t="s">
        <v>1055</v>
      </c>
      <c r="N420" s="2" t="s">
        <v>978</v>
      </c>
      <c r="O420" s="18">
        <v>43630</v>
      </c>
    </row>
    <row r="421" spans="1:19" hidden="1" outlineLevel="1">
      <c r="A421" s="1">
        <v>14</v>
      </c>
      <c r="F421" s="22">
        <v>866795031404476</v>
      </c>
      <c r="M421" s="2" t="s">
        <v>1056</v>
      </c>
      <c r="N421" s="2" t="s">
        <v>1057</v>
      </c>
      <c r="O421" s="18">
        <v>43627</v>
      </c>
    </row>
    <row r="422" spans="1:19" hidden="1" outlineLevel="1">
      <c r="A422" s="1">
        <v>15</v>
      </c>
      <c r="F422" s="22">
        <v>866795031750001</v>
      </c>
      <c r="M422" s="2" t="s">
        <v>1058</v>
      </c>
      <c r="N422" s="2" t="s">
        <v>1044</v>
      </c>
      <c r="O422" s="18">
        <v>43622</v>
      </c>
    </row>
    <row r="423" spans="1:19" hidden="1" outlineLevel="1">
      <c r="A423" s="8"/>
      <c r="B423" s="58"/>
      <c r="C423" s="159"/>
      <c r="D423" s="8"/>
      <c r="E423" s="8"/>
      <c r="F423" s="9"/>
      <c r="G423" s="8"/>
      <c r="H423" s="8"/>
      <c r="I423" s="8"/>
      <c r="J423" s="58"/>
      <c r="K423" s="8"/>
      <c r="L423" s="58"/>
      <c r="M423" s="8"/>
      <c r="N423" s="8"/>
      <c r="O423" s="58"/>
      <c r="P423" s="8"/>
      <c r="Q423" s="8"/>
      <c r="R423" s="8"/>
      <c r="S423" s="8"/>
    </row>
    <row r="424" spans="1:19" hidden="1" outlineLevel="1">
      <c r="A424" s="1">
        <v>1</v>
      </c>
      <c r="B424" s="11">
        <v>43620</v>
      </c>
      <c r="E424" s="1" t="s">
        <v>582</v>
      </c>
      <c r="F424" s="22">
        <v>866795032171314</v>
      </c>
      <c r="M424" s="2" t="s">
        <v>1059</v>
      </c>
      <c r="N424" s="2" t="s">
        <v>1044</v>
      </c>
      <c r="O424" s="18">
        <v>43634</v>
      </c>
    </row>
    <row r="425" spans="1:19" hidden="1" outlineLevel="1">
      <c r="A425" s="1">
        <v>2</v>
      </c>
      <c r="F425" s="22">
        <v>866795031863630</v>
      </c>
      <c r="M425" s="2" t="s">
        <v>1060</v>
      </c>
      <c r="N425" s="2" t="s">
        <v>1061</v>
      </c>
      <c r="O425" s="18" t="s">
        <v>836</v>
      </c>
    </row>
    <row r="426" spans="1:19" hidden="1" outlineLevel="1">
      <c r="A426" s="1">
        <v>3</v>
      </c>
      <c r="F426" s="22">
        <v>866795031864265</v>
      </c>
      <c r="M426" s="2" t="s">
        <v>1062</v>
      </c>
      <c r="N426" s="2" t="s">
        <v>1063</v>
      </c>
      <c r="O426" s="18">
        <v>43621</v>
      </c>
    </row>
    <row r="427" spans="1:19" hidden="1" outlineLevel="1">
      <c r="A427" s="1">
        <v>4</v>
      </c>
      <c r="F427" s="22">
        <v>866795032170332</v>
      </c>
      <c r="M427" s="2" t="s">
        <v>1064</v>
      </c>
      <c r="N427" s="2" t="s">
        <v>1063</v>
      </c>
      <c r="O427" s="18">
        <v>43621</v>
      </c>
    </row>
    <row r="428" spans="1:19" hidden="1" outlineLevel="1">
      <c r="A428" s="1">
        <v>5</v>
      </c>
      <c r="F428" s="22">
        <v>866795032167577</v>
      </c>
      <c r="M428" s="2" t="s">
        <v>1065</v>
      </c>
      <c r="N428" s="2" t="s">
        <v>1063</v>
      </c>
      <c r="O428" s="18">
        <v>43621</v>
      </c>
    </row>
    <row r="429" spans="1:19" hidden="1" outlineLevel="1">
      <c r="A429" s="1">
        <v>6</v>
      </c>
      <c r="F429" s="22">
        <v>866795031874488</v>
      </c>
      <c r="M429" s="2" t="s">
        <v>1066</v>
      </c>
      <c r="N429" s="2" t="s">
        <v>1067</v>
      </c>
      <c r="O429" s="18">
        <v>43633</v>
      </c>
    </row>
    <row r="430" spans="1:19" hidden="1" outlineLevel="1">
      <c r="A430" s="1">
        <v>7</v>
      </c>
      <c r="F430" s="22">
        <v>866795032202762</v>
      </c>
      <c r="M430" s="2" t="s">
        <v>1068</v>
      </c>
      <c r="N430" s="2" t="s">
        <v>1069</v>
      </c>
      <c r="O430" s="18">
        <v>43627</v>
      </c>
    </row>
    <row r="431" spans="1:19" hidden="1" outlineLevel="1">
      <c r="A431" s="1">
        <v>8</v>
      </c>
      <c r="F431" s="22">
        <v>866795032204040</v>
      </c>
      <c r="M431" s="2" t="s">
        <v>1070</v>
      </c>
      <c r="N431" s="2" t="s">
        <v>1071</v>
      </c>
      <c r="O431" s="18">
        <v>43621</v>
      </c>
    </row>
    <row r="432" spans="1:19" hidden="1" outlineLevel="1">
      <c r="A432" s="1">
        <v>9</v>
      </c>
      <c r="F432" s="22">
        <v>866795032173070</v>
      </c>
      <c r="M432" s="2" t="s">
        <v>1072</v>
      </c>
      <c r="N432" s="2" t="s">
        <v>1063</v>
      </c>
      <c r="O432" s="18">
        <v>43621</v>
      </c>
    </row>
    <row r="433" spans="1:19" hidden="1" outlineLevel="1">
      <c r="A433" s="1">
        <v>10</v>
      </c>
      <c r="F433" s="22">
        <v>866795032176883</v>
      </c>
      <c r="M433" s="2" t="s">
        <v>1073</v>
      </c>
      <c r="N433" s="2" t="s">
        <v>1063</v>
      </c>
      <c r="O433" s="18">
        <v>43621</v>
      </c>
    </row>
    <row r="434" spans="1:19" hidden="1" outlineLevel="1">
      <c r="A434" s="8"/>
      <c r="B434" s="58"/>
      <c r="C434" s="159"/>
      <c r="D434" s="8"/>
      <c r="E434" s="8"/>
      <c r="F434" s="9"/>
      <c r="G434" s="8"/>
      <c r="H434" s="8"/>
      <c r="I434" s="8"/>
      <c r="J434" s="58"/>
      <c r="K434" s="8"/>
      <c r="L434" s="58"/>
      <c r="M434" s="8"/>
      <c r="N434" s="8"/>
      <c r="O434" s="58"/>
      <c r="P434" s="8"/>
      <c r="Q434" s="8"/>
      <c r="R434" s="8"/>
      <c r="S434" s="8"/>
    </row>
    <row r="435" spans="1:19" hidden="1" outlineLevel="1">
      <c r="A435" s="1">
        <v>1</v>
      </c>
      <c r="B435" s="11">
        <v>43626</v>
      </c>
      <c r="E435" s="1" t="s">
        <v>583</v>
      </c>
      <c r="F435" s="22">
        <v>866795031751736</v>
      </c>
      <c r="I435" s="2" t="s">
        <v>541</v>
      </c>
      <c r="M435" s="2" t="s">
        <v>835</v>
      </c>
      <c r="N435" s="2" t="s">
        <v>836</v>
      </c>
      <c r="O435" s="18" t="s">
        <v>836</v>
      </c>
    </row>
    <row r="436" spans="1:19" hidden="1" outlineLevel="1">
      <c r="A436" s="1">
        <v>2</v>
      </c>
      <c r="F436" s="22">
        <v>866795031708199</v>
      </c>
      <c r="M436" s="2" t="s">
        <v>1074</v>
      </c>
      <c r="N436" s="2" t="s">
        <v>1075</v>
      </c>
      <c r="O436" s="18">
        <v>43633</v>
      </c>
    </row>
    <row r="437" spans="1:19" hidden="1" outlineLevel="1">
      <c r="A437" s="1">
        <v>3</v>
      </c>
      <c r="F437" s="22">
        <v>866795031747544</v>
      </c>
      <c r="M437" s="2" t="s">
        <v>1076</v>
      </c>
      <c r="N437" s="2" t="s">
        <v>874</v>
      </c>
      <c r="O437" s="18">
        <v>43645</v>
      </c>
    </row>
    <row r="438" spans="1:19" hidden="1" outlineLevel="1">
      <c r="A438" s="1">
        <v>4</v>
      </c>
      <c r="F438" s="22">
        <v>866795031751744</v>
      </c>
      <c r="M438" s="2" t="s">
        <v>1077</v>
      </c>
      <c r="N438" s="2" t="s">
        <v>276</v>
      </c>
      <c r="O438" s="18">
        <v>43634</v>
      </c>
    </row>
    <row r="439" spans="1:19" hidden="1" outlineLevel="1">
      <c r="A439" s="1">
        <v>5</v>
      </c>
      <c r="F439" s="22">
        <v>866795031736612</v>
      </c>
      <c r="M439" s="2" t="s">
        <v>1078</v>
      </c>
      <c r="N439" s="2" t="s">
        <v>1079</v>
      </c>
      <c r="O439" s="18">
        <v>43641</v>
      </c>
    </row>
    <row r="440" spans="1:19" hidden="1" outlineLevel="1">
      <c r="A440" s="1">
        <v>6</v>
      </c>
      <c r="F440" s="22">
        <v>866795031746850</v>
      </c>
      <c r="M440" s="2" t="s">
        <v>1080</v>
      </c>
      <c r="N440" s="2" t="s">
        <v>298</v>
      </c>
      <c r="O440" s="18">
        <v>43637</v>
      </c>
    </row>
    <row r="441" spans="1:19" hidden="1" outlineLevel="1">
      <c r="A441" s="1">
        <v>7</v>
      </c>
      <c r="F441" s="22">
        <v>866795031737123</v>
      </c>
      <c r="M441" s="2" t="s">
        <v>1081</v>
      </c>
      <c r="N441" s="2" t="s">
        <v>1082</v>
      </c>
      <c r="O441" s="18">
        <v>43638</v>
      </c>
    </row>
    <row r="442" spans="1:19" hidden="1" outlineLevel="1">
      <c r="A442" s="1">
        <v>8</v>
      </c>
      <c r="F442" s="22">
        <v>866795031438136</v>
      </c>
      <c r="M442" s="2" t="s">
        <v>1083</v>
      </c>
      <c r="N442" s="2" t="s">
        <v>1005</v>
      </c>
      <c r="O442" s="18">
        <v>43636</v>
      </c>
    </row>
    <row r="443" spans="1:19" hidden="1" outlineLevel="1">
      <c r="A443" s="1">
        <v>9</v>
      </c>
      <c r="F443" s="22">
        <v>866795031453051</v>
      </c>
      <c r="M443" s="2" t="s">
        <v>1084</v>
      </c>
      <c r="N443" s="2" t="s">
        <v>874</v>
      </c>
      <c r="O443" s="18">
        <v>43636</v>
      </c>
    </row>
    <row r="444" spans="1:19" hidden="1" outlineLevel="1">
      <c r="A444" s="1">
        <v>10</v>
      </c>
      <c r="F444" s="22">
        <v>866795031452962</v>
      </c>
      <c r="I444" s="2" t="s">
        <v>542</v>
      </c>
      <c r="M444" s="2" t="s">
        <v>835</v>
      </c>
      <c r="N444" s="2" t="s">
        <v>836</v>
      </c>
      <c r="O444" s="18" t="s">
        <v>836</v>
      </c>
    </row>
    <row r="445" spans="1:19" hidden="1" outlineLevel="1">
      <c r="A445" s="8"/>
      <c r="B445" s="58"/>
      <c r="C445" s="159"/>
      <c r="D445" s="8"/>
      <c r="E445" s="8"/>
      <c r="F445" s="9"/>
      <c r="G445" s="8"/>
      <c r="H445" s="8"/>
      <c r="I445" s="8"/>
      <c r="J445" s="58"/>
      <c r="K445" s="8"/>
      <c r="L445" s="58"/>
      <c r="M445" s="8"/>
      <c r="N445" s="8"/>
      <c r="O445" s="58"/>
      <c r="P445" s="8"/>
      <c r="Q445" s="8"/>
      <c r="R445" s="8"/>
      <c r="S445" s="8"/>
    </row>
    <row r="446" spans="1:19" hidden="1" outlineLevel="1">
      <c r="A446" s="1">
        <v>1</v>
      </c>
      <c r="B446" s="11">
        <v>43634</v>
      </c>
      <c r="E446" s="1" t="s">
        <v>584</v>
      </c>
      <c r="F446" s="22">
        <v>866795032836510</v>
      </c>
      <c r="M446" s="2" t="s">
        <v>1085</v>
      </c>
      <c r="N446" s="2" t="s">
        <v>1086</v>
      </c>
      <c r="O446" s="18">
        <v>43643</v>
      </c>
    </row>
    <row r="447" spans="1:19" hidden="1" outlineLevel="1">
      <c r="A447" s="1">
        <v>2</v>
      </c>
      <c r="F447" s="22">
        <v>866795032829879</v>
      </c>
      <c r="M447" s="2" t="s">
        <v>1087</v>
      </c>
      <c r="N447" s="2" t="s">
        <v>1086</v>
      </c>
      <c r="O447" s="18">
        <v>43641</v>
      </c>
    </row>
    <row r="448" spans="1:19" hidden="1" outlineLevel="1">
      <c r="A448" s="1">
        <v>3</v>
      </c>
      <c r="F448" s="22">
        <v>866795032837807</v>
      </c>
      <c r="M448" s="2" t="s">
        <v>1088</v>
      </c>
      <c r="N448" s="2" t="s">
        <v>1089</v>
      </c>
      <c r="O448" s="18">
        <v>43703</v>
      </c>
    </row>
    <row r="449" spans="1:19" hidden="1" outlineLevel="1">
      <c r="A449" s="1">
        <v>4</v>
      </c>
      <c r="F449" s="22">
        <v>866795032836460</v>
      </c>
      <c r="M449" s="2" t="s">
        <v>1090</v>
      </c>
      <c r="N449" s="2" t="s">
        <v>1091</v>
      </c>
      <c r="O449" s="18">
        <v>43686</v>
      </c>
    </row>
    <row r="450" spans="1:19" hidden="1" outlineLevel="1">
      <c r="A450" s="1">
        <v>5</v>
      </c>
      <c r="F450" s="22">
        <v>866795032930115</v>
      </c>
      <c r="M450" s="2" t="s">
        <v>1092</v>
      </c>
      <c r="N450" s="2" t="s">
        <v>1079</v>
      </c>
      <c r="O450" s="18">
        <v>43649</v>
      </c>
    </row>
    <row r="451" spans="1:19" hidden="1" outlineLevel="1">
      <c r="A451" s="1">
        <v>6</v>
      </c>
      <c r="F451" s="22">
        <v>866795032896191</v>
      </c>
      <c r="M451" s="2" t="s">
        <v>1093</v>
      </c>
      <c r="N451" s="2" t="s">
        <v>919</v>
      </c>
      <c r="O451" s="18">
        <v>43665</v>
      </c>
    </row>
    <row r="452" spans="1:19" hidden="1" outlineLevel="1">
      <c r="A452" s="1">
        <v>7</v>
      </c>
      <c r="F452" s="22">
        <v>866795032899039</v>
      </c>
      <c r="M452" s="2" t="s">
        <v>1094</v>
      </c>
      <c r="N452" s="2" t="s">
        <v>1079</v>
      </c>
      <c r="O452" s="18">
        <v>43680</v>
      </c>
    </row>
    <row r="453" spans="1:19" hidden="1" outlineLevel="1">
      <c r="A453" s="1">
        <v>8</v>
      </c>
      <c r="F453" s="22">
        <v>866795032829945</v>
      </c>
      <c r="M453" s="2" t="s">
        <v>1095</v>
      </c>
      <c r="N453" s="2" t="s">
        <v>1086</v>
      </c>
      <c r="O453" s="18">
        <v>43648</v>
      </c>
    </row>
    <row r="454" spans="1:19" hidden="1" outlineLevel="1">
      <c r="A454" s="1">
        <v>9</v>
      </c>
      <c r="F454" s="22">
        <v>866795032835470</v>
      </c>
      <c r="M454" s="2" t="s">
        <v>1096</v>
      </c>
      <c r="N454" s="2" t="s">
        <v>1079</v>
      </c>
      <c r="O454" s="18">
        <v>43649</v>
      </c>
    </row>
    <row r="455" spans="1:19" hidden="1" outlineLevel="1">
      <c r="A455" s="1">
        <v>10</v>
      </c>
      <c r="F455" s="22">
        <v>866795032829895</v>
      </c>
      <c r="M455" s="2" t="s">
        <v>1097</v>
      </c>
      <c r="N455" s="2" t="s">
        <v>276</v>
      </c>
      <c r="O455" s="18" t="s">
        <v>836</v>
      </c>
    </row>
    <row r="456" spans="1:19" hidden="1" outlineLevel="1">
      <c r="A456" s="8"/>
      <c r="B456" s="58"/>
      <c r="C456" s="159"/>
      <c r="D456" s="8"/>
      <c r="E456" s="8"/>
      <c r="F456" s="9"/>
      <c r="G456" s="8"/>
      <c r="H456" s="8"/>
      <c r="I456" s="8"/>
      <c r="J456" s="58"/>
      <c r="K456" s="8"/>
      <c r="L456" s="58"/>
      <c r="M456" s="8"/>
      <c r="N456" s="8"/>
      <c r="O456" s="58"/>
      <c r="P456" s="8"/>
      <c r="Q456" s="8"/>
      <c r="R456" s="8"/>
      <c r="S456" s="8"/>
    </row>
    <row r="457" spans="1:19" hidden="1" outlineLevel="1">
      <c r="A457" s="1">
        <v>1</v>
      </c>
      <c r="B457" s="11">
        <v>43634</v>
      </c>
      <c r="E457" s="1" t="s">
        <v>585</v>
      </c>
      <c r="F457" s="22">
        <v>866795032135004</v>
      </c>
      <c r="M457" s="2" t="s">
        <v>1098</v>
      </c>
      <c r="N457" s="2" t="s">
        <v>1099</v>
      </c>
      <c r="O457" s="18">
        <v>43642</v>
      </c>
    </row>
    <row r="458" spans="1:19" hidden="1" outlineLevel="1">
      <c r="A458" s="1">
        <v>2</v>
      </c>
      <c r="F458" s="22">
        <v>866795032515205</v>
      </c>
      <c r="M458" s="2" t="s">
        <v>1100</v>
      </c>
      <c r="N458" s="2" t="s">
        <v>1061</v>
      </c>
      <c r="O458" s="18" t="s">
        <v>836</v>
      </c>
    </row>
    <row r="459" spans="1:19" hidden="1" outlineLevel="1">
      <c r="A459" s="1">
        <v>3</v>
      </c>
      <c r="F459" s="22">
        <v>866795032144881</v>
      </c>
      <c r="M459" s="2" t="s">
        <v>1101</v>
      </c>
      <c r="N459" s="2" t="s">
        <v>1061</v>
      </c>
      <c r="O459" s="18" t="s">
        <v>836</v>
      </c>
    </row>
    <row r="460" spans="1:19" hidden="1" outlineLevel="1">
      <c r="A460" s="1">
        <v>4</v>
      </c>
      <c r="F460" s="22">
        <v>866795032482356</v>
      </c>
      <c r="M460" s="2" t="s">
        <v>1102</v>
      </c>
      <c r="N460" s="2" t="s">
        <v>1061</v>
      </c>
      <c r="O460" s="18" t="s">
        <v>836</v>
      </c>
    </row>
    <row r="461" spans="1:19" hidden="1" outlineLevel="1">
      <c r="A461" s="1">
        <v>5</v>
      </c>
      <c r="F461" s="22">
        <v>866795032245142</v>
      </c>
      <c r="M461" s="2" t="s">
        <v>1103</v>
      </c>
      <c r="N461" s="2" t="s">
        <v>1061</v>
      </c>
      <c r="O461" s="18" t="s">
        <v>836</v>
      </c>
    </row>
    <row r="462" spans="1:19" hidden="1" outlineLevel="1">
      <c r="A462" s="1">
        <v>6</v>
      </c>
      <c r="F462" s="22">
        <v>866795032505388</v>
      </c>
      <c r="M462" s="2" t="s">
        <v>1104</v>
      </c>
      <c r="N462" s="2" t="s">
        <v>1061</v>
      </c>
      <c r="O462" s="18" t="s">
        <v>836</v>
      </c>
    </row>
    <row r="463" spans="1:19" hidden="1" outlineLevel="1">
      <c r="A463" s="1">
        <v>7</v>
      </c>
      <c r="F463" s="22">
        <v>866795032485680</v>
      </c>
      <c r="M463" s="2" t="s">
        <v>1105</v>
      </c>
      <c r="N463" s="2" t="s">
        <v>1061</v>
      </c>
      <c r="O463" s="18" t="s">
        <v>836</v>
      </c>
    </row>
    <row r="464" spans="1:19" hidden="1" outlineLevel="1">
      <c r="A464" s="1">
        <v>8</v>
      </c>
      <c r="F464" s="22">
        <v>866795032226225</v>
      </c>
      <c r="M464" s="2" t="s">
        <v>1106</v>
      </c>
      <c r="N464" s="2" t="s">
        <v>1061</v>
      </c>
      <c r="O464" s="18" t="s">
        <v>836</v>
      </c>
    </row>
    <row r="465" spans="1:19" hidden="1" outlineLevel="1">
      <c r="A465" s="1">
        <v>9</v>
      </c>
      <c r="F465" s="22">
        <v>866795032518704</v>
      </c>
      <c r="M465" s="2" t="s">
        <v>1107</v>
      </c>
      <c r="N465" s="2" t="s">
        <v>1061</v>
      </c>
      <c r="O465" s="18" t="s">
        <v>836</v>
      </c>
    </row>
    <row r="466" spans="1:19" hidden="1" outlineLevel="1">
      <c r="A466" s="1">
        <v>10</v>
      </c>
      <c r="F466" s="22">
        <v>866795032226522</v>
      </c>
      <c r="M466" s="2" t="s">
        <v>1108</v>
      </c>
      <c r="N466" s="2" t="s">
        <v>1061</v>
      </c>
      <c r="O466" s="18" t="s">
        <v>836</v>
      </c>
    </row>
    <row r="467" spans="1:19" hidden="1" outlineLevel="1">
      <c r="A467" s="8"/>
      <c r="B467" s="58"/>
      <c r="C467" s="159"/>
      <c r="D467" s="8"/>
      <c r="E467" s="8"/>
      <c r="F467" s="9"/>
      <c r="G467" s="8"/>
      <c r="H467" s="8"/>
      <c r="I467" s="8"/>
      <c r="J467" s="58"/>
      <c r="K467" s="8"/>
      <c r="L467" s="58"/>
      <c r="M467" s="8"/>
      <c r="N467" s="8"/>
      <c r="O467" s="58"/>
      <c r="P467" s="8"/>
      <c r="Q467" s="8"/>
      <c r="R467" s="8"/>
      <c r="S467" s="8"/>
    </row>
    <row r="468" spans="1:19" hidden="1" outlineLevel="1">
      <c r="A468" s="1">
        <v>1</v>
      </c>
      <c r="B468" s="11">
        <v>43637</v>
      </c>
      <c r="E468" s="1" t="s">
        <v>586</v>
      </c>
      <c r="F468" s="22">
        <v>866795032175109</v>
      </c>
      <c r="I468" s="2" t="s">
        <v>543</v>
      </c>
      <c r="M468" s="2" t="s">
        <v>1109</v>
      </c>
      <c r="N468" s="2" t="s">
        <v>1110</v>
      </c>
      <c r="O468" s="18">
        <v>43804</v>
      </c>
    </row>
    <row r="469" spans="1:19" hidden="1" outlineLevel="1">
      <c r="A469" s="1">
        <v>2</v>
      </c>
      <c r="F469" s="22">
        <v>866795032170522</v>
      </c>
      <c r="M469" s="2" t="s">
        <v>1111</v>
      </c>
      <c r="N469" s="2" t="s">
        <v>933</v>
      </c>
      <c r="O469" s="18">
        <v>43703</v>
      </c>
    </row>
    <row r="470" spans="1:19" hidden="1" outlineLevel="1">
      <c r="A470" s="1">
        <v>3</v>
      </c>
      <c r="F470" s="22">
        <v>866795032165035</v>
      </c>
      <c r="M470" s="2" t="s">
        <v>1112</v>
      </c>
      <c r="N470" s="2" t="s">
        <v>1099</v>
      </c>
      <c r="O470" s="18">
        <v>43641</v>
      </c>
    </row>
    <row r="471" spans="1:19" hidden="1" outlineLevel="1">
      <c r="A471" s="1">
        <v>4</v>
      </c>
      <c r="F471" s="22">
        <v>866795032173989</v>
      </c>
      <c r="M471" s="2" t="s">
        <v>1113</v>
      </c>
      <c r="N471" s="2" t="s">
        <v>1099</v>
      </c>
      <c r="O471" s="18">
        <v>43642</v>
      </c>
    </row>
    <row r="472" spans="1:19" hidden="1" outlineLevel="1">
      <c r="A472" s="1">
        <v>5</v>
      </c>
      <c r="F472" s="22">
        <v>866795032217489</v>
      </c>
      <c r="M472" s="2" t="s">
        <v>1114</v>
      </c>
      <c r="N472" s="2" t="s">
        <v>1099</v>
      </c>
      <c r="O472" s="18">
        <v>43642</v>
      </c>
    </row>
    <row r="473" spans="1:19" hidden="1" outlineLevel="1">
      <c r="A473" s="1">
        <v>6</v>
      </c>
      <c r="F473" s="22">
        <v>866795032174003</v>
      </c>
      <c r="M473" s="2" t="s">
        <v>1115</v>
      </c>
      <c r="N473" s="2" t="s">
        <v>1099</v>
      </c>
      <c r="O473" s="18">
        <v>43641</v>
      </c>
    </row>
    <row r="474" spans="1:19" hidden="1" outlineLevel="1">
      <c r="A474" s="1">
        <v>7</v>
      </c>
      <c r="F474" s="22">
        <v>866795032482760</v>
      </c>
      <c r="M474" s="2" t="s">
        <v>1116</v>
      </c>
      <c r="N474" s="2" t="s">
        <v>1099</v>
      </c>
      <c r="O474" s="18">
        <v>43644</v>
      </c>
    </row>
    <row r="475" spans="1:19" hidden="1" outlineLevel="1">
      <c r="A475" s="1">
        <v>8</v>
      </c>
      <c r="F475" s="22">
        <v>866795032113092</v>
      </c>
      <c r="M475" s="2" t="s">
        <v>1117</v>
      </c>
      <c r="N475" s="2" t="s">
        <v>1099</v>
      </c>
      <c r="O475" s="18">
        <v>43642</v>
      </c>
    </row>
    <row r="476" spans="1:19" hidden="1" outlineLevel="1">
      <c r="A476" s="1">
        <v>9</v>
      </c>
      <c r="F476" s="22">
        <v>866795032486332</v>
      </c>
      <c r="M476" s="2" t="s">
        <v>1118</v>
      </c>
      <c r="N476" s="2" t="s">
        <v>852</v>
      </c>
      <c r="O476" s="18">
        <v>43735</v>
      </c>
    </row>
    <row r="477" spans="1:19" hidden="1" outlineLevel="1">
      <c r="A477" s="8"/>
      <c r="B477" s="58"/>
      <c r="C477" s="159"/>
      <c r="D477" s="8"/>
      <c r="E477" s="8"/>
      <c r="F477" s="9"/>
      <c r="G477" s="8"/>
      <c r="H477" s="8"/>
      <c r="I477" s="8"/>
      <c r="J477" s="58"/>
      <c r="K477" s="8"/>
      <c r="L477" s="58"/>
      <c r="M477" s="8"/>
      <c r="N477" s="8"/>
      <c r="O477" s="58"/>
      <c r="P477" s="8"/>
      <c r="Q477" s="8"/>
      <c r="R477" s="8"/>
      <c r="S477" s="8"/>
    </row>
    <row r="478" spans="1:19" hidden="1" outlineLevel="1">
      <c r="A478" s="1">
        <v>1</v>
      </c>
      <c r="B478" s="11">
        <v>43642</v>
      </c>
      <c r="E478" s="1" t="s">
        <v>587</v>
      </c>
      <c r="F478" s="22">
        <v>866795032485516</v>
      </c>
      <c r="M478" s="2" t="s">
        <v>1119</v>
      </c>
      <c r="N478" s="2" t="s">
        <v>1099</v>
      </c>
      <c r="O478" s="18">
        <v>43644</v>
      </c>
    </row>
    <row r="479" spans="1:19" hidden="1" outlineLevel="1">
      <c r="A479" s="1">
        <v>2</v>
      </c>
      <c r="F479" s="22">
        <v>866795032514612</v>
      </c>
      <c r="M479" s="2" t="s">
        <v>1120</v>
      </c>
      <c r="N479" s="2" t="s">
        <v>1099</v>
      </c>
      <c r="O479" s="18">
        <v>43644</v>
      </c>
    </row>
    <row r="480" spans="1:19" hidden="1" outlineLevel="1">
      <c r="A480" s="1">
        <v>3</v>
      </c>
      <c r="F480" s="22">
        <v>866795032508580</v>
      </c>
      <c r="M480" s="2" t="s">
        <v>1121</v>
      </c>
      <c r="N480" s="2" t="s">
        <v>1099</v>
      </c>
      <c r="O480" s="18">
        <v>43644</v>
      </c>
    </row>
    <row r="481" spans="1:19" hidden="1" outlineLevel="1">
      <c r="A481" s="1">
        <v>4</v>
      </c>
      <c r="F481" s="22">
        <v>866795032517375</v>
      </c>
      <c r="M481" s="2" t="s">
        <v>1122</v>
      </c>
      <c r="N481" s="2" t="s">
        <v>1099</v>
      </c>
      <c r="O481" s="18">
        <v>43644</v>
      </c>
    </row>
    <row r="482" spans="1:19" hidden="1" outlineLevel="1">
      <c r="A482" s="1">
        <v>5</v>
      </c>
      <c r="F482" s="22">
        <v>866795032606525</v>
      </c>
      <c r="M482" s="2" t="s">
        <v>1123</v>
      </c>
      <c r="N482" s="2" t="s">
        <v>1099</v>
      </c>
      <c r="O482" s="18">
        <v>43644</v>
      </c>
    </row>
    <row r="483" spans="1:19" hidden="1" outlineLevel="1">
      <c r="A483" s="1">
        <v>6</v>
      </c>
      <c r="F483" s="22">
        <v>866795032507764</v>
      </c>
      <c r="M483" s="2" t="s">
        <v>1124</v>
      </c>
      <c r="N483" s="2" t="s">
        <v>1099</v>
      </c>
      <c r="O483" s="18">
        <v>43644</v>
      </c>
    </row>
    <row r="484" spans="1:19" hidden="1" outlineLevel="1">
      <c r="A484" s="8"/>
      <c r="B484" s="58"/>
      <c r="C484" s="159"/>
      <c r="D484" s="8"/>
      <c r="E484" s="8"/>
      <c r="F484" s="9"/>
      <c r="G484" s="8"/>
      <c r="H484" s="8"/>
      <c r="I484" s="8"/>
      <c r="J484" s="58"/>
      <c r="K484" s="8"/>
      <c r="L484" s="58"/>
      <c r="M484" s="8"/>
      <c r="N484" s="8"/>
      <c r="O484" s="58"/>
      <c r="P484" s="8"/>
      <c r="Q484" s="8"/>
      <c r="R484" s="8"/>
      <c r="S484" s="8"/>
    </row>
    <row r="485" spans="1:19" hidden="1" outlineLevel="1">
      <c r="A485" s="1">
        <v>1</v>
      </c>
      <c r="B485" s="11">
        <v>43644</v>
      </c>
      <c r="E485" s="1" t="s">
        <v>588</v>
      </c>
      <c r="F485" s="22">
        <v>866795032513416</v>
      </c>
      <c r="M485" s="2" t="s">
        <v>1125</v>
      </c>
      <c r="N485" s="2" t="s">
        <v>1126</v>
      </c>
      <c r="O485" s="18">
        <v>43682</v>
      </c>
    </row>
    <row r="486" spans="1:19" hidden="1" outlineLevel="1">
      <c r="A486" s="1">
        <v>2</v>
      </c>
      <c r="F486" s="22">
        <v>866795032511642</v>
      </c>
      <c r="M486" s="2" t="s">
        <v>1127</v>
      </c>
      <c r="N486" s="2" t="s">
        <v>921</v>
      </c>
      <c r="O486" s="18">
        <v>43671</v>
      </c>
    </row>
    <row r="487" spans="1:19" hidden="1" outlineLevel="1">
      <c r="A487" s="1">
        <v>3</v>
      </c>
      <c r="F487" s="22">
        <v>866795032098954</v>
      </c>
      <c r="M487" s="2" t="s">
        <v>1128</v>
      </c>
      <c r="N487" s="2" t="s">
        <v>1129</v>
      </c>
      <c r="O487" s="18">
        <v>43710</v>
      </c>
    </row>
    <row r="488" spans="1:19" hidden="1" outlineLevel="1">
      <c r="A488" s="1">
        <v>4</v>
      </c>
      <c r="F488" s="22">
        <v>866795032238535</v>
      </c>
      <c r="M488" s="2" t="s">
        <v>1130</v>
      </c>
      <c r="N488" s="2" t="s">
        <v>1099</v>
      </c>
      <c r="O488" s="18">
        <v>43686</v>
      </c>
    </row>
    <row r="489" spans="1:19" hidden="1" outlineLevel="1">
      <c r="A489" s="1">
        <v>5</v>
      </c>
      <c r="F489" s="22">
        <v>866795032506642</v>
      </c>
      <c r="M489" s="2" t="s">
        <v>1131</v>
      </c>
      <c r="N489" s="2" t="s">
        <v>1126</v>
      </c>
      <c r="O489" s="18">
        <v>43682</v>
      </c>
    </row>
    <row r="490" spans="1:19" hidden="1" outlineLevel="1">
      <c r="A490" s="1">
        <v>6</v>
      </c>
      <c r="F490" s="22">
        <v>866795032588368</v>
      </c>
      <c r="M490" s="2" t="s">
        <v>1132</v>
      </c>
      <c r="N490" s="2" t="s">
        <v>1129</v>
      </c>
      <c r="O490" s="18">
        <v>43710</v>
      </c>
    </row>
    <row r="491" spans="1:19" hidden="1" outlineLevel="1">
      <c r="A491" s="1">
        <v>7</v>
      </c>
      <c r="F491" s="22">
        <v>866795032520015</v>
      </c>
      <c r="M491" s="2" t="s">
        <v>1133</v>
      </c>
      <c r="N491" s="2" t="s">
        <v>1134</v>
      </c>
      <c r="O491" s="18">
        <v>43705</v>
      </c>
    </row>
    <row r="492" spans="1:19" hidden="1" outlineLevel="1">
      <c r="A492" s="1">
        <v>8</v>
      </c>
      <c r="F492" s="22">
        <v>866795032605865</v>
      </c>
      <c r="M492" s="2" t="s">
        <v>1135</v>
      </c>
      <c r="N492" s="2" t="s">
        <v>1136</v>
      </c>
      <c r="O492" s="18">
        <v>43661</v>
      </c>
    </row>
    <row r="493" spans="1:19" hidden="1" outlineLevel="1">
      <c r="A493" s="1">
        <v>9</v>
      </c>
      <c r="F493" s="22">
        <v>866795032486423</v>
      </c>
      <c r="M493" s="2" t="s">
        <v>1137</v>
      </c>
      <c r="N493" s="2" t="s">
        <v>1138</v>
      </c>
      <c r="O493" s="18">
        <v>43682</v>
      </c>
    </row>
    <row r="494" spans="1:19" hidden="1" outlineLevel="1">
      <c r="A494" s="8"/>
      <c r="B494" s="58"/>
      <c r="C494" s="159"/>
      <c r="D494" s="8"/>
      <c r="E494" s="8"/>
      <c r="F494" s="9"/>
      <c r="G494" s="8"/>
      <c r="H494" s="8"/>
      <c r="I494" s="8"/>
      <c r="J494" s="58"/>
      <c r="K494" s="8"/>
      <c r="L494" s="58"/>
      <c r="M494" s="8"/>
      <c r="N494" s="8"/>
      <c r="O494" s="58"/>
      <c r="P494" s="8"/>
      <c r="Q494" s="8"/>
      <c r="R494" s="8"/>
      <c r="S494" s="8"/>
    </row>
    <row r="495" spans="1:19" hidden="1" outlineLevel="1">
      <c r="A495" s="1">
        <v>1</v>
      </c>
      <c r="B495" s="11">
        <v>43649</v>
      </c>
      <c r="E495" s="1" t="s">
        <v>589</v>
      </c>
      <c r="F495" s="22">
        <v>866795031731969</v>
      </c>
      <c r="M495" s="2" t="s">
        <v>1139</v>
      </c>
      <c r="N495" s="2" t="s">
        <v>1086</v>
      </c>
      <c r="O495" s="18">
        <v>43651</v>
      </c>
    </row>
    <row r="496" spans="1:19" hidden="1" outlineLevel="1">
      <c r="A496" s="1">
        <v>2</v>
      </c>
      <c r="F496" s="22">
        <v>866795031742024</v>
      </c>
      <c r="M496" s="2" t="s">
        <v>1140</v>
      </c>
      <c r="N496" s="2" t="s">
        <v>919</v>
      </c>
      <c r="O496" s="18">
        <v>43650</v>
      </c>
    </row>
    <row r="497" spans="1:19" hidden="1" outlineLevel="1">
      <c r="A497" s="1">
        <v>3</v>
      </c>
      <c r="F497" s="22">
        <v>866795031740945</v>
      </c>
      <c r="M497" s="2" t="s">
        <v>1141</v>
      </c>
      <c r="N497" s="2" t="s">
        <v>1142</v>
      </c>
      <c r="O497" s="18">
        <v>43658</v>
      </c>
    </row>
    <row r="498" spans="1:19" hidden="1" outlineLevel="1">
      <c r="A498" s="1">
        <v>4</v>
      </c>
      <c r="F498" s="22">
        <v>866795031463944</v>
      </c>
      <c r="M498" s="2" t="s">
        <v>1143</v>
      </c>
      <c r="N498" s="2" t="s">
        <v>1144</v>
      </c>
      <c r="O498" s="18">
        <v>43652</v>
      </c>
    </row>
    <row r="499" spans="1:19" hidden="1" outlineLevel="1">
      <c r="A499" s="1">
        <v>5</v>
      </c>
      <c r="F499" s="22">
        <v>866795031427477</v>
      </c>
      <c r="M499" s="2" t="s">
        <v>1145</v>
      </c>
      <c r="N499" s="2" t="s">
        <v>919</v>
      </c>
      <c r="O499" s="18">
        <v>43650</v>
      </c>
    </row>
    <row r="500" spans="1:19" hidden="1" outlineLevel="1">
      <c r="A500" s="1">
        <v>6</v>
      </c>
      <c r="F500" s="22">
        <v>866795031752296</v>
      </c>
      <c r="M500" s="2" t="s">
        <v>1146</v>
      </c>
      <c r="N500" s="2" t="s">
        <v>1147</v>
      </c>
      <c r="O500" s="18">
        <v>43658</v>
      </c>
    </row>
    <row r="501" spans="1:19" hidden="1" outlineLevel="1">
      <c r="A501" s="1">
        <v>7</v>
      </c>
      <c r="F501" s="22">
        <v>866795031744582</v>
      </c>
      <c r="M501" s="2" t="s">
        <v>1148</v>
      </c>
      <c r="N501" s="2" t="s">
        <v>1149</v>
      </c>
      <c r="O501" s="18">
        <v>43655</v>
      </c>
    </row>
    <row r="502" spans="1:19" hidden="1" outlineLevel="1">
      <c r="A502" s="1">
        <v>8</v>
      </c>
      <c r="F502" s="22">
        <v>866795031459256</v>
      </c>
      <c r="M502" s="2" t="s">
        <v>1150</v>
      </c>
      <c r="N502" s="2" t="s">
        <v>1151</v>
      </c>
      <c r="O502" s="18">
        <v>43657</v>
      </c>
    </row>
    <row r="503" spans="1:19" hidden="1" outlineLevel="1">
      <c r="A503" s="1">
        <v>9</v>
      </c>
      <c r="F503" s="22">
        <v>866795031742065</v>
      </c>
      <c r="M503" s="2" t="s">
        <v>1152</v>
      </c>
      <c r="N503" s="2" t="s">
        <v>1153</v>
      </c>
      <c r="O503" s="18">
        <v>43644</v>
      </c>
    </row>
    <row r="504" spans="1:19" hidden="1" outlineLevel="1">
      <c r="A504" s="1">
        <v>10</v>
      </c>
      <c r="F504" s="22">
        <v>866795031470378</v>
      </c>
      <c r="M504" s="2" t="s">
        <v>1154</v>
      </c>
      <c r="N504" s="2" t="s">
        <v>874</v>
      </c>
      <c r="O504" s="18">
        <v>43658</v>
      </c>
    </row>
    <row r="505" spans="1:19" hidden="1" outlineLevel="1">
      <c r="A505" s="8"/>
      <c r="B505" s="58"/>
      <c r="C505" s="159"/>
      <c r="D505" s="8"/>
      <c r="E505" s="8"/>
      <c r="F505" s="9"/>
      <c r="G505" s="8"/>
      <c r="H505" s="8"/>
      <c r="I505" s="8"/>
      <c r="J505" s="58"/>
      <c r="K505" s="8"/>
      <c r="L505" s="58"/>
      <c r="M505" s="8"/>
      <c r="N505" s="8"/>
      <c r="O505" s="58"/>
      <c r="P505" s="8"/>
      <c r="Q505" s="8"/>
      <c r="R505" s="8"/>
      <c r="S505" s="8"/>
    </row>
    <row r="506" spans="1:19" hidden="1" outlineLevel="1">
      <c r="A506" s="1">
        <v>1</v>
      </c>
      <c r="B506" s="11">
        <v>43657</v>
      </c>
      <c r="E506" s="1" t="s">
        <v>589</v>
      </c>
      <c r="F506" s="22">
        <v>866795031466160</v>
      </c>
      <c r="M506" s="2" t="s">
        <v>1155</v>
      </c>
      <c r="N506" s="2" t="s">
        <v>1156</v>
      </c>
      <c r="O506" s="18">
        <v>43658</v>
      </c>
    </row>
    <row r="507" spans="1:19" hidden="1" outlineLevel="1">
      <c r="A507" s="1">
        <v>2</v>
      </c>
      <c r="F507" s="22">
        <v>866795031751991</v>
      </c>
      <c r="M507" s="2" t="s">
        <v>1157</v>
      </c>
      <c r="N507" s="2" t="s">
        <v>1158</v>
      </c>
      <c r="O507" s="18">
        <v>43658</v>
      </c>
    </row>
    <row r="508" spans="1:19" hidden="1" outlineLevel="1">
      <c r="A508" s="1">
        <v>3</v>
      </c>
      <c r="F508" s="22">
        <v>866795031719600</v>
      </c>
      <c r="M508" s="2" t="s">
        <v>1159</v>
      </c>
      <c r="N508" s="2" t="s">
        <v>852</v>
      </c>
      <c r="O508" s="18">
        <v>43669</v>
      </c>
    </row>
    <row r="509" spans="1:19" hidden="1" outlineLevel="1">
      <c r="A509" s="1">
        <v>4</v>
      </c>
      <c r="F509" s="22">
        <v>866795031748070</v>
      </c>
      <c r="M509" s="2" t="s">
        <v>1160</v>
      </c>
      <c r="N509" s="2" t="s">
        <v>852</v>
      </c>
      <c r="O509" s="18">
        <v>43719</v>
      </c>
    </row>
    <row r="510" spans="1:19" hidden="1" outlineLevel="1">
      <c r="A510" s="1">
        <v>5</v>
      </c>
      <c r="F510" s="22">
        <v>866795031402090</v>
      </c>
      <c r="M510" s="2" t="s">
        <v>1161</v>
      </c>
      <c r="N510" s="2" t="s">
        <v>1044</v>
      </c>
      <c r="O510" s="18">
        <v>43664</v>
      </c>
    </row>
    <row r="511" spans="1:19" hidden="1" outlineLevel="1">
      <c r="A511" s="1">
        <v>6</v>
      </c>
      <c r="F511" s="22">
        <v>866795031750415</v>
      </c>
      <c r="M511" s="2" t="s">
        <v>1162</v>
      </c>
      <c r="N511" s="2" t="s">
        <v>1163</v>
      </c>
      <c r="O511" s="18" t="s">
        <v>836</v>
      </c>
    </row>
    <row r="512" spans="1:19" hidden="1" outlineLevel="1">
      <c r="A512" s="1">
        <v>7</v>
      </c>
      <c r="F512" s="22">
        <v>866795031751728</v>
      </c>
      <c r="M512" s="2" t="s">
        <v>1164</v>
      </c>
      <c r="N512" s="2" t="s">
        <v>860</v>
      </c>
      <c r="O512" s="18">
        <v>43663</v>
      </c>
    </row>
    <row r="513" spans="1:19" hidden="1" outlineLevel="1">
      <c r="A513" s="1">
        <v>8</v>
      </c>
      <c r="F513" s="22">
        <v>866795032886929</v>
      </c>
      <c r="M513" s="2" t="s">
        <v>1165</v>
      </c>
      <c r="N513" s="2" t="s">
        <v>852</v>
      </c>
      <c r="O513" s="18">
        <v>43669</v>
      </c>
    </row>
    <row r="514" spans="1:19" hidden="1" outlineLevel="1">
      <c r="A514" s="1">
        <v>9</v>
      </c>
      <c r="F514" s="22">
        <v>866795032842138</v>
      </c>
      <c r="M514" s="2" t="s">
        <v>1166</v>
      </c>
      <c r="N514" s="2" t="s">
        <v>852</v>
      </c>
      <c r="O514" s="18">
        <v>43675</v>
      </c>
    </row>
    <row r="515" spans="1:19" hidden="1" outlineLevel="1">
      <c r="A515" s="1">
        <v>10</v>
      </c>
      <c r="F515" s="22">
        <v>866795032867754</v>
      </c>
      <c r="M515" s="2" t="s">
        <v>1167</v>
      </c>
      <c r="N515" s="2" t="s">
        <v>1168</v>
      </c>
      <c r="O515" s="18">
        <v>43664</v>
      </c>
    </row>
    <row r="516" spans="1:19" hidden="1" outlineLevel="1">
      <c r="A516" s="8"/>
      <c r="B516" s="58"/>
      <c r="C516" s="159"/>
      <c r="D516" s="8"/>
      <c r="E516" s="8"/>
      <c r="F516" s="9"/>
      <c r="G516" s="8"/>
      <c r="H516" s="8"/>
      <c r="I516" s="8"/>
      <c r="J516" s="58"/>
      <c r="K516" s="8"/>
      <c r="L516" s="58"/>
      <c r="M516" s="8"/>
      <c r="N516" s="8"/>
      <c r="O516" s="58"/>
      <c r="P516" s="8"/>
      <c r="Q516" s="8"/>
      <c r="R516" s="8"/>
      <c r="S516" s="8"/>
    </row>
    <row r="517" spans="1:19" hidden="1" outlineLevel="1">
      <c r="A517" s="1">
        <v>1</v>
      </c>
      <c r="B517" s="11">
        <v>43664</v>
      </c>
      <c r="E517" s="1" t="s">
        <v>590</v>
      </c>
      <c r="F517" s="22">
        <v>866795032872937</v>
      </c>
      <c r="M517" s="2" t="s">
        <v>1169</v>
      </c>
      <c r="N517" s="2" t="s">
        <v>1170</v>
      </c>
      <c r="O517" s="18">
        <v>43669</v>
      </c>
    </row>
    <row r="518" spans="1:19" hidden="1" outlineLevel="1">
      <c r="A518" s="1">
        <v>2</v>
      </c>
      <c r="F518" s="22">
        <v>866795032893651</v>
      </c>
      <c r="M518" s="2" t="s">
        <v>1171</v>
      </c>
      <c r="N518" s="2" t="s">
        <v>1163</v>
      </c>
      <c r="O518" s="18">
        <v>43774</v>
      </c>
    </row>
    <row r="519" spans="1:19" hidden="1" outlineLevel="1">
      <c r="A519" s="1">
        <v>3</v>
      </c>
      <c r="F519" s="22">
        <v>866795032865519</v>
      </c>
      <c r="M519" s="2" t="s">
        <v>1172</v>
      </c>
      <c r="N519" s="2" t="s">
        <v>1173</v>
      </c>
      <c r="O519" s="18">
        <v>43675</v>
      </c>
    </row>
    <row r="520" spans="1:19" hidden="1" outlineLevel="1">
      <c r="A520" s="1">
        <v>4</v>
      </c>
      <c r="F520" s="22">
        <v>866795032865758</v>
      </c>
      <c r="M520" s="2" t="s">
        <v>1174</v>
      </c>
      <c r="N520" s="2" t="s">
        <v>1175</v>
      </c>
      <c r="O520" s="18">
        <v>43670</v>
      </c>
    </row>
    <row r="521" spans="1:19" hidden="1" outlineLevel="1">
      <c r="A521" s="1">
        <v>5</v>
      </c>
      <c r="F521" s="22">
        <v>866795032837096</v>
      </c>
      <c r="M521" s="2" t="s">
        <v>1176</v>
      </c>
      <c r="N521" s="2" t="s">
        <v>852</v>
      </c>
      <c r="O521" s="18">
        <v>43720</v>
      </c>
    </row>
    <row r="522" spans="1:19" hidden="1" outlineLevel="1">
      <c r="A522" s="1">
        <v>6</v>
      </c>
      <c r="F522" s="22">
        <v>866795032828855</v>
      </c>
      <c r="M522" s="2" t="s">
        <v>1177</v>
      </c>
      <c r="N522" s="2" t="s">
        <v>1175</v>
      </c>
      <c r="O522" s="18">
        <v>43670</v>
      </c>
    </row>
    <row r="523" spans="1:19" hidden="1" outlineLevel="1">
      <c r="A523" s="1">
        <v>7</v>
      </c>
      <c r="F523" s="22">
        <v>866795032836395</v>
      </c>
      <c r="M523" s="2" t="s">
        <v>1178</v>
      </c>
      <c r="N523" s="2" t="s">
        <v>293</v>
      </c>
      <c r="O523" s="18">
        <v>43670</v>
      </c>
    </row>
    <row r="524" spans="1:19" hidden="1" outlineLevel="1">
      <c r="A524" s="1">
        <v>8</v>
      </c>
      <c r="F524" s="22">
        <v>866795032869289</v>
      </c>
      <c r="I524" s="2" t="s">
        <v>544</v>
      </c>
      <c r="M524" s="2" t="s">
        <v>835</v>
      </c>
      <c r="N524" s="2" t="s">
        <v>836</v>
      </c>
      <c r="O524" s="18" t="s">
        <v>836</v>
      </c>
    </row>
    <row r="525" spans="1:19" hidden="1" outlineLevel="1">
      <c r="A525" s="1">
        <v>9</v>
      </c>
      <c r="F525" s="22">
        <v>866795032855478</v>
      </c>
      <c r="M525" s="2" t="s">
        <v>1179</v>
      </c>
      <c r="N525" s="2" t="s">
        <v>919</v>
      </c>
      <c r="O525" s="18">
        <v>43676</v>
      </c>
    </row>
    <row r="526" spans="1:19" hidden="1" outlineLevel="1">
      <c r="A526" s="1">
        <v>10</v>
      </c>
      <c r="F526" s="22">
        <v>866795032861153</v>
      </c>
      <c r="M526" s="2" t="s">
        <v>1180</v>
      </c>
      <c r="N526" s="2" t="s">
        <v>1181</v>
      </c>
      <c r="O526" s="18">
        <v>43743</v>
      </c>
    </row>
    <row r="527" spans="1:19" hidden="1" outlineLevel="1">
      <c r="A527" s="8"/>
      <c r="B527" s="58"/>
      <c r="C527" s="159"/>
      <c r="D527" s="8"/>
      <c r="E527" s="8"/>
      <c r="F527" s="9"/>
      <c r="G527" s="8"/>
      <c r="H527" s="8"/>
      <c r="I527" s="8"/>
      <c r="J527" s="58"/>
      <c r="K527" s="8"/>
      <c r="L527" s="58"/>
      <c r="M527" s="8"/>
      <c r="N527" s="8"/>
      <c r="O527" s="58"/>
      <c r="P527" s="8"/>
      <c r="Q527" s="8"/>
      <c r="R527" s="8"/>
      <c r="S527" s="8"/>
    </row>
    <row r="528" spans="1:19" hidden="1" outlineLevel="1">
      <c r="A528" s="1">
        <v>1</v>
      </c>
      <c r="B528" s="11">
        <v>43671</v>
      </c>
      <c r="E528" s="1" t="s">
        <v>591</v>
      </c>
      <c r="F528" s="22">
        <v>358004090825100</v>
      </c>
      <c r="I528" s="2" t="s">
        <v>545</v>
      </c>
    </row>
    <row r="529" spans="1:19" hidden="1" outlineLevel="1">
      <c r="A529" s="1">
        <v>2</v>
      </c>
      <c r="B529" s="11">
        <v>43671</v>
      </c>
      <c r="E529" s="1" t="s">
        <v>592</v>
      </c>
      <c r="F529" s="22">
        <v>869286036925910</v>
      </c>
      <c r="M529" s="2" t="s">
        <v>1182</v>
      </c>
      <c r="N529" s="2" t="s">
        <v>1183</v>
      </c>
      <c r="O529" s="18" t="s">
        <v>836</v>
      </c>
    </row>
    <row r="530" spans="1:19" hidden="1" outlineLevel="1">
      <c r="A530" s="1">
        <v>3</v>
      </c>
      <c r="F530" s="22">
        <v>869286036928740</v>
      </c>
      <c r="M530" s="2" t="s">
        <v>1184</v>
      </c>
      <c r="N530" s="2" t="s">
        <v>1185</v>
      </c>
      <c r="O530" s="18">
        <v>43697</v>
      </c>
    </row>
    <row r="531" spans="1:19" hidden="1" outlineLevel="1">
      <c r="A531" s="1">
        <v>4</v>
      </c>
      <c r="F531" s="22">
        <v>869286036891880</v>
      </c>
      <c r="M531" s="2" t="s">
        <v>1186</v>
      </c>
      <c r="N531" s="2" t="s">
        <v>1185</v>
      </c>
      <c r="O531" s="18">
        <v>43677</v>
      </c>
    </row>
    <row r="532" spans="1:19" hidden="1" outlineLevel="1">
      <c r="A532" s="1">
        <v>5</v>
      </c>
      <c r="F532" s="22">
        <v>869286036928567</v>
      </c>
      <c r="M532" s="2" t="s">
        <v>1187</v>
      </c>
      <c r="N532" s="2" t="s">
        <v>1183</v>
      </c>
      <c r="O532" s="18" t="s">
        <v>836</v>
      </c>
    </row>
    <row r="533" spans="1:19" hidden="1" outlineLevel="1">
      <c r="A533" s="1">
        <v>6</v>
      </c>
      <c r="F533" s="22">
        <v>869286036927650</v>
      </c>
      <c r="I533" s="2" t="s">
        <v>546</v>
      </c>
      <c r="M533" s="2" t="s">
        <v>1188</v>
      </c>
      <c r="N533" s="2" t="s">
        <v>1185</v>
      </c>
      <c r="O533" s="18">
        <v>43676</v>
      </c>
    </row>
    <row r="534" spans="1:19" hidden="1" outlineLevel="1">
      <c r="A534" s="8"/>
      <c r="B534" s="58"/>
      <c r="C534" s="159"/>
      <c r="D534" s="8"/>
      <c r="E534" s="8"/>
      <c r="F534" s="9"/>
      <c r="G534" s="8"/>
      <c r="H534" s="8"/>
      <c r="I534" s="8"/>
      <c r="J534" s="58"/>
      <c r="K534" s="8"/>
      <c r="L534" s="58"/>
      <c r="M534" s="8"/>
      <c r="N534" s="8"/>
      <c r="O534" s="58"/>
      <c r="P534" s="8"/>
      <c r="Q534" s="8"/>
      <c r="R534" s="8"/>
      <c r="S534" s="8"/>
    </row>
    <row r="535" spans="1:19" hidden="1" outlineLevel="1">
      <c r="A535" s="1">
        <v>1</v>
      </c>
      <c r="B535" s="11">
        <v>43676</v>
      </c>
      <c r="E535" s="1" t="s">
        <v>589</v>
      </c>
      <c r="F535" s="22">
        <v>866795032827360</v>
      </c>
      <c r="M535" s="2" t="s">
        <v>1189</v>
      </c>
      <c r="N535" s="2" t="s">
        <v>267</v>
      </c>
      <c r="O535" s="18">
        <v>43677</v>
      </c>
    </row>
    <row r="536" spans="1:19" hidden="1" outlineLevel="1">
      <c r="A536" s="1">
        <v>2</v>
      </c>
      <c r="F536" s="22">
        <v>866795032823393</v>
      </c>
      <c r="M536" s="2" t="s">
        <v>1190</v>
      </c>
      <c r="N536" s="2" t="s">
        <v>1191</v>
      </c>
      <c r="O536" s="18">
        <v>43678</v>
      </c>
    </row>
    <row r="537" spans="1:19" hidden="1" outlineLevel="1">
      <c r="A537" s="1">
        <v>3</v>
      </c>
      <c r="F537" s="22">
        <v>866795032910687</v>
      </c>
      <c r="M537" s="2" t="s">
        <v>1192</v>
      </c>
      <c r="N537" s="2" t="s">
        <v>1158</v>
      </c>
      <c r="O537" s="18">
        <v>43676</v>
      </c>
    </row>
    <row r="538" spans="1:19" hidden="1" outlineLevel="1">
      <c r="A538" s="1">
        <v>4</v>
      </c>
      <c r="F538" s="22">
        <v>866795032912485</v>
      </c>
      <c r="M538" s="2" t="s">
        <v>1193</v>
      </c>
      <c r="N538" s="2" t="s">
        <v>298</v>
      </c>
      <c r="O538" s="18">
        <v>43684</v>
      </c>
    </row>
    <row r="539" spans="1:19" hidden="1" outlineLevel="1">
      <c r="A539" s="1">
        <v>5</v>
      </c>
      <c r="F539" s="22">
        <v>866795032827667</v>
      </c>
      <c r="M539" s="2" t="s">
        <v>1194</v>
      </c>
      <c r="N539" s="2" t="s">
        <v>1195</v>
      </c>
      <c r="O539" s="18">
        <v>43683</v>
      </c>
    </row>
    <row r="540" spans="1:19" hidden="1" outlineLevel="1">
      <c r="A540" s="1">
        <v>6</v>
      </c>
      <c r="F540" s="22">
        <v>866795032910455</v>
      </c>
      <c r="M540" s="2" t="s">
        <v>1196</v>
      </c>
      <c r="N540" s="2" t="s">
        <v>1197</v>
      </c>
      <c r="O540" s="18">
        <v>43677</v>
      </c>
    </row>
    <row r="541" spans="1:19" hidden="1" outlineLevel="1">
      <c r="A541" s="1">
        <v>7</v>
      </c>
      <c r="F541" s="22">
        <v>866795032929653</v>
      </c>
      <c r="M541" s="2" t="s">
        <v>1198</v>
      </c>
      <c r="N541" s="2" t="s">
        <v>874</v>
      </c>
      <c r="O541" s="18">
        <v>43683</v>
      </c>
    </row>
    <row r="542" spans="1:19" hidden="1" outlineLevel="1">
      <c r="A542" s="1">
        <v>8</v>
      </c>
      <c r="F542" s="22">
        <v>866795032827220</v>
      </c>
      <c r="M542" s="2" t="s">
        <v>1199</v>
      </c>
      <c r="N542" s="2" t="s">
        <v>938</v>
      </c>
      <c r="O542" s="18">
        <v>43682</v>
      </c>
    </row>
    <row r="543" spans="1:19" hidden="1" outlineLevel="1">
      <c r="A543" s="1">
        <v>9</v>
      </c>
      <c r="F543" s="22">
        <v>866795032920439</v>
      </c>
      <c r="M543" s="2" t="s">
        <v>1200</v>
      </c>
      <c r="N543" s="2" t="s">
        <v>1195</v>
      </c>
      <c r="O543" s="18">
        <v>43683</v>
      </c>
    </row>
    <row r="544" spans="1:19" hidden="1" outlineLevel="1">
      <c r="A544" s="1">
        <v>10</v>
      </c>
      <c r="F544" s="22">
        <v>866795032910612</v>
      </c>
      <c r="M544" s="2" t="s">
        <v>1201</v>
      </c>
      <c r="N544" s="2" t="s">
        <v>1086</v>
      </c>
      <c r="O544" s="18">
        <v>43682</v>
      </c>
    </row>
    <row r="545" spans="1:19" hidden="1" outlineLevel="1">
      <c r="A545" s="8"/>
      <c r="B545" s="58"/>
      <c r="C545" s="159"/>
      <c r="D545" s="8"/>
      <c r="E545" s="8"/>
      <c r="F545" s="9"/>
      <c r="G545" s="8"/>
      <c r="H545" s="8"/>
      <c r="I545" s="8"/>
      <c r="J545" s="58"/>
      <c r="K545" s="8"/>
      <c r="L545" s="58"/>
      <c r="M545" s="8"/>
      <c r="N545" s="8"/>
      <c r="O545" s="58"/>
      <c r="P545" s="8"/>
      <c r="Q545" s="8"/>
      <c r="R545" s="8"/>
      <c r="S545" s="8"/>
    </row>
    <row r="546" spans="1:19" hidden="1" outlineLevel="1">
      <c r="A546" s="1">
        <v>1</v>
      </c>
      <c r="B546" s="11">
        <v>43683</v>
      </c>
      <c r="E546" s="1" t="s">
        <v>589</v>
      </c>
      <c r="F546" s="22">
        <v>866795032870907</v>
      </c>
      <c r="M546" s="2" t="s">
        <v>1202</v>
      </c>
      <c r="N546" s="2" t="s">
        <v>1203</v>
      </c>
      <c r="O546" s="18">
        <v>43683</v>
      </c>
    </row>
    <row r="547" spans="1:19" hidden="1" outlineLevel="1">
      <c r="A547" s="1">
        <v>2</v>
      </c>
      <c r="F547" s="22">
        <v>866795033237627</v>
      </c>
      <c r="M547" s="2" t="s">
        <v>1204</v>
      </c>
      <c r="N547" s="2" t="s">
        <v>1203</v>
      </c>
      <c r="O547" s="18">
        <v>43683</v>
      </c>
    </row>
    <row r="548" spans="1:19" hidden="1" outlineLevel="1">
      <c r="A548" s="1">
        <v>3</v>
      </c>
      <c r="F548" s="22">
        <v>866795032887414</v>
      </c>
      <c r="M548" s="2" t="s">
        <v>1205</v>
      </c>
      <c r="N548" s="2" t="s">
        <v>1206</v>
      </c>
      <c r="O548" s="18" t="s">
        <v>836</v>
      </c>
    </row>
    <row r="549" spans="1:19" hidden="1" outlineLevel="1">
      <c r="A549" s="1">
        <v>4</v>
      </c>
      <c r="F549" s="22">
        <v>866795032886499</v>
      </c>
      <c r="M549" s="2" t="s">
        <v>1207</v>
      </c>
      <c r="N549" s="2" t="s">
        <v>1144</v>
      </c>
      <c r="O549" s="18">
        <v>43684</v>
      </c>
    </row>
    <row r="550" spans="1:19" hidden="1" outlineLevel="1">
      <c r="A550" s="1">
        <v>5</v>
      </c>
      <c r="F550" s="22">
        <v>866795032886184</v>
      </c>
      <c r="M550" s="2" t="s">
        <v>1208</v>
      </c>
      <c r="N550" s="2" t="s">
        <v>860</v>
      </c>
      <c r="O550" s="18">
        <v>43686</v>
      </c>
    </row>
    <row r="551" spans="1:19" hidden="1" outlineLevel="1">
      <c r="A551" s="1">
        <v>6</v>
      </c>
      <c r="F551" s="22">
        <v>866795032886507</v>
      </c>
      <c r="M551" s="2" t="s">
        <v>1209</v>
      </c>
      <c r="N551" s="2" t="s">
        <v>1210</v>
      </c>
      <c r="O551" s="18">
        <v>43685</v>
      </c>
    </row>
    <row r="552" spans="1:19" hidden="1" outlineLevel="1">
      <c r="A552" s="1">
        <v>7</v>
      </c>
      <c r="F552" s="22">
        <v>866795032876201</v>
      </c>
      <c r="M552" s="2" t="s">
        <v>1211</v>
      </c>
      <c r="N552" s="2" t="s">
        <v>907</v>
      </c>
      <c r="O552" s="18">
        <v>43684</v>
      </c>
    </row>
    <row r="553" spans="1:19" hidden="1" outlineLevel="1">
      <c r="A553" s="1">
        <v>8</v>
      </c>
      <c r="F553" s="22">
        <v>866795032852830</v>
      </c>
      <c r="M553" s="2" t="s">
        <v>1212</v>
      </c>
      <c r="N553" s="2" t="s">
        <v>1213</v>
      </c>
      <c r="O553" s="18">
        <v>43685</v>
      </c>
    </row>
    <row r="554" spans="1:19" hidden="1" outlineLevel="1">
      <c r="A554" s="1">
        <v>9</v>
      </c>
      <c r="F554" s="22">
        <v>866795032914721</v>
      </c>
      <c r="M554" s="2" t="s">
        <v>1214</v>
      </c>
      <c r="N554" s="2" t="s">
        <v>863</v>
      </c>
      <c r="O554" s="18">
        <v>43689</v>
      </c>
    </row>
    <row r="555" spans="1:19" hidden="1" outlineLevel="1">
      <c r="A555" s="1">
        <v>10</v>
      </c>
      <c r="F555" s="22">
        <v>866795032842153</v>
      </c>
      <c r="M555" s="2" t="s">
        <v>1215</v>
      </c>
      <c r="N555" s="2" t="s">
        <v>863</v>
      </c>
      <c r="O555" s="18">
        <v>43689</v>
      </c>
    </row>
    <row r="556" spans="1:19" hidden="1" outlineLevel="1">
      <c r="A556" s="8"/>
      <c r="B556" s="58"/>
      <c r="C556" s="159"/>
      <c r="D556" s="8"/>
      <c r="E556" s="8"/>
      <c r="F556" s="9"/>
      <c r="G556" s="8"/>
      <c r="H556" s="8"/>
      <c r="I556" s="8"/>
      <c r="J556" s="58"/>
      <c r="K556" s="8"/>
      <c r="L556" s="58"/>
      <c r="M556" s="8"/>
      <c r="N556" s="8"/>
      <c r="O556" s="58"/>
      <c r="P556" s="8"/>
      <c r="Q556" s="8"/>
      <c r="R556" s="8"/>
      <c r="S556" s="8"/>
    </row>
    <row r="557" spans="1:19" hidden="1" outlineLevel="1">
      <c r="A557" s="1">
        <v>1</v>
      </c>
      <c r="B557" s="11">
        <v>43685</v>
      </c>
      <c r="E557" s="1" t="s">
        <v>589</v>
      </c>
      <c r="F557" s="22">
        <v>866795032856088</v>
      </c>
      <c r="M557" s="2" t="s">
        <v>1216</v>
      </c>
      <c r="N557" s="2" t="s">
        <v>1217</v>
      </c>
      <c r="O557" s="18">
        <v>43689</v>
      </c>
    </row>
    <row r="558" spans="1:19" hidden="1" outlineLevel="1">
      <c r="A558" s="1">
        <v>2</v>
      </c>
      <c r="F558" s="22">
        <v>866795032851618</v>
      </c>
      <c r="M558" s="2" t="s">
        <v>1218</v>
      </c>
      <c r="N558" s="2" t="s">
        <v>1219</v>
      </c>
      <c r="O558" s="18">
        <v>43687</v>
      </c>
    </row>
    <row r="559" spans="1:19" hidden="1" outlineLevel="1">
      <c r="A559" s="1">
        <v>3</v>
      </c>
      <c r="F559" s="22">
        <v>866795032849059</v>
      </c>
      <c r="M559" s="2" t="s">
        <v>1220</v>
      </c>
      <c r="N559" s="2" t="s">
        <v>1219</v>
      </c>
      <c r="O559" s="18">
        <v>43687</v>
      </c>
    </row>
    <row r="560" spans="1:19" hidden="1" outlineLevel="1">
      <c r="A560" s="1">
        <v>4</v>
      </c>
      <c r="F560" s="22">
        <v>866795032832485</v>
      </c>
      <c r="M560" s="2" t="s">
        <v>1221</v>
      </c>
      <c r="N560" s="2" t="s">
        <v>863</v>
      </c>
      <c r="O560" s="18">
        <v>43689</v>
      </c>
    </row>
    <row r="561" spans="1:19" hidden="1" outlineLevel="1">
      <c r="A561" s="1">
        <v>5</v>
      </c>
      <c r="F561" s="22">
        <v>866795032915116</v>
      </c>
      <c r="M561" s="2" t="s">
        <v>1222</v>
      </c>
      <c r="N561" s="2" t="s">
        <v>860</v>
      </c>
      <c r="O561" s="18">
        <v>43686</v>
      </c>
    </row>
    <row r="562" spans="1:19" hidden="1" outlineLevel="1">
      <c r="A562" s="1">
        <v>6</v>
      </c>
      <c r="F562" s="22">
        <v>866795032854398</v>
      </c>
      <c r="M562" s="2" t="s">
        <v>1223</v>
      </c>
      <c r="N562" s="2" t="s">
        <v>1219</v>
      </c>
      <c r="O562" s="18">
        <v>43687</v>
      </c>
    </row>
    <row r="563" spans="1:19" hidden="1" outlineLevel="1">
      <c r="A563" s="1">
        <v>7</v>
      </c>
      <c r="F563" s="22">
        <v>866795032854869</v>
      </c>
      <c r="M563" s="2" t="s">
        <v>1224</v>
      </c>
      <c r="N563" s="2" t="s">
        <v>874</v>
      </c>
      <c r="O563" s="18">
        <v>43686</v>
      </c>
    </row>
    <row r="564" spans="1:19" hidden="1" outlineLevel="1">
      <c r="A564" s="1">
        <v>8</v>
      </c>
      <c r="F564" s="22">
        <v>866795032855981</v>
      </c>
      <c r="M564" s="2" t="s">
        <v>1225</v>
      </c>
      <c r="N564" s="2" t="s">
        <v>863</v>
      </c>
      <c r="O564" s="18">
        <v>43689</v>
      </c>
    </row>
    <row r="565" spans="1:19" hidden="1" outlineLevel="1">
      <c r="A565" s="1">
        <v>9</v>
      </c>
      <c r="F565" s="22">
        <v>866795032917021</v>
      </c>
      <c r="M565" s="2" t="s">
        <v>1226</v>
      </c>
      <c r="N565" s="2" t="s">
        <v>1219</v>
      </c>
      <c r="O565" s="18">
        <v>43687</v>
      </c>
    </row>
    <row r="566" spans="1:19" hidden="1" outlineLevel="1">
      <c r="A566" s="1">
        <v>10</v>
      </c>
      <c r="F566" s="22">
        <v>866795032831313</v>
      </c>
      <c r="M566" s="2" t="s">
        <v>1227</v>
      </c>
      <c r="N566" s="2" t="s">
        <v>1228</v>
      </c>
      <c r="O566" s="18">
        <v>43686</v>
      </c>
    </row>
    <row r="567" spans="1:19" hidden="1" outlineLevel="1">
      <c r="A567" s="8"/>
      <c r="B567" s="58"/>
      <c r="C567" s="159"/>
      <c r="D567" s="8"/>
      <c r="E567" s="8"/>
      <c r="F567" s="9"/>
      <c r="G567" s="8"/>
      <c r="H567" s="8"/>
      <c r="I567" s="8"/>
      <c r="J567" s="58"/>
      <c r="K567" s="8"/>
      <c r="L567" s="58"/>
      <c r="M567" s="8"/>
      <c r="N567" s="8"/>
      <c r="O567" s="58"/>
      <c r="P567" s="8"/>
      <c r="Q567" s="8"/>
      <c r="R567" s="8"/>
      <c r="S567" s="8"/>
    </row>
    <row r="568" spans="1:19" hidden="1" outlineLevel="1">
      <c r="A568" s="1">
        <v>1</v>
      </c>
      <c r="B568" s="11">
        <v>43686</v>
      </c>
      <c r="E568" s="1" t="s">
        <v>589</v>
      </c>
      <c r="F568" s="22">
        <v>866795032849075</v>
      </c>
      <c r="I568" s="2" t="s">
        <v>547</v>
      </c>
      <c r="M568" s="2" t="s">
        <v>1229</v>
      </c>
      <c r="N568" s="2" t="s">
        <v>1230</v>
      </c>
      <c r="O568" s="18" t="s">
        <v>836</v>
      </c>
    </row>
    <row r="569" spans="1:19" hidden="1" outlineLevel="1">
      <c r="A569" s="1">
        <v>2</v>
      </c>
      <c r="F569" s="22">
        <v>866795032852749</v>
      </c>
      <c r="M569" s="2" t="s">
        <v>1231</v>
      </c>
      <c r="N569" s="2" t="s">
        <v>1232</v>
      </c>
      <c r="O569" s="18" t="s">
        <v>836</v>
      </c>
    </row>
    <row r="570" spans="1:19" hidden="1" outlineLevel="1">
      <c r="A570" s="1">
        <v>3</v>
      </c>
      <c r="F570" s="22">
        <v>866795032887299</v>
      </c>
      <c r="M570" s="2" t="s">
        <v>1233</v>
      </c>
      <c r="N570" s="2" t="s">
        <v>1234</v>
      </c>
      <c r="O570" s="18">
        <v>43778</v>
      </c>
    </row>
    <row r="571" spans="1:19" hidden="1" outlineLevel="1">
      <c r="A571" s="1">
        <v>4</v>
      </c>
      <c r="F571" s="22">
        <v>866795032855676</v>
      </c>
      <c r="M571" s="2" t="s">
        <v>1235</v>
      </c>
      <c r="N571" s="2" t="s">
        <v>276</v>
      </c>
      <c r="O571" s="18">
        <v>43691</v>
      </c>
    </row>
    <row r="572" spans="1:19" hidden="1" outlineLevel="1">
      <c r="A572" s="1">
        <v>5</v>
      </c>
      <c r="F572" s="22">
        <v>866795032856393</v>
      </c>
      <c r="M572" s="2" t="s">
        <v>1236</v>
      </c>
      <c r="N572" s="2" t="s">
        <v>1217</v>
      </c>
      <c r="O572" s="18">
        <v>43689</v>
      </c>
    </row>
    <row r="573" spans="1:19" hidden="1" outlineLevel="1">
      <c r="A573" s="1">
        <v>6</v>
      </c>
      <c r="F573" s="22">
        <v>866795032832352</v>
      </c>
      <c r="M573" s="2" t="s">
        <v>1237</v>
      </c>
      <c r="N573" s="2" t="s">
        <v>1238</v>
      </c>
      <c r="O573" s="18">
        <v>43689</v>
      </c>
    </row>
    <row r="574" spans="1:19" hidden="1" outlineLevel="1">
      <c r="A574" s="1">
        <v>7</v>
      </c>
      <c r="F574" s="22">
        <v>866795032854885</v>
      </c>
      <c r="M574" s="2" t="s">
        <v>1239</v>
      </c>
      <c r="N574" s="2" t="s">
        <v>1089</v>
      </c>
      <c r="O574" s="18">
        <v>43703</v>
      </c>
    </row>
    <row r="575" spans="1:19" hidden="1" outlineLevel="1">
      <c r="A575" s="1">
        <v>8</v>
      </c>
      <c r="F575" s="22">
        <v>866795032880070</v>
      </c>
      <c r="M575" s="2" t="s">
        <v>1240</v>
      </c>
      <c r="N575" s="2" t="s">
        <v>1089</v>
      </c>
      <c r="O575" s="18">
        <v>43712</v>
      </c>
    </row>
    <row r="576" spans="1:19" hidden="1" outlineLevel="1">
      <c r="A576" s="1">
        <v>9</v>
      </c>
      <c r="F576" s="22">
        <v>866795032832121</v>
      </c>
      <c r="M576" s="2" t="s">
        <v>1241</v>
      </c>
      <c r="N576" s="2" t="s">
        <v>914</v>
      </c>
      <c r="O576" s="18">
        <v>43691</v>
      </c>
    </row>
    <row r="577" spans="1:19" hidden="1" outlineLevel="1">
      <c r="A577" s="1">
        <v>10</v>
      </c>
      <c r="F577" s="22">
        <v>866795032848986</v>
      </c>
      <c r="M577" s="2" t="s">
        <v>1242</v>
      </c>
      <c r="N577" s="2" t="s">
        <v>1243</v>
      </c>
      <c r="O577" s="18">
        <v>43690</v>
      </c>
    </row>
    <row r="578" spans="1:19" hidden="1" outlineLevel="1">
      <c r="A578" s="8"/>
      <c r="B578" s="58"/>
      <c r="C578" s="159"/>
      <c r="D578" s="8"/>
      <c r="E578" s="8"/>
      <c r="F578" s="9"/>
      <c r="G578" s="8"/>
      <c r="H578" s="8"/>
      <c r="I578" s="8"/>
      <c r="J578" s="58"/>
      <c r="K578" s="8"/>
      <c r="L578" s="58"/>
      <c r="M578" s="8"/>
      <c r="N578" s="8"/>
      <c r="O578" s="58"/>
      <c r="P578" s="8"/>
      <c r="Q578" s="8"/>
      <c r="R578" s="8"/>
      <c r="S578" s="8"/>
    </row>
    <row r="579" spans="1:19" hidden="1" outlineLevel="1">
      <c r="A579" s="1">
        <v>1</v>
      </c>
      <c r="B579" s="11">
        <v>43690</v>
      </c>
      <c r="E579" s="1" t="s">
        <v>593</v>
      </c>
      <c r="F579" s="22">
        <v>862273041378944</v>
      </c>
      <c r="M579" s="2" t="s">
        <v>1244</v>
      </c>
      <c r="N579" s="2" t="s">
        <v>874</v>
      </c>
      <c r="O579" s="18">
        <v>43696</v>
      </c>
    </row>
    <row r="580" spans="1:19" hidden="1" outlineLevel="1">
      <c r="A580" s="1">
        <v>2</v>
      </c>
      <c r="F580" s="22">
        <v>862273041340563</v>
      </c>
      <c r="M580" s="2" t="s">
        <v>1245</v>
      </c>
      <c r="N580" s="2" t="s">
        <v>1195</v>
      </c>
      <c r="O580" s="18">
        <v>43692</v>
      </c>
    </row>
    <row r="581" spans="1:19" hidden="1" outlineLevel="1">
      <c r="A581" s="1">
        <v>3</v>
      </c>
      <c r="F581" s="22">
        <v>862273041350273</v>
      </c>
      <c r="M581" s="2" t="s">
        <v>1246</v>
      </c>
      <c r="N581" s="2" t="s">
        <v>1057</v>
      </c>
      <c r="O581" s="18">
        <v>43697</v>
      </c>
    </row>
    <row r="582" spans="1:19" hidden="1" outlineLevel="1">
      <c r="A582" s="1">
        <v>4</v>
      </c>
      <c r="F582" s="22">
        <v>862273041379058</v>
      </c>
      <c r="M582" s="2" t="s">
        <v>1247</v>
      </c>
      <c r="N582" s="2" t="s">
        <v>1248</v>
      </c>
      <c r="O582" s="18">
        <v>43697</v>
      </c>
    </row>
    <row r="583" spans="1:19" hidden="1" outlineLevel="1">
      <c r="A583" s="1">
        <v>5</v>
      </c>
      <c r="F583" s="22">
        <v>862273041307265</v>
      </c>
      <c r="M583" s="2" t="s">
        <v>1249</v>
      </c>
      <c r="N583" s="2" t="s">
        <v>921</v>
      </c>
      <c r="O583" s="18">
        <v>43692</v>
      </c>
    </row>
    <row r="584" spans="1:19" hidden="1" outlineLevel="1">
      <c r="A584" s="1">
        <v>6</v>
      </c>
      <c r="F584" s="22">
        <v>862273041302860</v>
      </c>
      <c r="M584" s="2" t="s">
        <v>1250</v>
      </c>
      <c r="N584" s="2" t="s">
        <v>126</v>
      </c>
      <c r="O584" s="18">
        <v>43699</v>
      </c>
    </row>
    <row r="585" spans="1:19" hidden="1" outlineLevel="1">
      <c r="A585" s="1">
        <v>7</v>
      </c>
      <c r="F585" s="22">
        <v>862273041377003</v>
      </c>
      <c r="M585" s="2" t="s">
        <v>1251</v>
      </c>
      <c r="N585" s="2" t="s">
        <v>874</v>
      </c>
      <c r="O585" s="18">
        <v>43322</v>
      </c>
    </row>
    <row r="586" spans="1:19" hidden="1" outlineLevel="1">
      <c r="A586" s="1">
        <v>8</v>
      </c>
      <c r="F586" s="22">
        <v>862273041371014</v>
      </c>
      <c r="M586" s="2" t="s">
        <v>1252</v>
      </c>
      <c r="N586" s="2" t="s">
        <v>1253</v>
      </c>
      <c r="O586" s="18">
        <v>43696</v>
      </c>
    </row>
    <row r="587" spans="1:19" hidden="1" outlineLevel="1">
      <c r="A587" s="1">
        <v>9</v>
      </c>
      <c r="F587" s="22">
        <v>862273041302886</v>
      </c>
      <c r="I587" s="2" t="s">
        <v>548</v>
      </c>
      <c r="M587" s="2" t="s">
        <v>1229</v>
      </c>
      <c r="N587" s="2" t="s">
        <v>836</v>
      </c>
      <c r="O587" s="18" t="s">
        <v>836</v>
      </c>
    </row>
    <row r="588" spans="1:19" hidden="1" outlineLevel="1">
      <c r="A588" s="1">
        <v>10</v>
      </c>
      <c r="F588" s="22">
        <v>862273041378787</v>
      </c>
      <c r="M588" s="2" t="s">
        <v>1254</v>
      </c>
      <c r="N588" s="2" t="s">
        <v>1255</v>
      </c>
      <c r="O588" s="18">
        <v>43713</v>
      </c>
    </row>
    <row r="589" spans="1:19" hidden="1" outlineLevel="1">
      <c r="A589" s="8"/>
      <c r="B589" s="58"/>
      <c r="C589" s="159"/>
      <c r="D589" s="8"/>
      <c r="E589" s="8"/>
      <c r="F589" s="9"/>
      <c r="G589" s="8"/>
      <c r="H589" s="8"/>
      <c r="I589" s="8"/>
      <c r="J589" s="58"/>
      <c r="K589" s="8"/>
      <c r="L589" s="58"/>
      <c r="M589" s="8"/>
      <c r="N589" s="8"/>
      <c r="O589" s="58"/>
      <c r="P589" s="8"/>
      <c r="Q589" s="8"/>
      <c r="R589" s="8"/>
      <c r="S589" s="8"/>
    </row>
    <row r="590" spans="1:19" hidden="1" outlineLevel="1">
      <c r="A590" s="1">
        <v>1</v>
      </c>
      <c r="B590" s="11">
        <v>43691</v>
      </c>
      <c r="E590" s="1" t="s">
        <v>594</v>
      </c>
      <c r="F590" s="22">
        <v>862273040901035</v>
      </c>
      <c r="M590" s="2" t="s">
        <v>1256</v>
      </c>
      <c r="N590" s="2" t="s">
        <v>1257</v>
      </c>
      <c r="O590" s="18">
        <v>43691</v>
      </c>
    </row>
    <row r="591" spans="1:19" hidden="1" outlineLevel="1">
      <c r="A591" s="8"/>
      <c r="B591" s="58"/>
      <c r="C591" s="159"/>
      <c r="D591" s="8"/>
      <c r="E591" s="8"/>
      <c r="F591" s="9"/>
      <c r="G591" s="8"/>
      <c r="H591" s="8"/>
      <c r="I591" s="8"/>
      <c r="J591" s="58"/>
      <c r="K591" s="8"/>
      <c r="L591" s="58"/>
      <c r="M591" s="8"/>
      <c r="N591" s="8"/>
      <c r="O591" s="58"/>
      <c r="P591" s="8"/>
      <c r="Q591" s="8"/>
      <c r="R591" s="8"/>
      <c r="S591" s="8"/>
    </row>
    <row r="592" spans="1:19" hidden="1" outlineLevel="1">
      <c r="A592" s="1">
        <v>1</v>
      </c>
      <c r="B592" s="11">
        <v>43700</v>
      </c>
      <c r="E592" s="1" t="s">
        <v>593</v>
      </c>
      <c r="F592" s="22">
        <v>862273041345125</v>
      </c>
      <c r="M592" s="2" t="s">
        <v>1258</v>
      </c>
      <c r="N592" s="2" t="s">
        <v>1048</v>
      </c>
      <c r="O592" s="18">
        <v>43711</v>
      </c>
    </row>
    <row r="593" spans="1:19" hidden="1" outlineLevel="1">
      <c r="A593" s="1">
        <v>2</v>
      </c>
      <c r="F593" s="22">
        <v>862273041345034</v>
      </c>
      <c r="M593" s="2" t="s">
        <v>1259</v>
      </c>
      <c r="N593" s="2" t="s">
        <v>966</v>
      </c>
      <c r="O593" s="18">
        <v>43703</v>
      </c>
    </row>
    <row r="594" spans="1:19" hidden="1" outlineLevel="1">
      <c r="A594" s="1">
        <v>3</v>
      </c>
      <c r="F594" s="22">
        <v>862273041338674</v>
      </c>
      <c r="M594" s="2" t="s">
        <v>1260</v>
      </c>
      <c r="N594" s="2" t="s">
        <v>1261</v>
      </c>
      <c r="O594" s="18">
        <v>43496</v>
      </c>
    </row>
    <row r="595" spans="1:19" hidden="1" outlineLevel="1">
      <c r="A595" s="1">
        <v>4</v>
      </c>
      <c r="F595" s="22">
        <v>862273041337262</v>
      </c>
      <c r="M595" s="2" t="s">
        <v>1262</v>
      </c>
      <c r="N595" s="2" t="s">
        <v>1263</v>
      </c>
      <c r="O595" s="18">
        <v>43705</v>
      </c>
    </row>
    <row r="596" spans="1:19" hidden="1" outlineLevel="1">
      <c r="A596" s="1">
        <v>5</v>
      </c>
      <c r="F596" s="22">
        <v>862273041366808</v>
      </c>
      <c r="M596" s="2" t="s">
        <v>1264</v>
      </c>
      <c r="N596" s="2" t="s">
        <v>1263</v>
      </c>
      <c r="O596" s="18">
        <v>43705</v>
      </c>
    </row>
    <row r="597" spans="1:19" hidden="1" outlineLevel="1">
      <c r="A597" s="1">
        <v>6</v>
      </c>
      <c r="F597" s="22">
        <v>862273041351495</v>
      </c>
      <c r="M597" s="2" t="s">
        <v>1265</v>
      </c>
      <c r="N597" s="2" t="s">
        <v>1266</v>
      </c>
      <c r="O597" s="18">
        <v>43714</v>
      </c>
    </row>
    <row r="598" spans="1:19" hidden="1" outlineLevel="1">
      <c r="A598" s="1">
        <v>7</v>
      </c>
      <c r="F598" s="22">
        <v>862273041315771</v>
      </c>
      <c r="M598" s="2" t="s">
        <v>1267</v>
      </c>
      <c r="N598" s="2" t="s">
        <v>966</v>
      </c>
      <c r="O598" s="18">
        <v>43703</v>
      </c>
    </row>
    <row r="599" spans="1:19" hidden="1" outlineLevel="1">
      <c r="A599" s="1">
        <v>8</v>
      </c>
      <c r="F599" s="22">
        <v>862273041369547</v>
      </c>
      <c r="M599" s="2" t="s">
        <v>1268</v>
      </c>
      <c r="N599" s="2" t="s">
        <v>1269</v>
      </c>
      <c r="O599" s="18">
        <v>43705</v>
      </c>
    </row>
    <row r="600" spans="1:19" hidden="1" outlineLevel="1">
      <c r="A600" s="1">
        <v>9</v>
      </c>
      <c r="F600" s="22">
        <v>862273041356411</v>
      </c>
      <c r="M600" s="2" t="s">
        <v>1270</v>
      </c>
      <c r="N600" s="2" t="s">
        <v>1022</v>
      </c>
      <c r="O600" s="18">
        <v>43711</v>
      </c>
    </row>
    <row r="601" spans="1:19" hidden="1" outlineLevel="1">
      <c r="A601" s="1">
        <v>10</v>
      </c>
      <c r="F601" s="22">
        <v>862273041373374</v>
      </c>
      <c r="M601" s="2" t="s">
        <v>1271</v>
      </c>
      <c r="N601" s="2" t="s">
        <v>1263</v>
      </c>
      <c r="O601" s="18">
        <v>43706</v>
      </c>
    </row>
    <row r="602" spans="1:19" hidden="1" outlineLevel="1">
      <c r="A602" s="8"/>
      <c r="B602" s="58"/>
      <c r="C602" s="159"/>
      <c r="D602" s="8"/>
      <c r="E602" s="8"/>
      <c r="F602" s="9"/>
      <c r="G602" s="8"/>
      <c r="H602" s="8"/>
      <c r="I602" s="8"/>
      <c r="J602" s="58"/>
      <c r="K602" s="8"/>
      <c r="L602" s="58"/>
      <c r="M602" s="8"/>
      <c r="N602" s="8"/>
      <c r="O602" s="58"/>
      <c r="P602" s="8"/>
      <c r="Q602" s="8"/>
      <c r="R602" s="8"/>
      <c r="S602" s="8"/>
    </row>
    <row r="603" spans="1:19" hidden="1" outlineLevel="1">
      <c r="A603" s="1">
        <v>1</v>
      </c>
      <c r="B603" s="11">
        <v>43704</v>
      </c>
      <c r="E603" s="1" t="s">
        <v>595</v>
      </c>
      <c r="F603" s="22">
        <v>866795033239508</v>
      </c>
      <c r="M603" s="2" t="s">
        <v>1272</v>
      </c>
      <c r="N603" s="2" t="s">
        <v>1185</v>
      </c>
      <c r="O603" s="18">
        <v>43711</v>
      </c>
    </row>
    <row r="604" spans="1:19" hidden="1" outlineLevel="1">
      <c r="A604" s="1">
        <v>2</v>
      </c>
      <c r="F604" s="22">
        <v>866795033310416</v>
      </c>
      <c r="M604" s="2" t="s">
        <v>1273</v>
      </c>
      <c r="N604" s="2" t="s">
        <v>288</v>
      </c>
      <c r="O604" s="18">
        <v>43712</v>
      </c>
    </row>
    <row r="605" spans="1:19" hidden="1" outlineLevel="1">
      <c r="A605" s="1">
        <v>3</v>
      </c>
      <c r="F605" s="22">
        <v>866795033363688</v>
      </c>
      <c r="M605" s="2" t="s">
        <v>1274</v>
      </c>
      <c r="N605" s="2" t="s">
        <v>860</v>
      </c>
      <c r="O605" s="18">
        <v>43717</v>
      </c>
    </row>
    <row r="606" spans="1:19" hidden="1" outlineLevel="1">
      <c r="A606" s="8"/>
      <c r="B606" s="58"/>
      <c r="C606" s="159"/>
      <c r="D606" s="8"/>
      <c r="E606" s="8"/>
      <c r="F606" s="9"/>
      <c r="G606" s="8"/>
      <c r="H606" s="8"/>
      <c r="I606" s="8"/>
      <c r="J606" s="58"/>
      <c r="K606" s="8"/>
      <c r="L606" s="58"/>
      <c r="M606" s="8"/>
      <c r="N606" s="8"/>
      <c r="O606" s="58"/>
      <c r="P606" s="8"/>
      <c r="Q606" s="8"/>
      <c r="R606" s="8"/>
      <c r="S606" s="8"/>
    </row>
    <row r="607" spans="1:19" hidden="1" outlineLevel="1">
      <c r="A607" s="1">
        <v>1</v>
      </c>
      <c r="B607" s="11">
        <v>43710</v>
      </c>
      <c r="E607" s="1" t="s">
        <v>596</v>
      </c>
      <c r="F607" s="22">
        <v>866795033274034</v>
      </c>
      <c r="M607" s="2" t="s">
        <v>1275</v>
      </c>
      <c r="N607" s="2" t="s">
        <v>1276</v>
      </c>
      <c r="O607" s="18">
        <v>43741</v>
      </c>
    </row>
    <row r="608" spans="1:19" hidden="1" outlineLevel="1">
      <c r="A608" s="1">
        <v>2</v>
      </c>
      <c r="F608" s="22">
        <v>866795033297399</v>
      </c>
      <c r="M608" s="2" t="s">
        <v>1277</v>
      </c>
      <c r="N608" s="2" t="s">
        <v>1276</v>
      </c>
      <c r="O608" s="18">
        <v>43719</v>
      </c>
    </row>
    <row r="609" spans="1:15" hidden="1" outlineLevel="1">
      <c r="A609" s="1">
        <v>3</v>
      </c>
      <c r="F609" s="22">
        <v>866795033172501</v>
      </c>
      <c r="M609" s="2" t="s">
        <v>1278</v>
      </c>
      <c r="N609" s="2" t="s">
        <v>1276</v>
      </c>
      <c r="O609" s="18">
        <v>43726</v>
      </c>
    </row>
    <row r="610" spans="1:15" hidden="1" outlineLevel="1">
      <c r="A610" s="1">
        <v>4</v>
      </c>
      <c r="F610" s="22">
        <v>866795033174036</v>
      </c>
      <c r="M610" s="2" t="s">
        <v>1279</v>
      </c>
      <c r="N610" s="2" t="s">
        <v>1276</v>
      </c>
      <c r="O610" s="18">
        <v>43720</v>
      </c>
    </row>
    <row r="611" spans="1:15" hidden="1" outlineLevel="1">
      <c r="A611" s="1">
        <v>5</v>
      </c>
      <c r="F611" s="22">
        <v>866795033169044</v>
      </c>
      <c r="M611" s="2" t="s">
        <v>1280</v>
      </c>
      <c r="N611" s="2" t="s">
        <v>1276</v>
      </c>
      <c r="O611" s="18">
        <v>42025</v>
      </c>
    </row>
    <row r="612" spans="1:15" hidden="1" outlineLevel="1">
      <c r="A612" s="1">
        <v>6</v>
      </c>
      <c r="F612" s="22">
        <v>866795033297373</v>
      </c>
      <c r="M612" s="2" t="s">
        <v>1281</v>
      </c>
      <c r="N612" s="2" t="s">
        <v>1232</v>
      </c>
      <c r="O612" s="18">
        <v>43389</v>
      </c>
    </row>
    <row r="613" spans="1:15" hidden="1" outlineLevel="1">
      <c r="A613" s="1">
        <v>7</v>
      </c>
      <c r="F613" s="22">
        <v>866795033274992</v>
      </c>
      <c r="M613" s="2" t="s">
        <v>1282</v>
      </c>
      <c r="N613" s="2" t="s">
        <v>1276</v>
      </c>
      <c r="O613" s="18">
        <v>43780</v>
      </c>
    </row>
    <row r="614" spans="1:15" hidden="1" outlineLevel="1">
      <c r="A614" s="1">
        <v>8</v>
      </c>
      <c r="F614" s="22">
        <v>866795033280023</v>
      </c>
      <c r="M614" s="2" t="s">
        <v>1283</v>
      </c>
      <c r="N614" s="2" t="s">
        <v>1276</v>
      </c>
      <c r="O614" s="18">
        <v>43714</v>
      </c>
    </row>
    <row r="615" spans="1:15" hidden="1" outlineLevel="1">
      <c r="A615" s="1">
        <v>9</v>
      </c>
      <c r="F615" s="22">
        <v>866795033167980</v>
      </c>
      <c r="M615" s="2" t="s">
        <v>1284</v>
      </c>
      <c r="N615" s="2" t="s">
        <v>1276</v>
      </c>
      <c r="O615" s="18">
        <v>43726</v>
      </c>
    </row>
    <row r="616" spans="1:15" hidden="1" outlineLevel="1">
      <c r="A616" s="1">
        <v>10</v>
      </c>
      <c r="F616" s="22">
        <v>866795033230432</v>
      </c>
      <c r="M616" s="2" t="s">
        <v>1285</v>
      </c>
      <c r="N616" s="2" t="s">
        <v>1276</v>
      </c>
      <c r="O616" s="18">
        <v>43714</v>
      </c>
    </row>
    <row r="617" spans="1:15" hidden="1" outlineLevel="1">
      <c r="A617" s="1">
        <v>11</v>
      </c>
      <c r="F617" s="22">
        <v>866795033273143</v>
      </c>
      <c r="M617" s="2" t="s">
        <v>1286</v>
      </c>
      <c r="N617" s="2" t="s">
        <v>1287</v>
      </c>
      <c r="O617" s="18">
        <v>43712</v>
      </c>
    </row>
    <row r="618" spans="1:15" hidden="1" outlineLevel="1">
      <c r="A618" s="1">
        <v>12</v>
      </c>
      <c r="F618" s="22">
        <v>866795033175140</v>
      </c>
      <c r="M618" s="2" t="s">
        <v>1288</v>
      </c>
      <c r="N618" s="2" t="s">
        <v>1173</v>
      </c>
      <c r="O618" s="18">
        <v>43727</v>
      </c>
    </row>
    <row r="619" spans="1:15" hidden="1" outlineLevel="1">
      <c r="A619" s="1">
        <v>13</v>
      </c>
      <c r="F619" s="22">
        <v>866795033280833</v>
      </c>
      <c r="M619" s="2" t="s">
        <v>1289</v>
      </c>
      <c r="N619" s="2" t="s">
        <v>1276</v>
      </c>
      <c r="O619" s="18">
        <v>43714</v>
      </c>
    </row>
    <row r="620" spans="1:15" hidden="1" outlineLevel="1">
      <c r="A620" s="1">
        <v>14</v>
      </c>
      <c r="F620" s="22">
        <v>866795033169127</v>
      </c>
      <c r="M620" s="2" t="s">
        <v>1290</v>
      </c>
      <c r="N620" s="2" t="s">
        <v>1276</v>
      </c>
      <c r="O620" s="18">
        <v>43719</v>
      </c>
    </row>
    <row r="621" spans="1:15" hidden="1" outlineLevel="1">
      <c r="A621" s="1">
        <v>15</v>
      </c>
      <c r="F621" s="22">
        <v>866795033179019</v>
      </c>
      <c r="M621" s="2" t="s">
        <v>1291</v>
      </c>
      <c r="N621" s="2" t="s">
        <v>1232</v>
      </c>
      <c r="O621" s="18">
        <v>43766</v>
      </c>
    </row>
    <row r="622" spans="1:15" hidden="1" outlineLevel="1">
      <c r="A622" s="1">
        <v>16</v>
      </c>
      <c r="F622" s="22">
        <v>866795033168988</v>
      </c>
      <c r="M622" s="2" t="s">
        <v>1292</v>
      </c>
      <c r="N622" s="2" t="s">
        <v>1276</v>
      </c>
      <c r="O622" s="18">
        <v>43719</v>
      </c>
    </row>
    <row r="623" spans="1:15" hidden="1" outlineLevel="1">
      <c r="A623" s="1">
        <v>17</v>
      </c>
      <c r="F623" s="22">
        <v>866795033183680</v>
      </c>
      <c r="M623" s="2" t="s">
        <v>1293</v>
      </c>
      <c r="N623" s="2" t="s">
        <v>1276</v>
      </c>
      <c r="O623" s="18">
        <v>43714</v>
      </c>
    </row>
    <row r="624" spans="1:15" hidden="1" outlineLevel="1">
      <c r="A624" s="1">
        <v>18</v>
      </c>
      <c r="F624" s="22">
        <v>866795033280270</v>
      </c>
      <c r="M624" s="2" t="s">
        <v>1294</v>
      </c>
      <c r="N624" s="2" t="s">
        <v>1276</v>
      </c>
      <c r="O624" s="18">
        <v>43720</v>
      </c>
    </row>
    <row r="625" spans="1:15" hidden="1" outlineLevel="1">
      <c r="A625" s="1">
        <v>19</v>
      </c>
      <c r="F625" s="22">
        <v>866795033172105</v>
      </c>
      <c r="M625" s="2" t="s">
        <v>1295</v>
      </c>
      <c r="N625" s="2" t="s">
        <v>1276</v>
      </c>
      <c r="O625" s="18">
        <v>43714</v>
      </c>
    </row>
    <row r="626" spans="1:15" hidden="1" outlineLevel="1">
      <c r="A626" s="1">
        <v>20</v>
      </c>
      <c r="F626" s="22">
        <v>866795033168970</v>
      </c>
      <c r="I626" s="2" t="s">
        <v>537</v>
      </c>
      <c r="M626" s="2" t="s">
        <v>1296</v>
      </c>
      <c r="N626" s="2" t="s">
        <v>1297</v>
      </c>
      <c r="O626" s="18">
        <v>43714</v>
      </c>
    </row>
    <row r="627" spans="1:15" hidden="1" outlineLevel="1">
      <c r="A627" s="1">
        <v>21</v>
      </c>
      <c r="F627" s="22">
        <v>866795033179027</v>
      </c>
      <c r="M627" s="2" t="s">
        <v>1298</v>
      </c>
      <c r="N627" s="2" t="s">
        <v>1299</v>
      </c>
      <c r="O627" s="18">
        <v>43718</v>
      </c>
    </row>
    <row r="628" spans="1:15" hidden="1" outlineLevel="1">
      <c r="A628" s="1">
        <v>22</v>
      </c>
      <c r="F628" s="22">
        <v>866795033279207</v>
      </c>
      <c r="M628" s="2" t="s">
        <v>1300</v>
      </c>
      <c r="N628" s="2" t="s">
        <v>1276</v>
      </c>
      <c r="O628" s="18">
        <v>43720</v>
      </c>
    </row>
    <row r="629" spans="1:15" hidden="1" outlineLevel="1">
      <c r="A629" s="1">
        <v>23</v>
      </c>
      <c r="F629" s="22">
        <v>866795033227347</v>
      </c>
      <c r="M629" s="2" t="s">
        <v>1301</v>
      </c>
      <c r="N629" s="2" t="s">
        <v>1276</v>
      </c>
      <c r="O629" s="18">
        <v>43727</v>
      </c>
    </row>
    <row r="630" spans="1:15" hidden="1" outlineLevel="1">
      <c r="A630" s="1">
        <v>24</v>
      </c>
      <c r="F630" s="22">
        <v>866795033281286</v>
      </c>
      <c r="M630" s="2" t="s">
        <v>1302</v>
      </c>
      <c r="N630" s="2" t="s">
        <v>1276</v>
      </c>
      <c r="O630" s="18">
        <v>43714</v>
      </c>
    </row>
    <row r="631" spans="1:15" hidden="1" outlineLevel="1">
      <c r="A631" s="1">
        <v>25</v>
      </c>
      <c r="F631" s="22">
        <v>866795033173293</v>
      </c>
      <c r="M631" s="2" t="s">
        <v>1303</v>
      </c>
      <c r="N631" s="2" t="s">
        <v>1091</v>
      </c>
      <c r="O631" s="18">
        <v>43713</v>
      </c>
    </row>
    <row r="632" spans="1:15" hidden="1" outlineLevel="1">
      <c r="A632" s="1">
        <v>26</v>
      </c>
      <c r="F632" s="22">
        <v>866795033271030</v>
      </c>
      <c r="M632" s="2" t="s">
        <v>1304</v>
      </c>
      <c r="N632" s="2" t="s">
        <v>1276</v>
      </c>
      <c r="O632" s="18">
        <v>43719</v>
      </c>
    </row>
    <row r="633" spans="1:15" hidden="1" outlineLevel="1">
      <c r="A633" s="1">
        <v>27</v>
      </c>
      <c r="F633" s="22">
        <v>866795033171347</v>
      </c>
      <c r="M633" s="2" t="s">
        <v>1305</v>
      </c>
      <c r="N633" s="2" t="s">
        <v>1276</v>
      </c>
      <c r="O633" s="18">
        <v>43719</v>
      </c>
    </row>
    <row r="634" spans="1:15" hidden="1" outlineLevel="1">
      <c r="A634" s="1">
        <v>28</v>
      </c>
      <c r="F634" s="22">
        <v>866795033193366</v>
      </c>
      <c r="M634" s="2" t="s">
        <v>1306</v>
      </c>
      <c r="N634" s="2" t="s">
        <v>1276</v>
      </c>
      <c r="O634" s="18" t="s">
        <v>894</v>
      </c>
    </row>
    <row r="635" spans="1:15" hidden="1" outlineLevel="1">
      <c r="A635" s="1">
        <v>29</v>
      </c>
      <c r="F635" s="22">
        <v>866795033180348</v>
      </c>
      <c r="M635" s="2" t="s">
        <v>1307</v>
      </c>
      <c r="N635" s="2" t="s">
        <v>1276</v>
      </c>
      <c r="O635" s="18">
        <v>43714</v>
      </c>
    </row>
    <row r="636" spans="1:15" hidden="1" outlineLevel="1">
      <c r="A636" s="1">
        <v>30</v>
      </c>
      <c r="F636" s="22">
        <v>866795033297407</v>
      </c>
      <c r="I636" s="2" t="s">
        <v>549</v>
      </c>
      <c r="M636" s="2" t="s">
        <v>1308</v>
      </c>
      <c r="N636" s="2" t="s">
        <v>1309</v>
      </c>
      <c r="O636" s="18" t="s">
        <v>836</v>
      </c>
    </row>
    <row r="637" spans="1:15" hidden="1" outlineLevel="1">
      <c r="A637" s="1">
        <v>31</v>
      </c>
      <c r="E637" s="1" t="s">
        <v>597</v>
      </c>
      <c r="F637" s="22">
        <v>866795033319375</v>
      </c>
      <c r="M637" s="2" t="s">
        <v>1310</v>
      </c>
      <c r="N637" s="2" t="s">
        <v>1311</v>
      </c>
      <c r="O637" s="18">
        <v>43719</v>
      </c>
    </row>
    <row r="638" spans="1:15" hidden="1" outlineLevel="1">
      <c r="A638" s="1">
        <v>32</v>
      </c>
      <c r="F638" s="22">
        <v>866795033186360</v>
      </c>
      <c r="M638" s="2" t="s">
        <v>1312</v>
      </c>
      <c r="N638" s="2" t="s">
        <v>1311</v>
      </c>
      <c r="O638" s="18">
        <v>43724</v>
      </c>
    </row>
    <row r="639" spans="1:15" hidden="1" outlineLevel="1">
      <c r="A639" s="1">
        <v>33</v>
      </c>
      <c r="F639" s="22">
        <v>866795033318617</v>
      </c>
      <c r="M639" s="2" t="s">
        <v>1313</v>
      </c>
      <c r="N639" s="2" t="s">
        <v>1311</v>
      </c>
      <c r="O639" s="18">
        <v>43718</v>
      </c>
    </row>
    <row r="640" spans="1:15" hidden="1" outlineLevel="1">
      <c r="A640" s="1">
        <v>34</v>
      </c>
      <c r="F640" s="22">
        <v>866795033259399</v>
      </c>
      <c r="I640" s="2" t="s">
        <v>550</v>
      </c>
      <c r="M640" s="2" t="s">
        <v>1229</v>
      </c>
      <c r="N640" s="2" t="s">
        <v>836</v>
      </c>
      <c r="O640" s="18" t="s">
        <v>836</v>
      </c>
    </row>
    <row r="641" spans="1:15" hidden="1" outlineLevel="1">
      <c r="A641" s="1">
        <v>35</v>
      </c>
      <c r="F641" s="22">
        <v>866795033188069</v>
      </c>
      <c r="M641" s="2" t="s">
        <v>1314</v>
      </c>
      <c r="N641" s="2" t="s">
        <v>1311</v>
      </c>
      <c r="O641" s="18">
        <v>43719</v>
      </c>
    </row>
    <row r="642" spans="1:15" hidden="1" outlineLevel="1">
      <c r="A642" s="1">
        <v>36</v>
      </c>
      <c r="F642" s="22">
        <v>866795033187434</v>
      </c>
      <c r="M642" s="2" t="s">
        <v>1315</v>
      </c>
      <c r="N642" s="2" t="s">
        <v>1311</v>
      </c>
      <c r="O642" s="18" t="s">
        <v>894</v>
      </c>
    </row>
    <row r="643" spans="1:15" hidden="1" outlineLevel="1">
      <c r="A643" s="1">
        <v>37</v>
      </c>
      <c r="F643" s="22">
        <v>866795033185677</v>
      </c>
      <c r="M643" s="2" t="s">
        <v>1316</v>
      </c>
      <c r="N643" s="2" t="s">
        <v>1311</v>
      </c>
      <c r="O643" s="18">
        <v>43731</v>
      </c>
    </row>
    <row r="644" spans="1:15" hidden="1" outlineLevel="1">
      <c r="A644" s="1">
        <v>38</v>
      </c>
      <c r="F644" s="22">
        <v>866795033256965</v>
      </c>
      <c r="M644" s="2" t="s">
        <v>1317</v>
      </c>
      <c r="N644" s="2" t="s">
        <v>1311</v>
      </c>
      <c r="O644" s="18">
        <v>43724</v>
      </c>
    </row>
    <row r="645" spans="1:15" hidden="1" outlineLevel="1">
      <c r="A645" s="1">
        <v>39</v>
      </c>
      <c r="F645" s="22">
        <v>866795033416775</v>
      </c>
      <c r="I645" s="2" t="s">
        <v>550</v>
      </c>
      <c r="M645" s="2" t="s">
        <v>1229</v>
      </c>
      <c r="N645" s="2" t="s">
        <v>836</v>
      </c>
      <c r="O645" s="18" t="s">
        <v>836</v>
      </c>
    </row>
    <row r="646" spans="1:15" hidden="1" outlineLevel="1">
      <c r="A646" s="1">
        <v>40</v>
      </c>
      <c r="F646" s="22">
        <v>866795033188408</v>
      </c>
      <c r="M646" s="2" t="s">
        <v>1318</v>
      </c>
      <c r="N646" s="2" t="s">
        <v>1311</v>
      </c>
      <c r="O646" s="18">
        <v>43724</v>
      </c>
    </row>
    <row r="647" spans="1:15" hidden="1" outlineLevel="1">
      <c r="A647" s="1">
        <v>41</v>
      </c>
      <c r="F647" s="22">
        <v>866795033183995</v>
      </c>
      <c r="M647" s="2" t="s">
        <v>1319</v>
      </c>
      <c r="N647" s="2" t="s">
        <v>1311</v>
      </c>
      <c r="O647" s="18">
        <v>43719</v>
      </c>
    </row>
    <row r="648" spans="1:15" hidden="1" outlineLevel="1">
      <c r="A648" s="1">
        <v>42</v>
      </c>
      <c r="F648" s="22">
        <v>866795033306141</v>
      </c>
      <c r="M648" s="2" t="s">
        <v>1320</v>
      </c>
      <c r="N648" s="2" t="s">
        <v>1311</v>
      </c>
      <c r="O648" s="18" t="s">
        <v>894</v>
      </c>
    </row>
    <row r="649" spans="1:15" hidden="1" outlineLevel="1">
      <c r="A649" s="1">
        <v>43</v>
      </c>
      <c r="F649" s="22">
        <v>866795033183300</v>
      </c>
      <c r="M649" s="2" t="s">
        <v>1321</v>
      </c>
      <c r="N649" s="2" t="s">
        <v>1322</v>
      </c>
      <c r="O649" s="18">
        <v>43720</v>
      </c>
    </row>
    <row r="650" spans="1:15" hidden="1" outlineLevel="1">
      <c r="A650" s="1">
        <v>44</v>
      </c>
      <c r="F650" s="22">
        <v>866795033188937</v>
      </c>
      <c r="M650" s="2" t="s">
        <v>1323</v>
      </c>
      <c r="N650" s="2" t="s">
        <v>1311</v>
      </c>
      <c r="O650" s="18">
        <v>43724</v>
      </c>
    </row>
    <row r="651" spans="1:15" hidden="1" outlineLevel="1">
      <c r="A651" s="1">
        <v>45</v>
      </c>
      <c r="F651" s="22">
        <v>866795033187954</v>
      </c>
      <c r="M651" s="2" t="s">
        <v>1324</v>
      </c>
      <c r="N651" s="2" t="s">
        <v>1138</v>
      </c>
      <c r="O651" s="18">
        <v>43720</v>
      </c>
    </row>
    <row r="652" spans="1:15" hidden="1" outlineLevel="1">
      <c r="A652" s="1">
        <v>46</v>
      </c>
      <c r="F652" s="22">
        <v>866795033225259</v>
      </c>
      <c r="M652" s="2" t="s">
        <v>1325</v>
      </c>
      <c r="N652" s="2" t="s">
        <v>1311</v>
      </c>
      <c r="O652" s="18">
        <v>43731</v>
      </c>
    </row>
    <row r="653" spans="1:15" hidden="1" outlineLevel="1">
      <c r="A653" s="1">
        <v>47</v>
      </c>
      <c r="F653" s="22">
        <v>866795033259225</v>
      </c>
      <c r="M653" s="2" t="s">
        <v>1326</v>
      </c>
      <c r="N653" s="2" t="s">
        <v>1311</v>
      </c>
      <c r="O653" s="18">
        <v>43718</v>
      </c>
    </row>
    <row r="654" spans="1:15" hidden="1" outlineLevel="1">
      <c r="A654" s="1">
        <v>48</v>
      </c>
      <c r="F654" s="22">
        <v>866795033188002</v>
      </c>
      <c r="I654" s="2" t="s">
        <v>551</v>
      </c>
      <c r="M654" s="2" t="s">
        <v>1229</v>
      </c>
      <c r="N654" s="2" t="s">
        <v>836</v>
      </c>
      <c r="O654" s="18" t="s">
        <v>836</v>
      </c>
    </row>
    <row r="655" spans="1:15" hidden="1" outlineLevel="1">
      <c r="A655" s="1">
        <v>49</v>
      </c>
      <c r="F655" s="22">
        <v>866795033181726</v>
      </c>
      <c r="I655" s="2" t="s">
        <v>550</v>
      </c>
      <c r="M655" s="2" t="s">
        <v>1229</v>
      </c>
      <c r="N655" s="2" t="s">
        <v>836</v>
      </c>
      <c r="O655" s="18" t="s">
        <v>836</v>
      </c>
    </row>
    <row r="656" spans="1:15" hidden="1" outlineLevel="1">
      <c r="A656" s="1">
        <v>50</v>
      </c>
      <c r="F656" s="22">
        <v>866795033315183</v>
      </c>
      <c r="M656" s="2" t="s">
        <v>1327</v>
      </c>
      <c r="N656" s="2" t="s">
        <v>1311</v>
      </c>
      <c r="O656" s="18" t="s">
        <v>894</v>
      </c>
    </row>
    <row r="657" spans="1:19" hidden="1" outlineLevel="1">
      <c r="A657" s="1">
        <v>51</v>
      </c>
      <c r="F657" s="22">
        <v>866795033259373</v>
      </c>
      <c r="M657" s="2" t="s">
        <v>1328</v>
      </c>
      <c r="N657" s="2" t="s">
        <v>1311</v>
      </c>
      <c r="O657" s="18">
        <v>43719</v>
      </c>
    </row>
    <row r="658" spans="1:19" hidden="1" outlineLevel="1">
      <c r="A658" s="1">
        <v>52</v>
      </c>
      <c r="F658" s="22">
        <v>866795033295435</v>
      </c>
      <c r="I658" s="2" t="s">
        <v>550</v>
      </c>
      <c r="M658" s="2" t="s">
        <v>1229</v>
      </c>
      <c r="N658" s="2" t="s">
        <v>836</v>
      </c>
      <c r="O658" s="18" t="s">
        <v>836</v>
      </c>
    </row>
    <row r="659" spans="1:19" hidden="1" outlineLevel="1">
      <c r="A659" s="1">
        <v>53</v>
      </c>
      <c r="F659" s="22">
        <v>866795033256957</v>
      </c>
      <c r="I659" s="2" t="s">
        <v>550</v>
      </c>
      <c r="M659" s="2" t="s">
        <v>1229</v>
      </c>
      <c r="N659" s="2" t="s">
        <v>836</v>
      </c>
      <c r="O659" s="18" t="s">
        <v>836</v>
      </c>
    </row>
    <row r="660" spans="1:19" hidden="1" outlineLevel="1">
      <c r="A660" s="1">
        <v>54</v>
      </c>
      <c r="F660" s="22">
        <v>866795033315365</v>
      </c>
      <c r="M660" s="2" t="s">
        <v>1329</v>
      </c>
      <c r="N660" s="2" t="s">
        <v>1311</v>
      </c>
      <c r="O660" s="18">
        <v>43735</v>
      </c>
    </row>
    <row r="661" spans="1:19" hidden="1" outlineLevel="1">
      <c r="A661" s="1">
        <v>55</v>
      </c>
      <c r="F661" s="22">
        <v>866795033186634</v>
      </c>
      <c r="M661" s="2" t="s">
        <v>1330</v>
      </c>
      <c r="N661" s="2" t="s">
        <v>1322</v>
      </c>
      <c r="O661" s="18" t="s">
        <v>894</v>
      </c>
    </row>
    <row r="662" spans="1:19" hidden="1" outlineLevel="1">
      <c r="A662" s="8"/>
      <c r="B662" s="58"/>
      <c r="C662" s="159"/>
      <c r="D662" s="8"/>
      <c r="E662" s="8"/>
      <c r="F662" s="9"/>
      <c r="G662" s="8"/>
      <c r="H662" s="8"/>
      <c r="I662" s="8"/>
      <c r="J662" s="58"/>
      <c r="K662" s="8"/>
      <c r="L662" s="58"/>
      <c r="M662" s="8"/>
      <c r="N662" s="8"/>
      <c r="O662" s="58"/>
      <c r="P662" s="8"/>
      <c r="Q662" s="8"/>
      <c r="R662" s="8"/>
      <c r="S662" s="8"/>
    </row>
    <row r="663" spans="1:19" hidden="1" outlineLevel="1">
      <c r="A663" s="1">
        <v>1</v>
      </c>
      <c r="B663" s="11">
        <v>43714</v>
      </c>
      <c r="E663" s="1" t="s">
        <v>598</v>
      </c>
      <c r="F663" s="22">
        <v>866795033279306</v>
      </c>
      <c r="M663" s="2" t="s">
        <v>1331</v>
      </c>
      <c r="N663" s="2" t="s">
        <v>1022</v>
      </c>
      <c r="O663" s="18">
        <v>43741</v>
      </c>
    </row>
    <row r="664" spans="1:19" hidden="1" outlineLevel="1">
      <c r="A664" s="1">
        <v>2</v>
      </c>
      <c r="F664" s="22">
        <v>866795033273325</v>
      </c>
      <c r="M664" s="2" t="s">
        <v>1332</v>
      </c>
      <c r="N664" s="2" t="s">
        <v>905</v>
      </c>
      <c r="O664" s="18" t="s">
        <v>894</v>
      </c>
    </row>
    <row r="665" spans="1:19" hidden="1" outlineLevel="1">
      <c r="A665" s="1">
        <v>3</v>
      </c>
      <c r="F665" s="22">
        <v>866795033178276</v>
      </c>
      <c r="M665" s="2" t="s">
        <v>1333</v>
      </c>
      <c r="N665" s="2" t="s">
        <v>1048</v>
      </c>
      <c r="O665" s="18">
        <v>43719</v>
      </c>
    </row>
    <row r="666" spans="1:19" hidden="1" outlineLevel="1">
      <c r="A666" s="1">
        <v>4</v>
      </c>
      <c r="F666" s="22">
        <v>866795033274323</v>
      </c>
      <c r="M666" s="2" t="s">
        <v>1334</v>
      </c>
      <c r="N666" s="2" t="s">
        <v>1335</v>
      </c>
      <c r="O666" s="18">
        <v>43725</v>
      </c>
    </row>
    <row r="667" spans="1:19" hidden="1" outlineLevel="1">
      <c r="A667" s="1">
        <v>5</v>
      </c>
      <c r="F667" s="22">
        <v>866795033279017</v>
      </c>
      <c r="M667" s="2" t="s">
        <v>1336</v>
      </c>
      <c r="N667" s="2" t="s">
        <v>863</v>
      </c>
      <c r="O667" s="18">
        <v>43717</v>
      </c>
    </row>
    <row r="668" spans="1:19" hidden="1" outlineLevel="1">
      <c r="A668" s="1">
        <v>6</v>
      </c>
      <c r="F668" s="22">
        <v>866795033273176</v>
      </c>
      <c r="M668" s="2" t="s">
        <v>1337</v>
      </c>
      <c r="N668" s="2" t="s">
        <v>1335</v>
      </c>
      <c r="O668" s="18">
        <v>43725</v>
      </c>
    </row>
    <row r="669" spans="1:19" hidden="1" outlineLevel="1">
      <c r="A669" s="1">
        <v>7</v>
      </c>
      <c r="F669" s="22">
        <v>866795033171735</v>
      </c>
      <c r="M669" s="2" t="s">
        <v>1338</v>
      </c>
      <c r="N669" s="2" t="s">
        <v>1048</v>
      </c>
      <c r="O669" s="18" t="s">
        <v>1048</v>
      </c>
    </row>
    <row r="670" spans="1:19" hidden="1" outlineLevel="1">
      <c r="A670" s="1">
        <v>8</v>
      </c>
      <c r="F670" s="22">
        <v>866795033296359</v>
      </c>
      <c r="M670" s="2" t="s">
        <v>1339</v>
      </c>
      <c r="N670" s="2" t="s">
        <v>1048</v>
      </c>
      <c r="O670" s="18">
        <v>43719</v>
      </c>
    </row>
    <row r="671" spans="1:19" hidden="1" outlineLevel="1">
      <c r="A671" s="1">
        <v>9</v>
      </c>
      <c r="F671" s="22">
        <v>866795033185107</v>
      </c>
      <c r="M671" s="2" t="s">
        <v>1340</v>
      </c>
      <c r="N671" s="2" t="s">
        <v>1341</v>
      </c>
      <c r="O671" s="18">
        <v>43720</v>
      </c>
    </row>
    <row r="672" spans="1:19" hidden="1" outlineLevel="1">
      <c r="A672" s="1">
        <v>10</v>
      </c>
      <c r="F672" s="22">
        <v>866795033180678</v>
      </c>
      <c r="M672" s="2" t="s">
        <v>1342</v>
      </c>
      <c r="N672" s="2" t="s">
        <v>1343</v>
      </c>
      <c r="O672" s="18" t="s">
        <v>894</v>
      </c>
    </row>
    <row r="673" spans="1:19" hidden="1" outlineLevel="1">
      <c r="A673" s="8"/>
      <c r="B673" s="58"/>
      <c r="C673" s="159"/>
      <c r="D673" s="8"/>
      <c r="E673" s="8"/>
      <c r="F673" s="9"/>
      <c r="G673" s="8"/>
      <c r="H673" s="8"/>
      <c r="I673" s="8"/>
      <c r="J673" s="58"/>
      <c r="K673" s="8"/>
      <c r="L673" s="58"/>
      <c r="M673" s="8"/>
      <c r="N673" s="8"/>
      <c r="O673" s="58"/>
      <c r="P673" s="8"/>
      <c r="Q673" s="8"/>
      <c r="R673" s="8"/>
      <c r="S673" s="8"/>
    </row>
    <row r="674" spans="1:19" hidden="1" outlineLevel="1">
      <c r="A674" s="1">
        <v>1</v>
      </c>
      <c r="B674" s="11">
        <v>43721</v>
      </c>
      <c r="E674" s="1" t="s">
        <v>599</v>
      </c>
      <c r="F674" s="22">
        <v>866795033288885</v>
      </c>
      <c r="I674" s="2" t="s">
        <v>552</v>
      </c>
      <c r="M674" s="2" t="s">
        <v>1344</v>
      </c>
      <c r="N674" s="2" t="s">
        <v>1345</v>
      </c>
      <c r="O674" s="18" t="s">
        <v>836</v>
      </c>
    </row>
    <row r="675" spans="1:19" hidden="1" outlineLevel="1">
      <c r="A675" s="1">
        <v>2</v>
      </c>
      <c r="F675" s="22">
        <v>866795033288745</v>
      </c>
      <c r="M675" s="2" t="s">
        <v>1346</v>
      </c>
      <c r="N675" s="2" t="s">
        <v>1347</v>
      </c>
      <c r="O675" s="18">
        <v>43746</v>
      </c>
    </row>
    <row r="676" spans="1:19" hidden="1" outlineLevel="1">
      <c r="A676" s="1">
        <v>3</v>
      </c>
      <c r="F676" s="22">
        <v>866795033283670</v>
      </c>
      <c r="M676" s="2" t="s">
        <v>1348</v>
      </c>
      <c r="N676" s="2" t="s">
        <v>1347</v>
      </c>
      <c r="O676" s="18">
        <v>43747</v>
      </c>
    </row>
    <row r="677" spans="1:19" hidden="1" outlineLevel="1">
      <c r="A677" s="1">
        <v>4</v>
      </c>
      <c r="F677" s="22">
        <v>866795033187988</v>
      </c>
      <c r="M677" s="2" t="s">
        <v>1349</v>
      </c>
      <c r="N677" s="2" t="s">
        <v>1347</v>
      </c>
      <c r="O677" s="18">
        <v>43383</v>
      </c>
    </row>
    <row r="678" spans="1:19" hidden="1" outlineLevel="1">
      <c r="A678" s="1">
        <v>5</v>
      </c>
      <c r="F678" s="22">
        <v>866795033219328</v>
      </c>
      <c r="M678" s="2" t="s">
        <v>1350</v>
      </c>
      <c r="N678" s="2" t="s">
        <v>1347</v>
      </c>
      <c r="O678" s="18">
        <v>43742</v>
      </c>
    </row>
    <row r="679" spans="1:19" hidden="1" outlineLevel="1">
      <c r="A679" s="1">
        <v>6</v>
      </c>
      <c r="F679" s="22">
        <v>866795033182237</v>
      </c>
      <c r="M679" s="2" t="s">
        <v>1351</v>
      </c>
      <c r="N679" s="2" t="s">
        <v>1347</v>
      </c>
      <c r="O679" s="18">
        <v>43742</v>
      </c>
    </row>
    <row r="680" spans="1:19" hidden="1" outlineLevel="1">
      <c r="A680" s="1">
        <v>7</v>
      </c>
      <c r="F680" s="22">
        <v>866795033288216</v>
      </c>
      <c r="M680" s="2" t="s">
        <v>1352</v>
      </c>
      <c r="N680" s="2" t="s">
        <v>1347</v>
      </c>
      <c r="O680" s="18">
        <v>43745</v>
      </c>
    </row>
    <row r="681" spans="1:19" hidden="1" outlineLevel="1">
      <c r="A681" s="1">
        <v>8</v>
      </c>
      <c r="F681" s="22">
        <v>866795033308386</v>
      </c>
      <c r="M681" s="2" t="s">
        <v>1353</v>
      </c>
      <c r="N681" s="2" t="s">
        <v>1347</v>
      </c>
      <c r="O681" s="18">
        <v>43742</v>
      </c>
    </row>
    <row r="682" spans="1:19" hidden="1" outlineLevel="1">
      <c r="A682" s="1">
        <v>9</v>
      </c>
      <c r="F682" s="22">
        <v>866795033310473</v>
      </c>
      <c r="M682" s="2" t="s">
        <v>1354</v>
      </c>
      <c r="N682" s="2" t="s">
        <v>1355</v>
      </c>
      <c r="O682" s="18">
        <v>43726</v>
      </c>
    </row>
    <row r="683" spans="1:19" hidden="1" outlineLevel="1">
      <c r="A683" s="1">
        <v>10</v>
      </c>
      <c r="F683" s="22">
        <v>866795033304377</v>
      </c>
      <c r="M683" s="2" t="s">
        <v>1356</v>
      </c>
      <c r="N683" s="2" t="s">
        <v>1347</v>
      </c>
      <c r="O683" s="18" t="s">
        <v>894</v>
      </c>
    </row>
    <row r="684" spans="1:19" hidden="1" outlineLevel="1">
      <c r="A684" s="1">
        <v>11</v>
      </c>
      <c r="E684" s="1" t="s">
        <v>596</v>
      </c>
      <c r="F684" s="22">
        <v>866795033172568</v>
      </c>
      <c r="M684" s="2" t="s">
        <v>1357</v>
      </c>
      <c r="N684" s="2" t="s">
        <v>1335</v>
      </c>
      <c r="O684" s="18">
        <v>43725</v>
      </c>
    </row>
    <row r="685" spans="1:19" hidden="1" outlineLevel="1">
      <c r="A685" s="1">
        <v>12</v>
      </c>
      <c r="F685" s="22">
        <v>866795033235845</v>
      </c>
      <c r="M685" s="2" t="s">
        <v>1358</v>
      </c>
      <c r="N685" s="2" t="s">
        <v>1335</v>
      </c>
      <c r="O685" s="18">
        <v>43725</v>
      </c>
    </row>
    <row r="686" spans="1:19" hidden="1" outlineLevel="1">
      <c r="A686" s="1">
        <v>13</v>
      </c>
      <c r="F686" s="22">
        <v>866795033176536</v>
      </c>
      <c r="M686" s="2" t="s">
        <v>1359</v>
      </c>
      <c r="N686" s="2" t="s">
        <v>1360</v>
      </c>
      <c r="O686" s="18">
        <v>43724</v>
      </c>
    </row>
    <row r="687" spans="1:19" hidden="1" outlineLevel="1">
      <c r="A687" s="1">
        <v>14</v>
      </c>
      <c r="F687" s="22">
        <v>866795033283555</v>
      </c>
      <c r="M687" s="2" t="s">
        <v>1361</v>
      </c>
      <c r="N687" s="2" t="s">
        <v>1362</v>
      </c>
      <c r="O687" s="18">
        <v>43724</v>
      </c>
    </row>
    <row r="688" spans="1:19" hidden="1" outlineLevel="1">
      <c r="A688" s="1">
        <v>15</v>
      </c>
      <c r="F688" s="22">
        <v>866795033281419</v>
      </c>
      <c r="M688" s="2" t="s">
        <v>1363</v>
      </c>
      <c r="N688" s="2" t="s">
        <v>1335</v>
      </c>
      <c r="O688" s="18">
        <v>43725</v>
      </c>
    </row>
    <row r="689" spans="1:19" hidden="1" outlineLevel="1">
      <c r="A689" s="1">
        <v>16</v>
      </c>
      <c r="F689" s="22">
        <v>866795033172303</v>
      </c>
      <c r="M689" s="2" t="s">
        <v>1364</v>
      </c>
      <c r="N689" s="2" t="s">
        <v>1335</v>
      </c>
      <c r="O689" s="18">
        <v>43725</v>
      </c>
    </row>
    <row r="690" spans="1:19" hidden="1" outlineLevel="1">
      <c r="A690" s="1">
        <v>17</v>
      </c>
      <c r="F690" s="22">
        <v>866795033283597</v>
      </c>
      <c r="M690" s="2" t="s">
        <v>1365</v>
      </c>
      <c r="N690" s="2" t="s">
        <v>1335</v>
      </c>
      <c r="O690" s="18">
        <v>43725</v>
      </c>
    </row>
    <row r="691" spans="1:19" hidden="1" outlineLevel="1">
      <c r="A691" s="1">
        <v>18</v>
      </c>
      <c r="F691" s="22">
        <v>866795033236298</v>
      </c>
      <c r="M691" s="2" t="s">
        <v>1366</v>
      </c>
      <c r="N691" s="2" t="s">
        <v>1335</v>
      </c>
      <c r="O691" s="18">
        <v>43725</v>
      </c>
    </row>
    <row r="692" spans="1:19" hidden="1" outlineLevel="1">
      <c r="A692" s="1">
        <v>19</v>
      </c>
      <c r="F692" s="22">
        <v>866795033172881</v>
      </c>
      <c r="M692" s="2" t="s">
        <v>1367</v>
      </c>
      <c r="N692" s="2" t="s">
        <v>1335</v>
      </c>
      <c r="O692" s="18">
        <v>43725</v>
      </c>
    </row>
    <row r="693" spans="1:19" hidden="1" outlineLevel="1">
      <c r="A693" s="1">
        <v>20</v>
      </c>
      <c r="F693" s="22">
        <v>866795033171255</v>
      </c>
      <c r="M693" s="2" t="s">
        <v>1368</v>
      </c>
      <c r="N693" s="2" t="s">
        <v>1335</v>
      </c>
      <c r="O693" s="18">
        <v>43725</v>
      </c>
    </row>
    <row r="694" spans="1:19" hidden="1" outlineLevel="1">
      <c r="A694" s="8"/>
      <c r="B694" s="58"/>
      <c r="C694" s="159"/>
      <c r="D694" s="8"/>
      <c r="E694" s="8"/>
      <c r="F694" s="9"/>
      <c r="G694" s="8"/>
      <c r="H694" s="8"/>
      <c r="I694" s="8"/>
      <c r="J694" s="58"/>
      <c r="K694" s="8"/>
      <c r="L694" s="58"/>
      <c r="M694" s="8"/>
      <c r="N694" s="8"/>
      <c r="O694" s="58"/>
      <c r="P694" s="8"/>
      <c r="Q694" s="8"/>
      <c r="R694" s="8"/>
      <c r="S694" s="8"/>
    </row>
    <row r="695" spans="1:19" hidden="1" outlineLevel="1">
      <c r="A695" s="1">
        <v>1</v>
      </c>
      <c r="B695" s="11">
        <v>43724</v>
      </c>
      <c r="E695" s="1" t="s">
        <v>596</v>
      </c>
      <c r="F695" s="22">
        <v>866795033281930</v>
      </c>
      <c r="M695" s="2" t="s">
        <v>1369</v>
      </c>
      <c r="N695" s="2" t="s">
        <v>1370</v>
      </c>
      <c r="O695" s="18">
        <v>43725</v>
      </c>
    </row>
    <row r="696" spans="1:19" hidden="1" outlineLevel="1">
      <c r="A696" s="1">
        <v>2</v>
      </c>
      <c r="F696" s="22">
        <v>866795033273416</v>
      </c>
      <c r="I696" s="2" t="s">
        <v>553</v>
      </c>
      <c r="M696" s="2" t="s">
        <v>1371</v>
      </c>
      <c r="N696" s="2" t="s">
        <v>1372</v>
      </c>
      <c r="O696" s="18">
        <v>43836</v>
      </c>
    </row>
    <row r="697" spans="1:19" hidden="1" outlineLevel="1">
      <c r="A697" s="1">
        <v>3</v>
      </c>
      <c r="F697" s="22">
        <v>866795033274810</v>
      </c>
      <c r="M697" s="2" t="s">
        <v>1373</v>
      </c>
      <c r="N697" s="2" t="s">
        <v>1335</v>
      </c>
      <c r="O697" s="18">
        <v>43732</v>
      </c>
    </row>
    <row r="698" spans="1:19" hidden="1" outlineLevel="1">
      <c r="A698" s="1">
        <v>4</v>
      </c>
      <c r="F698" s="22">
        <v>866795033294388</v>
      </c>
      <c r="M698" s="2" t="s">
        <v>1374</v>
      </c>
      <c r="N698" s="2" t="s">
        <v>1234</v>
      </c>
      <c r="O698" s="18">
        <v>43768</v>
      </c>
    </row>
    <row r="699" spans="1:19" hidden="1" outlineLevel="1">
      <c r="A699" s="1">
        <v>5</v>
      </c>
      <c r="F699" s="22">
        <v>866795033280304</v>
      </c>
      <c r="M699" s="2" t="s">
        <v>1375</v>
      </c>
      <c r="N699" s="2" t="s">
        <v>1376</v>
      </c>
      <c r="O699" s="18">
        <v>43745</v>
      </c>
    </row>
    <row r="700" spans="1:19" hidden="1" outlineLevel="1">
      <c r="A700" s="1">
        <v>6</v>
      </c>
      <c r="F700" s="22">
        <v>866795033236850</v>
      </c>
      <c r="M700" s="2" t="s">
        <v>1377</v>
      </c>
      <c r="N700" s="2" t="s">
        <v>1376</v>
      </c>
      <c r="O700" s="18">
        <v>43745</v>
      </c>
    </row>
    <row r="701" spans="1:19" hidden="1" outlineLevel="1">
      <c r="A701" s="1">
        <v>7</v>
      </c>
      <c r="F701" s="22">
        <v>866795033183706</v>
      </c>
      <c r="G701" s="4" t="s">
        <v>504</v>
      </c>
      <c r="M701" s="2" t="s">
        <v>1378</v>
      </c>
      <c r="N701" s="2" t="s">
        <v>1379</v>
      </c>
      <c r="O701" s="18" t="s">
        <v>836</v>
      </c>
    </row>
    <row r="702" spans="1:19" hidden="1" outlineLevel="1">
      <c r="A702" s="1">
        <v>8</v>
      </c>
      <c r="F702" s="22">
        <v>866795033273275</v>
      </c>
      <c r="M702" s="2" t="s">
        <v>1380</v>
      </c>
      <c r="N702" s="2" t="s">
        <v>1335</v>
      </c>
      <c r="O702" s="18">
        <v>43732</v>
      </c>
    </row>
    <row r="703" spans="1:19" hidden="1" outlineLevel="1">
      <c r="A703" s="1">
        <v>9</v>
      </c>
      <c r="F703" s="22">
        <v>866795033270677</v>
      </c>
      <c r="M703" s="2" t="s">
        <v>1381</v>
      </c>
      <c r="N703" s="2" t="s">
        <v>1343</v>
      </c>
      <c r="O703" s="18" t="s">
        <v>894</v>
      </c>
    </row>
    <row r="704" spans="1:19" hidden="1" outlineLevel="1">
      <c r="A704" s="1">
        <v>10</v>
      </c>
      <c r="F704" s="22">
        <v>866795033175181</v>
      </c>
      <c r="M704" s="2" t="s">
        <v>1382</v>
      </c>
      <c r="N704" s="2" t="s">
        <v>1138</v>
      </c>
      <c r="O704" s="18">
        <v>43733</v>
      </c>
    </row>
    <row r="705" spans="1:19" hidden="1" outlineLevel="1">
      <c r="A705" s="8"/>
      <c r="B705" s="58"/>
      <c r="C705" s="159"/>
      <c r="D705" s="8"/>
      <c r="E705" s="8"/>
      <c r="F705" s="9"/>
      <c r="G705" s="8"/>
      <c r="H705" s="8"/>
      <c r="I705" s="8"/>
      <c r="J705" s="58"/>
      <c r="K705" s="8"/>
      <c r="L705" s="58"/>
      <c r="M705" s="8"/>
      <c r="N705" s="8"/>
      <c r="O705" s="58"/>
      <c r="P705" s="8"/>
      <c r="Q705" s="8"/>
      <c r="R705" s="8"/>
      <c r="S705" s="8"/>
    </row>
    <row r="706" spans="1:19" hidden="1" outlineLevel="1">
      <c r="A706" s="1">
        <v>1</v>
      </c>
      <c r="B706" s="11">
        <v>43727</v>
      </c>
      <c r="E706" s="1" t="s">
        <v>596</v>
      </c>
      <c r="F706" s="22">
        <v>866795033275569</v>
      </c>
      <c r="M706" s="2" t="s">
        <v>1383</v>
      </c>
      <c r="N706" s="2" t="s">
        <v>1335</v>
      </c>
      <c r="O706" s="18" t="s">
        <v>894</v>
      </c>
    </row>
    <row r="707" spans="1:19" hidden="1" outlineLevel="1">
      <c r="A707" s="1">
        <v>2</v>
      </c>
      <c r="F707" s="22">
        <v>866795033293612</v>
      </c>
      <c r="M707" s="2" t="s">
        <v>1384</v>
      </c>
      <c r="N707" s="2" t="s">
        <v>1335</v>
      </c>
      <c r="O707" s="18" t="s">
        <v>894</v>
      </c>
    </row>
    <row r="708" spans="1:19" hidden="1" outlineLevel="1">
      <c r="A708" s="1">
        <v>3</v>
      </c>
      <c r="F708" s="22">
        <v>866795033175173</v>
      </c>
      <c r="M708" s="2" t="s">
        <v>1385</v>
      </c>
      <c r="N708" s="2" t="s">
        <v>1335</v>
      </c>
      <c r="O708" s="18" t="s">
        <v>894</v>
      </c>
    </row>
    <row r="709" spans="1:19" hidden="1" outlineLevel="1">
      <c r="A709" s="1">
        <v>4</v>
      </c>
      <c r="F709" s="22">
        <v>866795033235506</v>
      </c>
      <c r="M709" s="2" t="s">
        <v>1386</v>
      </c>
      <c r="N709" s="2" t="s">
        <v>1335</v>
      </c>
      <c r="O709" s="18">
        <v>43728</v>
      </c>
    </row>
    <row r="710" spans="1:19" hidden="1" outlineLevel="1">
      <c r="A710" s="1">
        <v>5</v>
      </c>
      <c r="F710" s="22">
        <v>866795033280528</v>
      </c>
      <c r="M710" s="2" t="s">
        <v>1387</v>
      </c>
      <c r="N710" s="2" t="s">
        <v>1335</v>
      </c>
      <c r="O710" s="18" t="s">
        <v>894</v>
      </c>
    </row>
    <row r="711" spans="1:19" hidden="1" outlineLevel="1">
      <c r="A711" s="1">
        <v>6</v>
      </c>
      <c r="F711" s="22">
        <v>866795033173202</v>
      </c>
      <c r="M711" s="2" t="s">
        <v>1388</v>
      </c>
      <c r="N711" s="2" t="s">
        <v>1335</v>
      </c>
      <c r="O711" s="18" t="s">
        <v>894</v>
      </c>
    </row>
    <row r="712" spans="1:19" hidden="1" outlineLevel="1">
      <c r="A712" s="1">
        <v>7</v>
      </c>
      <c r="F712" s="22">
        <v>866795033192418</v>
      </c>
      <c r="M712" s="2" t="s">
        <v>1389</v>
      </c>
      <c r="N712" s="2" t="s">
        <v>1335</v>
      </c>
      <c r="O712" s="18">
        <v>43728</v>
      </c>
    </row>
    <row r="713" spans="1:19" hidden="1" outlineLevel="1">
      <c r="A713" s="1">
        <v>8</v>
      </c>
      <c r="F713" s="22">
        <v>866795033182088</v>
      </c>
      <c r="M713" s="2" t="s">
        <v>1390</v>
      </c>
      <c r="N713" s="2" t="s">
        <v>1335</v>
      </c>
      <c r="O713" s="18" t="s">
        <v>894</v>
      </c>
    </row>
    <row r="714" spans="1:19" hidden="1" outlineLevel="1">
      <c r="A714" s="1">
        <v>9</v>
      </c>
      <c r="F714" s="22">
        <v>866795033181841</v>
      </c>
      <c r="M714" s="2" t="s">
        <v>1391</v>
      </c>
      <c r="N714" s="2" t="s">
        <v>1335</v>
      </c>
      <c r="O714" s="18" t="s">
        <v>894</v>
      </c>
    </row>
    <row r="715" spans="1:19" hidden="1" outlineLevel="1">
      <c r="A715" s="1">
        <v>10</v>
      </c>
      <c r="F715" s="22">
        <v>866795033292267</v>
      </c>
      <c r="M715" s="2" t="s">
        <v>1392</v>
      </c>
      <c r="N715" s="2" t="s">
        <v>1335</v>
      </c>
      <c r="O715" s="18">
        <v>43728</v>
      </c>
    </row>
    <row r="716" spans="1:19" hidden="1" outlineLevel="1">
      <c r="A716" s="1">
        <v>11</v>
      </c>
      <c r="F716" s="22">
        <v>866795033236157</v>
      </c>
      <c r="M716" s="2" t="s">
        <v>1393</v>
      </c>
      <c r="N716" s="2" t="s">
        <v>1335</v>
      </c>
      <c r="O716" s="18">
        <v>43728</v>
      </c>
    </row>
    <row r="717" spans="1:19" hidden="1" outlineLevel="1">
      <c r="A717" s="1">
        <v>12</v>
      </c>
      <c r="F717" s="22">
        <v>866795033171826</v>
      </c>
      <c r="M717" s="2" t="s">
        <v>1394</v>
      </c>
      <c r="N717" s="2" t="s">
        <v>1335</v>
      </c>
      <c r="O717" s="18">
        <v>43728</v>
      </c>
    </row>
    <row r="718" spans="1:19" hidden="1" outlineLevel="1">
      <c r="A718" s="1">
        <v>13</v>
      </c>
      <c r="F718" s="22">
        <v>866795033175082</v>
      </c>
      <c r="M718" s="2" t="s">
        <v>1395</v>
      </c>
      <c r="N718" s="2" t="s">
        <v>1335</v>
      </c>
      <c r="O718" s="18" t="s">
        <v>894</v>
      </c>
    </row>
    <row r="719" spans="1:19" hidden="1" outlineLevel="1">
      <c r="A719" s="1">
        <v>14</v>
      </c>
      <c r="F719" s="22">
        <v>866795033293901</v>
      </c>
      <c r="M719" s="2" t="s">
        <v>1396</v>
      </c>
      <c r="N719" s="2" t="s">
        <v>1335</v>
      </c>
      <c r="O719" s="18">
        <v>43728</v>
      </c>
    </row>
    <row r="720" spans="1:19" hidden="1" outlineLevel="1">
      <c r="A720" s="1">
        <v>15</v>
      </c>
      <c r="F720" s="22">
        <v>866795033171164</v>
      </c>
      <c r="M720" s="2" t="s">
        <v>1397</v>
      </c>
      <c r="N720" s="2" t="s">
        <v>1335</v>
      </c>
      <c r="O720" s="18">
        <v>43728</v>
      </c>
    </row>
    <row r="721" spans="1:19" hidden="1" outlineLevel="1">
      <c r="A721" s="1">
        <v>16</v>
      </c>
      <c r="F721" s="22">
        <v>866795033273317</v>
      </c>
      <c r="M721" s="2" t="s">
        <v>1398</v>
      </c>
      <c r="N721" s="2" t="s">
        <v>1335</v>
      </c>
      <c r="O721" s="18" t="s">
        <v>894</v>
      </c>
    </row>
    <row r="722" spans="1:19" hidden="1" outlineLevel="1">
      <c r="A722" s="1">
        <v>17</v>
      </c>
      <c r="F722" s="22">
        <v>866795033184944</v>
      </c>
      <c r="M722" s="2" t="s">
        <v>1399</v>
      </c>
      <c r="N722" s="2" t="s">
        <v>1335</v>
      </c>
      <c r="O722" s="18">
        <v>43732</v>
      </c>
    </row>
    <row r="723" spans="1:19" hidden="1" outlineLevel="1">
      <c r="A723" s="1">
        <v>18</v>
      </c>
      <c r="F723" s="22">
        <v>866795033227396</v>
      </c>
      <c r="M723" s="2" t="s">
        <v>1400</v>
      </c>
      <c r="N723" s="2" t="s">
        <v>1335</v>
      </c>
      <c r="O723" s="18">
        <v>43747</v>
      </c>
    </row>
    <row r="724" spans="1:19" hidden="1" outlineLevel="1">
      <c r="A724" s="1">
        <v>19</v>
      </c>
      <c r="F724" s="22">
        <v>866795033178961</v>
      </c>
      <c r="M724" s="2" t="s">
        <v>1401</v>
      </c>
      <c r="N724" s="2" t="s">
        <v>1335</v>
      </c>
      <c r="O724" s="18">
        <v>43732</v>
      </c>
    </row>
    <row r="725" spans="1:19" hidden="1" outlineLevel="1">
      <c r="A725" s="1">
        <v>20</v>
      </c>
      <c r="F725" s="22">
        <v>866795033171925</v>
      </c>
      <c r="M725" s="2" t="s">
        <v>1402</v>
      </c>
      <c r="N725" s="2" t="s">
        <v>1403</v>
      </c>
      <c r="O725" s="18">
        <v>43751</v>
      </c>
    </row>
    <row r="726" spans="1:19" hidden="1" outlineLevel="1">
      <c r="A726" s="1">
        <v>21</v>
      </c>
      <c r="F726" s="22">
        <v>866795033294743</v>
      </c>
      <c r="M726" s="2" t="s">
        <v>1404</v>
      </c>
      <c r="N726" s="2" t="s">
        <v>1253</v>
      </c>
      <c r="O726" s="18">
        <v>43732</v>
      </c>
    </row>
    <row r="727" spans="1:19" hidden="1" outlineLevel="1">
      <c r="A727" s="1">
        <v>22</v>
      </c>
      <c r="F727" s="22">
        <v>866795033171578</v>
      </c>
      <c r="M727" s="2" t="s">
        <v>1405</v>
      </c>
      <c r="N727" s="2" t="s">
        <v>1406</v>
      </c>
      <c r="O727" s="18">
        <v>43728</v>
      </c>
    </row>
    <row r="728" spans="1:19" hidden="1" outlineLevel="1">
      <c r="A728" s="1">
        <v>23</v>
      </c>
      <c r="E728" s="1" t="s">
        <v>595</v>
      </c>
      <c r="F728" s="22">
        <v>866795033864529</v>
      </c>
      <c r="M728" s="2" t="s">
        <v>1407</v>
      </c>
      <c r="N728" s="2" t="s">
        <v>860</v>
      </c>
      <c r="O728" s="18">
        <v>43734</v>
      </c>
    </row>
    <row r="729" spans="1:19" hidden="1" outlineLevel="1">
      <c r="A729" s="1">
        <v>24</v>
      </c>
      <c r="F729" s="22">
        <v>866795033868298</v>
      </c>
      <c r="M729" s="2" t="s">
        <v>1408</v>
      </c>
      <c r="N729" s="2" t="s">
        <v>860</v>
      </c>
      <c r="O729" s="18">
        <v>43734</v>
      </c>
    </row>
    <row r="730" spans="1:19" hidden="1" outlineLevel="1">
      <c r="A730" s="1">
        <v>25</v>
      </c>
      <c r="F730" s="22">
        <v>866795033872381</v>
      </c>
      <c r="M730" s="2" t="s">
        <v>1409</v>
      </c>
      <c r="N730" s="2" t="s">
        <v>860</v>
      </c>
      <c r="O730" s="18">
        <v>43734</v>
      </c>
    </row>
    <row r="731" spans="1:19" hidden="1" outlineLevel="1">
      <c r="A731" s="1">
        <v>26</v>
      </c>
      <c r="F731" s="22">
        <v>866795033871656</v>
      </c>
      <c r="M731" s="2" t="s">
        <v>1410</v>
      </c>
      <c r="N731" s="2" t="s">
        <v>860</v>
      </c>
      <c r="O731" s="18">
        <v>43734</v>
      </c>
    </row>
    <row r="732" spans="1:19" hidden="1" outlineLevel="1">
      <c r="A732" s="1">
        <v>27</v>
      </c>
      <c r="F732" s="22">
        <v>866795033860196</v>
      </c>
      <c r="M732" s="2" t="s">
        <v>1411</v>
      </c>
      <c r="N732" s="2" t="s">
        <v>1412</v>
      </c>
      <c r="O732" s="18">
        <v>43731</v>
      </c>
    </row>
    <row r="733" spans="1:19" hidden="1" outlineLevel="1">
      <c r="A733" s="1">
        <v>28</v>
      </c>
      <c r="F733" s="22">
        <v>866795033871755</v>
      </c>
      <c r="M733" s="2" t="s">
        <v>1413</v>
      </c>
      <c r="N733" s="2" t="s">
        <v>1412</v>
      </c>
      <c r="O733" s="18">
        <v>43745</v>
      </c>
    </row>
    <row r="734" spans="1:19" hidden="1" outlineLevel="1">
      <c r="A734" s="8"/>
      <c r="B734" s="58"/>
      <c r="C734" s="159"/>
      <c r="D734" s="8"/>
      <c r="E734" s="8"/>
      <c r="F734" s="9"/>
      <c r="G734" s="8"/>
      <c r="H734" s="8"/>
      <c r="I734" s="8"/>
      <c r="J734" s="58"/>
      <c r="K734" s="8"/>
      <c r="L734" s="58"/>
      <c r="M734" s="8"/>
      <c r="N734" s="8"/>
      <c r="O734" s="58"/>
      <c r="P734" s="8"/>
      <c r="Q734" s="8"/>
      <c r="R734" s="8"/>
      <c r="S734" s="8"/>
    </row>
    <row r="735" spans="1:19" hidden="1" outlineLevel="1">
      <c r="A735" s="1">
        <v>1</v>
      </c>
      <c r="B735" s="11">
        <v>43732</v>
      </c>
      <c r="E735" s="1" t="s">
        <v>596</v>
      </c>
      <c r="F735" s="22">
        <v>866795033235464</v>
      </c>
      <c r="M735" s="2" t="s">
        <v>1414</v>
      </c>
      <c r="N735" s="2" t="s">
        <v>1415</v>
      </c>
      <c r="O735" s="18" t="s">
        <v>894</v>
      </c>
    </row>
    <row r="736" spans="1:19" hidden="1" outlineLevel="1">
      <c r="A736" s="1">
        <v>2</v>
      </c>
      <c r="F736" s="22">
        <v>866795033294347</v>
      </c>
      <c r="M736" s="2" t="s">
        <v>1416</v>
      </c>
      <c r="N736" s="2" t="s">
        <v>882</v>
      </c>
      <c r="O736" s="18">
        <v>43732</v>
      </c>
    </row>
    <row r="737" spans="1:19" hidden="1" outlineLevel="1">
      <c r="A737" s="1">
        <v>3</v>
      </c>
      <c r="F737" s="22">
        <v>866795033275650</v>
      </c>
      <c r="M737" s="2" t="s">
        <v>1417</v>
      </c>
      <c r="N737" s="2" t="s">
        <v>1418</v>
      </c>
      <c r="O737" s="18">
        <v>43741</v>
      </c>
    </row>
    <row r="738" spans="1:19" hidden="1" outlineLevel="1">
      <c r="A738" s="1">
        <v>4</v>
      </c>
      <c r="F738" s="22">
        <v>866795033173186</v>
      </c>
      <c r="M738" s="2" t="s">
        <v>1419</v>
      </c>
      <c r="N738" s="2" t="s">
        <v>874</v>
      </c>
      <c r="O738" s="18">
        <v>43735</v>
      </c>
    </row>
    <row r="739" spans="1:19" hidden="1" outlineLevel="1">
      <c r="A739" s="1">
        <v>5</v>
      </c>
      <c r="F739" s="22">
        <v>866795033270776</v>
      </c>
      <c r="M739" s="2" t="s">
        <v>1420</v>
      </c>
      <c r="N739" s="2" t="s">
        <v>1421</v>
      </c>
      <c r="O739" s="18">
        <v>43740</v>
      </c>
    </row>
    <row r="740" spans="1:19" hidden="1" outlineLevel="1">
      <c r="A740" s="1">
        <v>6</v>
      </c>
      <c r="F740" s="22">
        <v>866795033171560</v>
      </c>
      <c r="M740" s="2" t="s">
        <v>1422</v>
      </c>
      <c r="N740" s="2" t="s">
        <v>1175</v>
      </c>
      <c r="O740" s="18">
        <v>43746</v>
      </c>
    </row>
    <row r="741" spans="1:19" hidden="1" outlineLevel="1">
      <c r="A741" s="1">
        <v>7</v>
      </c>
      <c r="F741" s="22">
        <v>866795033293760</v>
      </c>
      <c r="M741" s="2" t="s">
        <v>1423</v>
      </c>
      <c r="N741" s="2" t="s">
        <v>882</v>
      </c>
      <c r="O741" s="18">
        <v>43739</v>
      </c>
    </row>
    <row r="742" spans="1:19" hidden="1" outlineLevel="1">
      <c r="A742" s="1">
        <v>8</v>
      </c>
      <c r="F742" s="22">
        <v>866795033177104</v>
      </c>
      <c r="M742" s="2" t="s">
        <v>1424</v>
      </c>
      <c r="N742" s="2" t="s">
        <v>1425</v>
      </c>
      <c r="O742" s="18">
        <v>43742</v>
      </c>
    </row>
    <row r="743" spans="1:19" hidden="1" outlineLevel="1">
      <c r="A743" s="1">
        <v>9</v>
      </c>
      <c r="F743" s="22">
        <v>866795033278001</v>
      </c>
      <c r="M743" s="2" t="s">
        <v>1426</v>
      </c>
      <c r="N743" s="2" t="s">
        <v>850</v>
      </c>
      <c r="O743" s="18">
        <v>43752</v>
      </c>
    </row>
    <row r="744" spans="1:19" hidden="1" outlineLevel="1">
      <c r="A744" s="1">
        <v>10</v>
      </c>
      <c r="F744" s="22">
        <v>866795033294271</v>
      </c>
      <c r="M744" s="2" t="s">
        <v>1427</v>
      </c>
      <c r="N744" s="2" t="s">
        <v>1428</v>
      </c>
      <c r="O744" s="18">
        <v>43739</v>
      </c>
    </row>
    <row r="745" spans="1:19" hidden="1" outlineLevel="1">
      <c r="A745" s="8"/>
      <c r="B745" s="58"/>
      <c r="C745" s="159"/>
      <c r="D745" s="8"/>
      <c r="E745" s="8"/>
      <c r="F745" s="9"/>
      <c r="G745" s="8"/>
      <c r="H745" s="8"/>
      <c r="I745" s="8"/>
      <c r="J745" s="58"/>
      <c r="K745" s="8"/>
      <c r="L745" s="58"/>
      <c r="M745" s="8"/>
      <c r="N745" s="8"/>
      <c r="O745" s="58"/>
      <c r="P745" s="8"/>
      <c r="Q745" s="8"/>
      <c r="R745" s="8"/>
      <c r="S745" s="8"/>
    </row>
    <row r="746" spans="1:19" hidden="1" outlineLevel="1">
      <c r="A746" s="1">
        <v>1</v>
      </c>
      <c r="B746" s="11">
        <v>43728</v>
      </c>
      <c r="E746" s="1" t="s">
        <v>600</v>
      </c>
      <c r="F746" s="22" t="s">
        <v>495</v>
      </c>
      <c r="M746" s="2" t="s">
        <v>1429</v>
      </c>
      <c r="N746" s="2" t="s">
        <v>1086</v>
      </c>
      <c r="O746" s="18" t="s">
        <v>894</v>
      </c>
    </row>
    <row r="747" spans="1:19" hidden="1" outlineLevel="1">
      <c r="A747" s="8"/>
      <c r="B747" s="58"/>
      <c r="C747" s="159"/>
      <c r="D747" s="8"/>
      <c r="E747" s="8"/>
      <c r="F747" s="9"/>
      <c r="G747" s="8"/>
      <c r="H747" s="8"/>
      <c r="I747" s="8"/>
      <c r="J747" s="58"/>
      <c r="K747" s="8"/>
      <c r="L747" s="58"/>
      <c r="M747" s="8"/>
      <c r="N747" s="8"/>
      <c r="O747" s="58"/>
      <c r="P747" s="8"/>
      <c r="Q747" s="8"/>
      <c r="R747" s="8"/>
      <c r="S747" s="8"/>
    </row>
    <row r="748" spans="1:19" hidden="1" outlineLevel="1">
      <c r="A748" s="1">
        <v>1</v>
      </c>
      <c r="B748" s="11">
        <v>43733</v>
      </c>
      <c r="E748" s="1" t="s">
        <v>138</v>
      </c>
      <c r="F748" s="22" t="s">
        <v>496</v>
      </c>
      <c r="I748" s="2" t="s">
        <v>554</v>
      </c>
      <c r="M748" s="2" t="s">
        <v>1430</v>
      </c>
      <c r="N748" s="2" t="s">
        <v>894</v>
      </c>
      <c r="O748" s="18" t="s">
        <v>894</v>
      </c>
    </row>
    <row r="749" spans="1:19" hidden="1" outlineLevel="1">
      <c r="A749" s="8"/>
      <c r="B749" s="58"/>
      <c r="C749" s="159"/>
      <c r="D749" s="8"/>
      <c r="E749" s="8"/>
      <c r="F749" s="9"/>
      <c r="G749" s="8"/>
      <c r="H749" s="8"/>
      <c r="I749" s="8"/>
      <c r="J749" s="58"/>
      <c r="K749" s="8"/>
      <c r="L749" s="58"/>
      <c r="M749" s="8"/>
      <c r="N749" s="8"/>
      <c r="O749" s="58"/>
      <c r="P749" s="8"/>
      <c r="Q749" s="8"/>
      <c r="R749" s="8"/>
      <c r="S749" s="8"/>
    </row>
    <row r="750" spans="1:19" hidden="1" outlineLevel="1">
      <c r="A750" s="1">
        <v>1</v>
      </c>
      <c r="B750" s="11">
        <v>43746</v>
      </c>
      <c r="E750" s="1" t="s">
        <v>601</v>
      </c>
      <c r="F750" s="22">
        <v>866795033184464</v>
      </c>
      <c r="M750" s="2" t="s">
        <v>1431</v>
      </c>
      <c r="N750" s="2" t="s">
        <v>1432</v>
      </c>
      <c r="O750" s="18" t="s">
        <v>894</v>
      </c>
    </row>
    <row r="751" spans="1:19" hidden="1" outlineLevel="1">
      <c r="A751" s="1">
        <v>2</v>
      </c>
      <c r="F751" s="22">
        <v>866795033295286</v>
      </c>
      <c r="M751" s="2" t="s">
        <v>1433</v>
      </c>
      <c r="N751" s="2" t="s">
        <v>1347</v>
      </c>
      <c r="O751" s="18">
        <v>43767</v>
      </c>
    </row>
    <row r="752" spans="1:19" hidden="1" outlineLevel="1">
      <c r="A752" s="1">
        <v>3</v>
      </c>
      <c r="F752" s="22">
        <v>866795033307016</v>
      </c>
      <c r="M752" s="2" t="s">
        <v>1434</v>
      </c>
      <c r="N752" s="2" t="s">
        <v>1435</v>
      </c>
      <c r="O752" s="18">
        <v>43758</v>
      </c>
    </row>
    <row r="753" spans="1:19" hidden="1" outlineLevel="1">
      <c r="A753" s="1">
        <v>4</v>
      </c>
      <c r="F753" s="22">
        <v>866795033294560</v>
      </c>
      <c r="M753" s="2" t="s">
        <v>1436</v>
      </c>
      <c r="N753" s="2" t="s">
        <v>1347</v>
      </c>
      <c r="O753" s="18">
        <v>43750</v>
      </c>
    </row>
    <row r="754" spans="1:19" hidden="1" outlineLevel="1">
      <c r="A754" s="1">
        <v>5</v>
      </c>
      <c r="F754" s="22">
        <v>866795033181452</v>
      </c>
      <c r="M754" s="2" t="s">
        <v>1437</v>
      </c>
      <c r="N754" s="2" t="s">
        <v>1438</v>
      </c>
      <c r="O754" s="18">
        <v>43746</v>
      </c>
    </row>
    <row r="755" spans="1:19" hidden="1" outlineLevel="1">
      <c r="A755" s="1">
        <v>6</v>
      </c>
      <c r="E755" s="1" t="s">
        <v>596</v>
      </c>
      <c r="F755" s="22">
        <v>866795033294297</v>
      </c>
      <c r="M755" s="2" t="s">
        <v>1439</v>
      </c>
      <c r="N755" s="2" t="s">
        <v>1440</v>
      </c>
      <c r="O755" s="18">
        <v>43690</v>
      </c>
    </row>
    <row r="756" spans="1:19" hidden="1" outlineLevel="1">
      <c r="A756" s="1">
        <v>7</v>
      </c>
      <c r="F756" s="22">
        <v>866795033284108</v>
      </c>
      <c r="M756" s="2" t="s">
        <v>1441</v>
      </c>
      <c r="N756" s="2" t="s">
        <v>1253</v>
      </c>
      <c r="O756" s="18">
        <v>43752</v>
      </c>
    </row>
    <row r="757" spans="1:19" hidden="1" outlineLevel="1">
      <c r="A757" s="1">
        <v>8</v>
      </c>
      <c r="F757" s="22">
        <v>866795033272749</v>
      </c>
      <c r="M757" s="2" t="s">
        <v>1442</v>
      </c>
      <c r="N757" s="2" t="s">
        <v>1335</v>
      </c>
      <c r="O757" s="18">
        <v>43747</v>
      </c>
    </row>
    <row r="758" spans="1:19" hidden="1" outlineLevel="1">
      <c r="A758" s="1">
        <v>9</v>
      </c>
      <c r="F758" s="22">
        <v>866795033171909</v>
      </c>
      <c r="M758" s="2" t="s">
        <v>1443</v>
      </c>
      <c r="N758" s="2" t="s">
        <v>1444</v>
      </c>
      <c r="O758" s="18">
        <v>43759</v>
      </c>
    </row>
    <row r="759" spans="1:19" hidden="1" outlineLevel="1">
      <c r="A759" s="1">
        <v>10</v>
      </c>
      <c r="F759" s="22">
        <v>866795033183177</v>
      </c>
      <c r="M759" s="2" t="s">
        <v>1445</v>
      </c>
      <c r="N759" s="2" t="s">
        <v>968</v>
      </c>
      <c r="O759" s="18">
        <v>43748</v>
      </c>
    </row>
    <row r="760" spans="1:19" hidden="1" outlineLevel="1">
      <c r="A760" s="1">
        <v>11</v>
      </c>
      <c r="F760" s="22">
        <v>866795033283621</v>
      </c>
      <c r="M760" s="2" t="s">
        <v>1446</v>
      </c>
      <c r="N760" s="2" t="s">
        <v>1447</v>
      </c>
      <c r="O760" s="18">
        <v>43748</v>
      </c>
    </row>
    <row r="761" spans="1:19" hidden="1" outlineLevel="1">
      <c r="A761" s="1">
        <v>12</v>
      </c>
      <c r="F761" s="22">
        <v>866795033273093</v>
      </c>
      <c r="M761" s="2" t="s">
        <v>1448</v>
      </c>
      <c r="N761" s="2" t="s">
        <v>1444</v>
      </c>
      <c r="O761" s="18">
        <v>43760</v>
      </c>
    </row>
    <row r="762" spans="1:19" hidden="1" outlineLevel="1">
      <c r="A762" s="1">
        <v>13</v>
      </c>
      <c r="F762" s="22">
        <v>866795033294826</v>
      </c>
      <c r="M762" s="2" t="s">
        <v>1449</v>
      </c>
      <c r="N762" s="2" t="s">
        <v>1450</v>
      </c>
      <c r="O762" s="18">
        <v>43761</v>
      </c>
    </row>
    <row r="763" spans="1:19" hidden="1" outlineLevel="1">
      <c r="A763" s="1">
        <v>14</v>
      </c>
      <c r="F763" s="22">
        <v>866795033172444</v>
      </c>
      <c r="M763" s="2" t="s">
        <v>1451</v>
      </c>
      <c r="N763" s="2" t="s">
        <v>938</v>
      </c>
      <c r="O763" s="18">
        <v>43753</v>
      </c>
    </row>
    <row r="764" spans="1:19" hidden="1" outlineLevel="1">
      <c r="A764" s="1">
        <v>15</v>
      </c>
      <c r="F764" s="22">
        <v>866795033275635</v>
      </c>
      <c r="M764" s="2" t="s">
        <v>1452</v>
      </c>
      <c r="N764" s="2" t="s">
        <v>938</v>
      </c>
      <c r="O764" s="18">
        <v>43752</v>
      </c>
    </row>
    <row r="765" spans="1:19" hidden="1" outlineLevel="1">
      <c r="A765" s="8"/>
      <c r="B765" s="58"/>
      <c r="C765" s="159"/>
      <c r="D765" s="8"/>
      <c r="E765" s="8"/>
      <c r="F765" s="9"/>
      <c r="G765" s="8"/>
      <c r="H765" s="8"/>
      <c r="I765" s="8"/>
      <c r="J765" s="58"/>
      <c r="K765" s="8"/>
      <c r="L765" s="58"/>
      <c r="M765" s="8"/>
      <c r="N765" s="8"/>
      <c r="O765" s="58"/>
      <c r="P765" s="8"/>
      <c r="Q765" s="8"/>
      <c r="R765" s="8"/>
      <c r="S765" s="8"/>
    </row>
    <row r="766" spans="1:19" hidden="1" outlineLevel="1">
      <c r="A766" s="1">
        <v>1</v>
      </c>
      <c r="B766" s="11">
        <v>43753</v>
      </c>
      <c r="E766" s="1" t="s">
        <v>596</v>
      </c>
      <c r="F766" s="22">
        <v>866795033172774</v>
      </c>
      <c r="I766" s="2" t="s">
        <v>553</v>
      </c>
      <c r="M766" s="2" t="s">
        <v>1229</v>
      </c>
    </row>
    <row r="767" spans="1:19" hidden="1" outlineLevel="1">
      <c r="A767" s="1">
        <v>2</v>
      </c>
      <c r="F767" s="22">
        <v>866795033181221</v>
      </c>
      <c r="M767" s="2" t="s">
        <v>1453</v>
      </c>
      <c r="N767" s="2" t="s">
        <v>1454</v>
      </c>
      <c r="O767" s="18" t="s">
        <v>836</v>
      </c>
    </row>
    <row r="768" spans="1:19" hidden="1" outlineLevel="1">
      <c r="A768" s="1">
        <v>3</v>
      </c>
      <c r="E768" s="1" t="s">
        <v>601</v>
      </c>
      <c r="F768" s="22">
        <v>866795033186329</v>
      </c>
      <c r="M768" s="2" t="s">
        <v>1455</v>
      </c>
      <c r="N768" s="2" t="s">
        <v>1456</v>
      </c>
      <c r="O768" s="18">
        <v>43759</v>
      </c>
    </row>
    <row r="769" spans="1:19" hidden="1" outlineLevel="1">
      <c r="A769" s="1">
        <v>4</v>
      </c>
      <c r="F769" s="22">
        <v>866795033262187</v>
      </c>
      <c r="M769" s="2" t="s">
        <v>1457</v>
      </c>
      <c r="N769" s="2" t="s">
        <v>1456</v>
      </c>
      <c r="O769" s="18">
        <v>43755</v>
      </c>
    </row>
    <row r="770" spans="1:19" hidden="1" outlineLevel="1">
      <c r="A770" s="1">
        <v>5</v>
      </c>
      <c r="F770" s="22">
        <v>866795033186915</v>
      </c>
      <c r="M770" s="2" t="s">
        <v>1458</v>
      </c>
      <c r="N770" s="2" t="s">
        <v>1456</v>
      </c>
      <c r="O770" s="18">
        <v>43755</v>
      </c>
    </row>
    <row r="771" spans="1:19" hidden="1" outlineLevel="1">
      <c r="A771" s="1">
        <v>6</v>
      </c>
      <c r="F771" s="22">
        <v>866795033284579</v>
      </c>
      <c r="M771" s="2" t="s">
        <v>1459</v>
      </c>
      <c r="N771" s="2" t="s">
        <v>1456</v>
      </c>
      <c r="O771" s="18">
        <v>43759</v>
      </c>
    </row>
    <row r="772" spans="1:19" hidden="1" outlineLevel="1">
      <c r="A772" s="1">
        <v>7</v>
      </c>
      <c r="F772" s="22">
        <v>866795033295203</v>
      </c>
      <c r="M772" s="2" t="s">
        <v>1460</v>
      </c>
      <c r="N772" s="2" t="s">
        <v>1456</v>
      </c>
      <c r="O772" s="18">
        <v>43755</v>
      </c>
    </row>
    <row r="773" spans="1:19" hidden="1" outlineLevel="1">
      <c r="A773" s="8"/>
      <c r="B773" s="58"/>
      <c r="C773" s="159"/>
      <c r="D773" s="8"/>
      <c r="E773" s="8"/>
      <c r="F773" s="9"/>
      <c r="G773" s="8"/>
      <c r="H773" s="8"/>
      <c r="I773" s="8"/>
      <c r="J773" s="58"/>
      <c r="K773" s="8"/>
      <c r="L773" s="58"/>
      <c r="M773" s="8"/>
      <c r="N773" s="8"/>
      <c r="O773" s="58"/>
      <c r="P773" s="8"/>
      <c r="Q773" s="8"/>
      <c r="R773" s="8"/>
      <c r="S773" s="8"/>
    </row>
    <row r="774" spans="1:19" hidden="1" outlineLevel="1">
      <c r="A774" s="1">
        <v>1</v>
      </c>
      <c r="B774" s="11">
        <v>43755</v>
      </c>
      <c r="E774" s="1" t="s">
        <v>595</v>
      </c>
      <c r="F774" s="22">
        <v>866795033773662</v>
      </c>
      <c r="M774" s="2" t="s">
        <v>1461</v>
      </c>
      <c r="N774" s="2" t="s">
        <v>1462</v>
      </c>
      <c r="O774" s="18">
        <v>43811</v>
      </c>
    </row>
    <row r="775" spans="1:19" hidden="1" outlineLevel="1">
      <c r="A775" s="1">
        <v>2</v>
      </c>
      <c r="F775" s="22">
        <v>866795033898808</v>
      </c>
      <c r="M775" s="2" t="s">
        <v>1463</v>
      </c>
      <c r="N775" s="2" t="s">
        <v>1464</v>
      </c>
      <c r="O775" s="18">
        <v>43781</v>
      </c>
    </row>
    <row r="776" spans="1:19" hidden="1" outlineLevel="1">
      <c r="A776" s="1">
        <v>3</v>
      </c>
      <c r="F776" s="22">
        <v>866795033768704</v>
      </c>
      <c r="M776" s="2" t="s">
        <v>1465</v>
      </c>
      <c r="N776" s="2" t="s">
        <v>1163</v>
      </c>
      <c r="O776" s="18">
        <v>43769</v>
      </c>
    </row>
    <row r="777" spans="1:19" hidden="1" outlineLevel="1">
      <c r="A777" s="1">
        <v>4</v>
      </c>
      <c r="E777" s="1" t="s">
        <v>596</v>
      </c>
      <c r="F777" s="22">
        <v>866795033179308</v>
      </c>
      <c r="M777" s="2" t="s">
        <v>1466</v>
      </c>
      <c r="N777" s="2" t="s">
        <v>1467</v>
      </c>
      <c r="O777" s="18">
        <v>43791</v>
      </c>
    </row>
    <row r="778" spans="1:19" hidden="1" outlineLevel="1">
      <c r="A778" s="1">
        <v>5</v>
      </c>
      <c r="F778" s="22">
        <v>866795033235423</v>
      </c>
      <c r="M778" s="2" t="s">
        <v>1468</v>
      </c>
      <c r="N778" s="2" t="s">
        <v>1469</v>
      </c>
      <c r="O778" s="18">
        <v>43756</v>
      </c>
    </row>
    <row r="779" spans="1:19" hidden="1" outlineLevel="1">
      <c r="A779" s="1">
        <v>6</v>
      </c>
      <c r="F779" s="22">
        <v>866795033173624</v>
      </c>
      <c r="M779" s="2" t="s">
        <v>1377</v>
      </c>
      <c r="N779" s="2" t="s">
        <v>1163</v>
      </c>
      <c r="O779" s="18">
        <v>43784</v>
      </c>
    </row>
    <row r="780" spans="1:19" hidden="1" outlineLevel="1">
      <c r="A780" s="1">
        <v>7</v>
      </c>
      <c r="F780" s="22">
        <v>866795033169697</v>
      </c>
      <c r="M780" s="2" t="s">
        <v>1470</v>
      </c>
      <c r="N780" s="2" t="s">
        <v>1195</v>
      </c>
      <c r="O780" s="18">
        <v>43763</v>
      </c>
    </row>
    <row r="781" spans="1:19" hidden="1" outlineLevel="1">
      <c r="A781" s="1">
        <v>8</v>
      </c>
      <c r="F781" s="22">
        <v>866795033171198</v>
      </c>
      <c r="M781" s="2" t="s">
        <v>1471</v>
      </c>
      <c r="N781" s="2" t="s">
        <v>1472</v>
      </c>
      <c r="O781" s="18">
        <v>43756</v>
      </c>
    </row>
    <row r="782" spans="1:19" hidden="1" outlineLevel="1">
      <c r="A782" s="1">
        <v>9</v>
      </c>
      <c r="F782" s="22">
        <v>866795033173228</v>
      </c>
      <c r="M782" s="2" t="s">
        <v>1473</v>
      </c>
      <c r="N782" s="2" t="s">
        <v>1335</v>
      </c>
      <c r="O782" s="18">
        <v>43775</v>
      </c>
    </row>
    <row r="783" spans="1:19" hidden="1" outlineLevel="1">
      <c r="A783" s="1">
        <v>10</v>
      </c>
      <c r="F783" s="22">
        <v>866795033283423</v>
      </c>
      <c r="M783" s="2" t="s">
        <v>1474</v>
      </c>
      <c r="N783" s="2" t="s">
        <v>1475</v>
      </c>
      <c r="O783" s="18">
        <v>37204</v>
      </c>
    </row>
    <row r="784" spans="1:19" hidden="1" outlineLevel="1">
      <c r="A784" s="1">
        <v>11</v>
      </c>
      <c r="F784" s="22">
        <v>866795033176262</v>
      </c>
      <c r="M784" s="2" t="s">
        <v>1476</v>
      </c>
      <c r="N784" s="2" t="s">
        <v>1000</v>
      </c>
      <c r="O784" s="18">
        <v>43768</v>
      </c>
    </row>
    <row r="785" spans="1:19" hidden="1" outlineLevel="1">
      <c r="A785" s="1">
        <v>12</v>
      </c>
      <c r="F785" s="22">
        <v>866795033169119</v>
      </c>
      <c r="M785" s="2" t="s">
        <v>1477</v>
      </c>
      <c r="N785" s="2" t="s">
        <v>1234</v>
      </c>
      <c r="O785" s="18">
        <v>43782</v>
      </c>
    </row>
    <row r="786" spans="1:19" hidden="1" outlineLevel="1">
      <c r="A786" s="1">
        <v>13</v>
      </c>
      <c r="F786" s="22">
        <v>866795033195973</v>
      </c>
      <c r="M786" s="2" t="s">
        <v>1478</v>
      </c>
      <c r="N786" s="2" t="s">
        <v>1479</v>
      </c>
      <c r="O786" s="18">
        <v>43769</v>
      </c>
    </row>
    <row r="787" spans="1:19" hidden="1" outlineLevel="1">
      <c r="A787" s="1">
        <v>14</v>
      </c>
      <c r="F787" s="22">
        <v>866795033272046</v>
      </c>
      <c r="M787" s="2" t="s">
        <v>1480</v>
      </c>
      <c r="N787" s="2" t="s">
        <v>1086</v>
      </c>
      <c r="O787" s="18">
        <v>43763</v>
      </c>
    </row>
    <row r="788" spans="1:19" hidden="1" outlineLevel="1">
      <c r="A788" s="1">
        <v>15</v>
      </c>
      <c r="F788" s="22">
        <v>866795033172121</v>
      </c>
      <c r="M788" s="2" t="s">
        <v>1481</v>
      </c>
      <c r="N788" s="2" t="s">
        <v>925</v>
      </c>
      <c r="O788" s="18">
        <v>43781</v>
      </c>
    </row>
    <row r="789" spans="1:19" hidden="1" outlineLevel="1">
      <c r="A789" s="1">
        <v>16</v>
      </c>
      <c r="F789" s="22">
        <v>866795033273069</v>
      </c>
      <c r="M789" s="2" t="s">
        <v>1482</v>
      </c>
      <c r="N789" s="2" t="s">
        <v>1483</v>
      </c>
      <c r="O789" s="18">
        <v>43759</v>
      </c>
    </row>
    <row r="790" spans="1:19" hidden="1" outlineLevel="1">
      <c r="A790" s="1">
        <v>17</v>
      </c>
      <c r="F790" s="22">
        <v>866795033236025</v>
      </c>
      <c r="M790" s="2" t="s">
        <v>1484</v>
      </c>
      <c r="N790" s="2" t="s">
        <v>1360</v>
      </c>
      <c r="O790" s="18">
        <v>43763</v>
      </c>
    </row>
    <row r="791" spans="1:19" hidden="1" outlineLevel="1">
      <c r="A791" s="1">
        <v>18</v>
      </c>
      <c r="F791" s="22">
        <v>866795033179753</v>
      </c>
      <c r="M791" s="2" t="s">
        <v>1485</v>
      </c>
      <c r="N791" s="2" t="s">
        <v>896</v>
      </c>
      <c r="O791" s="18">
        <v>43767</v>
      </c>
    </row>
    <row r="792" spans="1:19" hidden="1" outlineLevel="1">
      <c r="A792" s="8"/>
      <c r="B792" s="58"/>
      <c r="C792" s="159"/>
      <c r="D792" s="8"/>
      <c r="E792" s="8"/>
      <c r="F792" s="9"/>
      <c r="G792" s="8"/>
      <c r="H792" s="8"/>
      <c r="I792" s="8"/>
      <c r="J792" s="58"/>
      <c r="K792" s="8"/>
      <c r="L792" s="58"/>
      <c r="M792" s="8"/>
      <c r="N792" s="8"/>
      <c r="O792" s="58"/>
      <c r="P792" s="8"/>
      <c r="Q792" s="8"/>
      <c r="R792" s="8"/>
      <c r="S792" s="8"/>
    </row>
    <row r="793" spans="1:19" hidden="1" outlineLevel="1">
      <c r="A793" s="1">
        <v>1</v>
      </c>
      <c r="B793" s="11">
        <v>43761</v>
      </c>
      <c r="E793" s="1" t="s">
        <v>601</v>
      </c>
      <c r="F793" s="22">
        <v>866795033294479</v>
      </c>
      <c r="M793" s="2" t="s">
        <v>1486</v>
      </c>
      <c r="N793" s="2" t="s">
        <v>1487</v>
      </c>
      <c r="O793" s="18">
        <v>43761</v>
      </c>
    </row>
    <row r="794" spans="1:19" hidden="1" outlineLevel="1">
      <c r="A794" s="1">
        <v>2</v>
      </c>
      <c r="F794" s="22">
        <v>866795033187343</v>
      </c>
      <c r="M794" s="2" t="s">
        <v>1488</v>
      </c>
      <c r="N794" s="2" t="s">
        <v>1489</v>
      </c>
      <c r="O794" s="18">
        <v>43784</v>
      </c>
    </row>
    <row r="795" spans="1:19" hidden="1" outlineLevel="1">
      <c r="A795" s="1">
        <v>3</v>
      </c>
      <c r="F795" s="22">
        <v>866795033320126</v>
      </c>
      <c r="M795" s="2" t="s">
        <v>1490</v>
      </c>
      <c r="N795" s="2" t="s">
        <v>1322</v>
      </c>
      <c r="O795" s="18">
        <v>43774</v>
      </c>
    </row>
    <row r="796" spans="1:19" hidden="1" outlineLevel="1">
      <c r="A796" s="1">
        <v>4</v>
      </c>
      <c r="F796" s="22">
        <v>866795033416130</v>
      </c>
      <c r="M796" s="2" t="s">
        <v>1491</v>
      </c>
      <c r="N796" s="2" t="s">
        <v>1147</v>
      </c>
      <c r="O796" s="18">
        <v>43788</v>
      </c>
    </row>
    <row r="797" spans="1:19" hidden="1" outlineLevel="1">
      <c r="A797" s="1">
        <v>5</v>
      </c>
      <c r="F797" s="22">
        <v>866795033186485</v>
      </c>
      <c r="M797" s="2" t="s">
        <v>1492</v>
      </c>
      <c r="N797" s="2" t="s">
        <v>1067</v>
      </c>
      <c r="O797" s="18">
        <v>43783</v>
      </c>
    </row>
    <row r="798" spans="1:19" hidden="1" outlineLevel="1">
      <c r="A798" s="8"/>
      <c r="B798" s="58"/>
      <c r="C798" s="159"/>
      <c r="D798" s="8"/>
      <c r="E798" s="8"/>
      <c r="F798" s="9"/>
      <c r="G798" s="8"/>
      <c r="H798" s="8"/>
      <c r="I798" s="8"/>
      <c r="J798" s="58"/>
      <c r="K798" s="8"/>
      <c r="L798" s="58"/>
      <c r="M798" s="8"/>
      <c r="N798" s="8"/>
      <c r="O798" s="58"/>
      <c r="P798" s="8"/>
      <c r="Q798" s="8"/>
      <c r="R798" s="8"/>
      <c r="S798" s="8"/>
    </row>
    <row r="799" spans="1:19" hidden="1" outlineLevel="1">
      <c r="A799" s="1">
        <v>1</v>
      </c>
      <c r="B799" s="11">
        <v>43763</v>
      </c>
      <c r="E799" s="1" t="s">
        <v>602</v>
      </c>
      <c r="F799" s="22">
        <v>358004090873456</v>
      </c>
      <c r="N799" s="2" t="s">
        <v>1493</v>
      </c>
    </row>
    <row r="800" spans="1:19" hidden="1" outlineLevel="1">
      <c r="A800" s="8"/>
      <c r="B800" s="58"/>
      <c r="C800" s="159"/>
      <c r="D800" s="8"/>
      <c r="E800" s="8"/>
      <c r="F800" s="9"/>
      <c r="G800" s="8"/>
      <c r="H800" s="8"/>
      <c r="I800" s="8"/>
      <c r="J800" s="58"/>
      <c r="K800" s="8"/>
      <c r="L800" s="58"/>
      <c r="M800" s="8"/>
      <c r="N800" s="8"/>
      <c r="O800" s="58"/>
      <c r="P800" s="8"/>
      <c r="Q800" s="8"/>
      <c r="R800" s="8"/>
      <c r="S800" s="8"/>
    </row>
    <row r="801" spans="1:19" hidden="1" outlineLevel="1">
      <c r="A801" s="1">
        <v>1</v>
      </c>
      <c r="B801" s="11">
        <v>43781</v>
      </c>
      <c r="E801" s="1" t="s">
        <v>603</v>
      </c>
      <c r="F801" s="22">
        <v>866795035293735</v>
      </c>
      <c r="M801" s="2" t="s">
        <v>1494</v>
      </c>
      <c r="N801" s="2" t="s">
        <v>1175</v>
      </c>
      <c r="O801" s="18">
        <v>43805</v>
      </c>
    </row>
    <row r="802" spans="1:19" hidden="1" outlineLevel="1">
      <c r="A802" s="1">
        <v>2</v>
      </c>
      <c r="F802" s="22">
        <v>866795035214954</v>
      </c>
      <c r="M802" s="2" t="s">
        <v>1495</v>
      </c>
      <c r="N802" s="2" t="s">
        <v>1195</v>
      </c>
      <c r="O802" s="18">
        <v>43794</v>
      </c>
    </row>
    <row r="803" spans="1:19" hidden="1" outlineLevel="1">
      <c r="A803" s="1">
        <v>3</v>
      </c>
      <c r="F803" s="22">
        <v>866795035290483</v>
      </c>
      <c r="M803" s="2" t="s">
        <v>1496</v>
      </c>
      <c r="N803" s="2" t="s">
        <v>1497</v>
      </c>
      <c r="O803" s="18">
        <v>43788</v>
      </c>
    </row>
    <row r="804" spans="1:19" hidden="1" outlineLevel="1">
      <c r="A804" s="1">
        <v>4</v>
      </c>
      <c r="F804" s="22">
        <v>866795035246535</v>
      </c>
      <c r="M804" s="2" t="s">
        <v>1498</v>
      </c>
      <c r="N804" s="2" t="s">
        <v>1175</v>
      </c>
      <c r="O804" s="18">
        <v>43783</v>
      </c>
    </row>
    <row r="805" spans="1:19" hidden="1" outlineLevel="1">
      <c r="A805" s="1">
        <v>5</v>
      </c>
      <c r="F805" s="22">
        <v>866795035292299</v>
      </c>
      <c r="M805" s="2" t="s">
        <v>1499</v>
      </c>
      <c r="N805" s="2" t="s">
        <v>863</v>
      </c>
      <c r="O805" s="18">
        <v>43789</v>
      </c>
    </row>
    <row r="806" spans="1:19" hidden="1" outlineLevel="1">
      <c r="A806" s="1">
        <v>6</v>
      </c>
      <c r="F806" s="22">
        <v>866795035192499</v>
      </c>
      <c r="M806" s="2" t="s">
        <v>1500</v>
      </c>
      <c r="N806" s="2" t="s">
        <v>1195</v>
      </c>
      <c r="O806" s="18">
        <v>43794</v>
      </c>
    </row>
    <row r="807" spans="1:19" hidden="1" outlineLevel="1">
      <c r="A807" s="1">
        <v>7</v>
      </c>
      <c r="F807" s="22">
        <v>866795035212982</v>
      </c>
      <c r="M807" s="2" t="s">
        <v>1501</v>
      </c>
      <c r="N807" s="2" t="s">
        <v>1195</v>
      </c>
      <c r="O807" s="18" t="s">
        <v>836</v>
      </c>
    </row>
    <row r="808" spans="1:19" hidden="1" outlineLevel="1">
      <c r="A808" s="1">
        <v>8</v>
      </c>
      <c r="F808" s="22">
        <v>866795035265519</v>
      </c>
      <c r="I808" s="2" t="s">
        <v>555</v>
      </c>
      <c r="M808" s="2" t="s">
        <v>1502</v>
      </c>
    </row>
    <row r="809" spans="1:19" hidden="1" outlineLevel="1">
      <c r="A809" s="1">
        <v>9</v>
      </c>
      <c r="F809" s="22">
        <v>866795035247129</v>
      </c>
      <c r="M809" s="2" t="s">
        <v>1503</v>
      </c>
      <c r="N809" s="2" t="s">
        <v>1504</v>
      </c>
      <c r="O809" s="18">
        <v>43783</v>
      </c>
    </row>
    <row r="810" spans="1:19" hidden="1" outlineLevel="1">
      <c r="A810" s="1">
        <v>10</v>
      </c>
      <c r="F810" s="22">
        <v>866795035275328</v>
      </c>
      <c r="M810" s="2" t="s">
        <v>1296</v>
      </c>
      <c r="N810" s="2" t="s">
        <v>1276</v>
      </c>
      <c r="O810" s="18">
        <v>43801</v>
      </c>
    </row>
    <row r="811" spans="1:19" hidden="1" outlineLevel="1">
      <c r="A811" s="8"/>
      <c r="B811" s="58"/>
      <c r="C811" s="159"/>
      <c r="D811" s="8"/>
      <c r="E811" s="8"/>
      <c r="F811" s="9"/>
      <c r="G811" s="8"/>
      <c r="H811" s="8"/>
      <c r="I811" s="8"/>
      <c r="J811" s="58"/>
      <c r="K811" s="8"/>
      <c r="L811" s="58"/>
      <c r="M811" s="8"/>
      <c r="N811" s="8"/>
      <c r="O811" s="58"/>
      <c r="P811" s="8"/>
      <c r="Q811" s="8"/>
      <c r="R811" s="8"/>
      <c r="S811" s="8"/>
    </row>
    <row r="812" spans="1:19" hidden="1" outlineLevel="1">
      <c r="A812" s="1">
        <v>1</v>
      </c>
      <c r="B812" s="11">
        <v>43790</v>
      </c>
      <c r="E812" s="1" t="s">
        <v>598</v>
      </c>
      <c r="F812" s="22">
        <v>866795035251444</v>
      </c>
      <c r="I812" s="2" t="s">
        <v>556</v>
      </c>
      <c r="M812" s="2" t="s">
        <v>1229</v>
      </c>
    </row>
    <row r="813" spans="1:19" hidden="1" outlineLevel="1">
      <c r="A813" s="1">
        <v>2</v>
      </c>
      <c r="F813" s="22">
        <v>866795035290301</v>
      </c>
      <c r="M813" s="2" t="s">
        <v>1505</v>
      </c>
      <c r="N813" s="2" t="s">
        <v>1163</v>
      </c>
      <c r="O813" s="18">
        <v>43802</v>
      </c>
    </row>
    <row r="814" spans="1:19" hidden="1" outlineLevel="1">
      <c r="A814" s="1">
        <v>3</v>
      </c>
      <c r="F814" s="22">
        <v>866795035289402</v>
      </c>
      <c r="M814" s="2" t="s">
        <v>1506</v>
      </c>
      <c r="N814" s="2" t="s">
        <v>1507</v>
      </c>
      <c r="O814" s="18" t="s">
        <v>836</v>
      </c>
    </row>
    <row r="815" spans="1:19" hidden="1" outlineLevel="1">
      <c r="A815" s="1">
        <v>4</v>
      </c>
      <c r="F815" s="22">
        <v>866795035211257</v>
      </c>
      <c r="M815" s="2" t="s">
        <v>1508</v>
      </c>
      <c r="N815" s="2" t="s">
        <v>863</v>
      </c>
      <c r="O815" s="18">
        <v>43798</v>
      </c>
    </row>
    <row r="816" spans="1:19" hidden="1" outlineLevel="1">
      <c r="A816" s="1">
        <v>5</v>
      </c>
      <c r="F816" s="22">
        <v>866795035292398</v>
      </c>
      <c r="I816" s="2" t="s">
        <v>553</v>
      </c>
      <c r="M816" s="2" t="s">
        <v>1229</v>
      </c>
    </row>
    <row r="817" spans="1:19" hidden="1" outlineLevel="1">
      <c r="A817" s="1">
        <v>6</v>
      </c>
      <c r="F817" s="22">
        <v>866795035293552</v>
      </c>
      <c r="I817" s="2" t="s">
        <v>553</v>
      </c>
      <c r="M817" s="2" t="s">
        <v>1229</v>
      </c>
    </row>
    <row r="818" spans="1:19" hidden="1" outlineLevel="1">
      <c r="A818" s="1">
        <v>7</v>
      </c>
      <c r="F818" s="22">
        <v>866795035243326</v>
      </c>
      <c r="M818" s="2" t="s">
        <v>1509</v>
      </c>
      <c r="N818" s="2" t="s">
        <v>1510</v>
      </c>
      <c r="O818" s="18">
        <v>43794</v>
      </c>
    </row>
    <row r="819" spans="1:19" hidden="1" outlineLevel="1">
      <c r="A819" s="1">
        <v>8</v>
      </c>
      <c r="F819" s="22">
        <v>866795035222882</v>
      </c>
      <c r="M819" s="2" t="s">
        <v>1511</v>
      </c>
      <c r="N819" s="2" t="s">
        <v>1512</v>
      </c>
      <c r="O819" s="18">
        <v>43801</v>
      </c>
    </row>
    <row r="820" spans="1:19" hidden="1" outlineLevel="1">
      <c r="A820" s="1">
        <v>9</v>
      </c>
      <c r="F820" s="22">
        <v>866795035195963</v>
      </c>
      <c r="M820" s="2" t="s">
        <v>1513</v>
      </c>
      <c r="N820" s="2" t="s">
        <v>867</v>
      </c>
      <c r="O820" s="18">
        <v>43798</v>
      </c>
    </row>
    <row r="821" spans="1:19" hidden="1" outlineLevel="1">
      <c r="A821" s="1">
        <v>10</v>
      </c>
      <c r="F821" s="22">
        <v>866795035261039</v>
      </c>
      <c r="I821" s="2" t="s">
        <v>553</v>
      </c>
      <c r="M821" s="2" t="s">
        <v>1229</v>
      </c>
    </row>
    <row r="822" spans="1:19" hidden="1" outlineLevel="1">
      <c r="A822" s="1">
        <v>11</v>
      </c>
      <c r="E822" s="1" t="s">
        <v>599</v>
      </c>
      <c r="F822" s="22">
        <v>866795035264033</v>
      </c>
      <c r="M822" s="2" t="s">
        <v>1514</v>
      </c>
      <c r="N822" s="2" t="s">
        <v>1515</v>
      </c>
      <c r="O822" s="18">
        <v>43797</v>
      </c>
    </row>
    <row r="823" spans="1:19" hidden="1" outlineLevel="1">
      <c r="A823" s="1">
        <v>12</v>
      </c>
      <c r="F823" s="22">
        <v>866795035249711</v>
      </c>
      <c r="M823" s="2" t="s">
        <v>1516</v>
      </c>
      <c r="N823" s="2" t="s">
        <v>1515</v>
      </c>
      <c r="O823" s="18">
        <v>43795</v>
      </c>
    </row>
    <row r="824" spans="1:19" hidden="1" outlineLevel="1">
      <c r="A824" s="1">
        <v>13</v>
      </c>
      <c r="F824" s="22">
        <v>866795035226941</v>
      </c>
      <c r="M824" s="2" t="s">
        <v>1517</v>
      </c>
      <c r="N824" s="2" t="s">
        <v>1515</v>
      </c>
      <c r="O824" s="18">
        <v>43803</v>
      </c>
    </row>
    <row r="825" spans="1:19" hidden="1" outlineLevel="1">
      <c r="A825" s="1">
        <v>14</v>
      </c>
      <c r="F825" s="22">
        <v>866795035237468</v>
      </c>
      <c r="M825" s="2" t="s">
        <v>1518</v>
      </c>
      <c r="N825" s="2" t="s">
        <v>1263</v>
      </c>
      <c r="O825" s="18">
        <v>43795</v>
      </c>
    </row>
    <row r="826" spans="1:19" hidden="1" outlineLevel="1">
      <c r="A826" s="1">
        <v>15</v>
      </c>
      <c r="F826" s="22">
        <v>866795035238482</v>
      </c>
      <c r="I826" s="2" t="s">
        <v>557</v>
      </c>
      <c r="M826" s="2" t="s">
        <v>1229</v>
      </c>
    </row>
    <row r="827" spans="1:19" hidden="1" outlineLevel="1">
      <c r="A827" s="8"/>
      <c r="B827" s="58"/>
      <c r="C827" s="159"/>
      <c r="D827" s="8"/>
      <c r="E827" s="8"/>
      <c r="F827" s="9"/>
      <c r="G827" s="8"/>
      <c r="H827" s="8"/>
      <c r="I827" s="8"/>
      <c r="J827" s="58"/>
      <c r="K827" s="8"/>
      <c r="L827" s="58"/>
      <c r="M827" s="8"/>
      <c r="N827" s="8"/>
      <c r="O827" s="58"/>
      <c r="P827" s="8"/>
      <c r="Q827" s="8"/>
      <c r="R827" s="8"/>
      <c r="S827" s="8"/>
    </row>
    <row r="828" spans="1:19" hidden="1" outlineLevel="1">
      <c r="A828" s="1">
        <v>1</v>
      </c>
      <c r="B828" s="11">
        <v>43796</v>
      </c>
      <c r="E828" s="1" t="s">
        <v>604</v>
      </c>
      <c r="F828" s="22">
        <v>866795033886092</v>
      </c>
      <c r="M828" s="2" t="s">
        <v>1519</v>
      </c>
      <c r="N828" s="2" t="s">
        <v>1520</v>
      </c>
      <c r="O828" s="18">
        <v>43796</v>
      </c>
    </row>
    <row r="829" spans="1:19" hidden="1" outlineLevel="1">
      <c r="A829" s="1">
        <v>2</v>
      </c>
      <c r="F829" s="22">
        <v>866795034454163</v>
      </c>
      <c r="M829" s="2" t="s">
        <v>1521</v>
      </c>
      <c r="N829" s="2" t="s">
        <v>1522</v>
      </c>
      <c r="O829" s="18">
        <v>43796</v>
      </c>
    </row>
    <row r="830" spans="1:19" hidden="1" outlineLevel="1">
      <c r="A830" s="8"/>
      <c r="B830" s="58"/>
      <c r="C830" s="159"/>
      <c r="D830" s="8"/>
      <c r="E830" s="8"/>
      <c r="F830" s="9"/>
      <c r="G830" s="8"/>
      <c r="H830" s="8"/>
      <c r="I830" s="8"/>
      <c r="J830" s="58"/>
      <c r="K830" s="8"/>
      <c r="L830" s="58"/>
      <c r="M830" s="8"/>
      <c r="N830" s="8"/>
      <c r="O830" s="58"/>
      <c r="P830" s="8"/>
      <c r="Q830" s="8"/>
      <c r="R830" s="8"/>
      <c r="S830" s="8"/>
    </row>
    <row r="831" spans="1:19" hidden="1" outlineLevel="1">
      <c r="A831" s="1">
        <v>1</v>
      </c>
      <c r="B831" s="11">
        <v>43798</v>
      </c>
      <c r="E831" s="1" t="s">
        <v>604</v>
      </c>
      <c r="F831" s="22">
        <v>866795033880301</v>
      </c>
      <c r="M831" s="2" t="s">
        <v>1229</v>
      </c>
      <c r="N831" s="2" t="s">
        <v>1523</v>
      </c>
      <c r="O831" s="18">
        <v>43826</v>
      </c>
    </row>
    <row r="832" spans="1:19" hidden="1" outlineLevel="1">
      <c r="A832" s="1">
        <v>2</v>
      </c>
      <c r="F832" s="22">
        <v>866795033884725</v>
      </c>
      <c r="G832" s="4" t="s">
        <v>505</v>
      </c>
      <c r="I832" s="2" t="s">
        <v>558</v>
      </c>
      <c r="M832" s="2" t="s">
        <v>1229</v>
      </c>
    </row>
    <row r="833" spans="1:19" hidden="1" outlineLevel="1">
      <c r="A833" s="1">
        <v>3</v>
      </c>
      <c r="E833" s="1" t="s">
        <v>599</v>
      </c>
      <c r="F833" s="22">
        <v>866795035235306</v>
      </c>
      <c r="M833" s="2" t="s">
        <v>1524</v>
      </c>
      <c r="N833" s="2" t="s">
        <v>1489</v>
      </c>
    </row>
    <row r="834" spans="1:19" hidden="1" outlineLevel="1">
      <c r="A834" s="1">
        <v>4</v>
      </c>
      <c r="F834" s="22">
        <v>866795035301330</v>
      </c>
      <c r="M834" s="2" t="s">
        <v>1525</v>
      </c>
      <c r="N834" s="2" t="s">
        <v>893</v>
      </c>
      <c r="O834" s="18">
        <v>43798</v>
      </c>
    </row>
    <row r="835" spans="1:19" hidden="1" outlineLevel="1">
      <c r="A835" s="1">
        <v>5</v>
      </c>
      <c r="F835" s="22">
        <v>866795035301298</v>
      </c>
      <c r="M835" s="2" t="s">
        <v>1526</v>
      </c>
      <c r="N835" s="2" t="s">
        <v>1527</v>
      </c>
      <c r="O835" s="18">
        <v>43810</v>
      </c>
    </row>
    <row r="836" spans="1:19" hidden="1" outlineLevel="1">
      <c r="A836" s="1">
        <v>6</v>
      </c>
      <c r="F836" s="22">
        <v>866795035234523</v>
      </c>
      <c r="M836" s="2" t="s">
        <v>1528</v>
      </c>
      <c r="N836" s="2" t="s">
        <v>1515</v>
      </c>
      <c r="O836" s="18">
        <v>43803</v>
      </c>
    </row>
    <row r="837" spans="1:19" hidden="1" outlineLevel="1">
      <c r="A837" s="1">
        <v>7</v>
      </c>
      <c r="F837" s="22">
        <v>866795035241411</v>
      </c>
      <c r="I837" s="2" t="s">
        <v>557</v>
      </c>
      <c r="M837" s="2" t="s">
        <v>1229</v>
      </c>
    </row>
    <row r="838" spans="1:19" hidden="1" outlineLevel="1">
      <c r="A838" s="1">
        <v>8</v>
      </c>
      <c r="E838" s="1" t="s">
        <v>605</v>
      </c>
      <c r="F838" s="22">
        <v>866795033367630</v>
      </c>
      <c r="I838" s="2" t="s">
        <v>557</v>
      </c>
      <c r="M838" s="2" t="s">
        <v>1229</v>
      </c>
    </row>
    <row r="839" spans="1:19" hidden="1" outlineLevel="1">
      <c r="A839" s="8"/>
      <c r="B839" s="58"/>
      <c r="C839" s="159"/>
      <c r="D839" s="8"/>
      <c r="E839" s="8"/>
      <c r="F839" s="9"/>
      <c r="G839" s="8"/>
      <c r="H839" s="8"/>
      <c r="I839" s="8"/>
      <c r="J839" s="58"/>
      <c r="K839" s="8"/>
      <c r="L839" s="58"/>
      <c r="M839" s="8"/>
      <c r="N839" s="8"/>
      <c r="O839" s="58"/>
      <c r="P839" s="8"/>
      <c r="Q839" s="8"/>
      <c r="R839" s="8"/>
      <c r="S839" s="8"/>
    </row>
    <row r="840" spans="1:19" hidden="1" outlineLevel="1">
      <c r="A840" s="1">
        <v>1</v>
      </c>
      <c r="B840" s="11">
        <v>43808</v>
      </c>
      <c r="E840" s="1" t="s">
        <v>598</v>
      </c>
      <c r="F840" s="22">
        <v>866795035247426</v>
      </c>
      <c r="M840" s="2" t="s">
        <v>1529</v>
      </c>
      <c r="N840" s="2" t="s">
        <v>1530</v>
      </c>
      <c r="O840" s="18">
        <v>43808</v>
      </c>
    </row>
    <row r="841" spans="1:19" hidden="1" outlineLevel="1">
      <c r="A841" s="1">
        <v>2</v>
      </c>
      <c r="F841" s="22">
        <v>866795035209046</v>
      </c>
      <c r="M841" s="2" t="s">
        <v>1531</v>
      </c>
      <c r="N841" s="2" t="s">
        <v>1512</v>
      </c>
      <c r="O841" s="18">
        <v>43810</v>
      </c>
    </row>
    <row r="842" spans="1:19" hidden="1" outlineLevel="1">
      <c r="A842" s="1">
        <v>3</v>
      </c>
      <c r="F842" s="22">
        <v>866795035194560</v>
      </c>
      <c r="M842" s="2" t="s">
        <v>1229</v>
      </c>
      <c r="N842" s="2" t="s">
        <v>1532</v>
      </c>
      <c r="O842" s="18">
        <v>43824</v>
      </c>
    </row>
    <row r="843" spans="1:19" hidden="1" outlineLevel="1">
      <c r="A843" s="1">
        <v>4</v>
      </c>
      <c r="F843" s="22">
        <v>866795035222221</v>
      </c>
      <c r="M843" s="2" t="s">
        <v>1533</v>
      </c>
      <c r="N843" s="2" t="s">
        <v>1534</v>
      </c>
      <c r="O843" s="18">
        <v>43817</v>
      </c>
    </row>
    <row r="844" spans="1:19" hidden="1" outlineLevel="1">
      <c r="A844" s="1">
        <v>5</v>
      </c>
      <c r="F844" s="22">
        <v>866795035194438</v>
      </c>
      <c r="M844" s="2" t="s">
        <v>1535</v>
      </c>
      <c r="N844" s="2" t="s">
        <v>874</v>
      </c>
      <c r="O844" s="18">
        <v>43808</v>
      </c>
    </row>
    <row r="845" spans="1:19" hidden="1" outlineLevel="1">
      <c r="A845" s="1">
        <v>6</v>
      </c>
      <c r="F845" s="22">
        <v>866795035195062</v>
      </c>
      <c r="M845" s="2" t="s">
        <v>1536</v>
      </c>
      <c r="N845" s="2" t="s">
        <v>907</v>
      </c>
      <c r="O845" s="18">
        <v>43809</v>
      </c>
    </row>
    <row r="846" spans="1:19" hidden="1" outlineLevel="1">
      <c r="A846" s="1">
        <v>7</v>
      </c>
      <c r="F846" s="22">
        <v>866795035216017</v>
      </c>
      <c r="M846" s="2" t="s">
        <v>1537</v>
      </c>
      <c r="N846" s="2" t="s">
        <v>1538</v>
      </c>
      <c r="O846" s="18">
        <v>43817</v>
      </c>
    </row>
    <row r="847" spans="1:19" hidden="1" outlineLevel="1">
      <c r="A847" s="1">
        <v>8</v>
      </c>
      <c r="F847" s="22">
        <v>866795035033263</v>
      </c>
      <c r="M847" s="2" t="s">
        <v>1539</v>
      </c>
      <c r="N847" s="2" t="s">
        <v>1540</v>
      </c>
      <c r="O847" s="18">
        <v>43812</v>
      </c>
    </row>
    <row r="848" spans="1:19" hidden="1" outlineLevel="1">
      <c r="A848" s="1">
        <v>9</v>
      </c>
      <c r="F848" s="22">
        <v>866795035243177</v>
      </c>
      <c r="M848" s="2" t="s">
        <v>1541</v>
      </c>
      <c r="N848" s="2" t="s">
        <v>1534</v>
      </c>
      <c r="O848" s="18">
        <v>43816</v>
      </c>
    </row>
    <row r="849" spans="1:19" hidden="1" outlineLevel="1">
      <c r="A849" s="1">
        <v>10</v>
      </c>
      <c r="F849" s="22">
        <v>866795035242682</v>
      </c>
      <c r="M849" s="2" t="s">
        <v>1542</v>
      </c>
      <c r="N849" s="2" t="s">
        <v>1534</v>
      </c>
      <c r="O849" s="18">
        <v>43817</v>
      </c>
    </row>
    <row r="850" spans="1:19" hidden="1" outlineLevel="1">
      <c r="A850" s="1">
        <v>11</v>
      </c>
      <c r="F850" s="22">
        <v>866795035192457</v>
      </c>
      <c r="M850" s="2" t="s">
        <v>1543</v>
      </c>
      <c r="N850" s="2" t="s">
        <v>1540</v>
      </c>
      <c r="O850" s="18">
        <v>43812</v>
      </c>
    </row>
    <row r="851" spans="1:19" hidden="1" outlineLevel="1">
      <c r="A851" s="1">
        <v>12</v>
      </c>
      <c r="F851" s="22">
        <v>866795035204435</v>
      </c>
      <c r="M851" s="2" t="s">
        <v>1544</v>
      </c>
      <c r="N851" s="2" t="s">
        <v>1534</v>
      </c>
      <c r="O851" s="18">
        <v>43816</v>
      </c>
    </row>
    <row r="852" spans="1:19" hidden="1" outlineLevel="1">
      <c r="A852" s="1">
        <v>13</v>
      </c>
      <c r="F852" s="22">
        <v>866795035201225</v>
      </c>
      <c r="G852" s="4" t="s">
        <v>506</v>
      </c>
      <c r="M852" s="2" t="s">
        <v>1545</v>
      </c>
      <c r="N852" s="2" t="s">
        <v>1546</v>
      </c>
      <c r="O852" s="18">
        <v>43812</v>
      </c>
    </row>
    <row r="853" spans="1:19" hidden="1" outlineLevel="1">
      <c r="A853" s="1">
        <v>14</v>
      </c>
      <c r="F853" s="22">
        <v>866795035032851</v>
      </c>
      <c r="N853" s="2" t="s">
        <v>1547</v>
      </c>
      <c r="O853" s="18" t="s">
        <v>1548</v>
      </c>
    </row>
    <row r="854" spans="1:19" hidden="1" outlineLevel="1">
      <c r="A854" s="1">
        <v>15</v>
      </c>
      <c r="F854" s="22">
        <v>866795035226123</v>
      </c>
      <c r="M854" s="2" t="s">
        <v>1549</v>
      </c>
      <c r="N854" s="2" t="s">
        <v>896</v>
      </c>
      <c r="O854" s="18">
        <v>43805</v>
      </c>
    </row>
    <row r="855" spans="1:19" hidden="1" outlineLevel="1">
      <c r="A855" s="8"/>
      <c r="B855" s="58"/>
      <c r="C855" s="159"/>
      <c r="D855" s="8"/>
      <c r="E855" s="8"/>
      <c r="F855" s="9"/>
      <c r="G855" s="8"/>
      <c r="H855" s="8"/>
      <c r="I855" s="8"/>
      <c r="J855" s="58"/>
      <c r="K855" s="8"/>
      <c r="L855" s="58"/>
      <c r="M855" s="8"/>
      <c r="N855" s="8"/>
      <c r="O855" s="58"/>
      <c r="P855" s="8"/>
      <c r="Q855" s="8"/>
      <c r="R855" s="8"/>
      <c r="S855" s="8"/>
    </row>
    <row r="856" spans="1:19" hidden="1" outlineLevel="1">
      <c r="A856" s="1">
        <v>1</v>
      </c>
      <c r="B856" s="11">
        <v>43816</v>
      </c>
      <c r="E856" s="1" t="s">
        <v>598</v>
      </c>
      <c r="F856" s="22">
        <v>866795035221264</v>
      </c>
      <c r="I856" s="2" t="s">
        <v>559</v>
      </c>
      <c r="M856" s="2" t="s">
        <v>1229</v>
      </c>
    </row>
    <row r="857" spans="1:19" hidden="1" outlineLevel="1">
      <c r="A857" s="1">
        <v>2</v>
      </c>
      <c r="F857" s="22">
        <v>866795036227070</v>
      </c>
      <c r="I857" s="2" t="s">
        <v>559</v>
      </c>
      <c r="M857" s="2" t="s">
        <v>1229</v>
      </c>
    </row>
    <row r="858" spans="1:19" hidden="1" outlineLevel="1">
      <c r="A858" s="1">
        <v>3</v>
      </c>
      <c r="F858" s="22">
        <v>866795036210779</v>
      </c>
      <c r="I858" s="2" t="s">
        <v>560</v>
      </c>
      <c r="M858" s="2" t="s">
        <v>1229</v>
      </c>
    </row>
    <row r="859" spans="1:19" hidden="1" outlineLevel="1">
      <c r="A859" s="1">
        <v>4</v>
      </c>
      <c r="F859" s="22">
        <v>866795036163382</v>
      </c>
      <c r="M859" s="2" t="s">
        <v>1550</v>
      </c>
      <c r="N859" s="2" t="s">
        <v>1538</v>
      </c>
      <c r="O859" s="18">
        <v>43817</v>
      </c>
    </row>
    <row r="860" spans="1:19" hidden="1" outlineLevel="1">
      <c r="A860" s="1">
        <v>5</v>
      </c>
      <c r="F860" s="22">
        <v>866795036256640</v>
      </c>
      <c r="N860" s="2" t="s">
        <v>1551</v>
      </c>
      <c r="O860" s="18">
        <v>43823</v>
      </c>
    </row>
    <row r="861" spans="1:19" hidden="1" outlineLevel="1">
      <c r="A861" s="1">
        <v>6</v>
      </c>
      <c r="F861" s="22">
        <v>866795035246923</v>
      </c>
      <c r="N861" s="2" t="s">
        <v>1551</v>
      </c>
      <c r="O861" s="18">
        <v>43823</v>
      </c>
    </row>
    <row r="862" spans="1:19" hidden="1" outlineLevel="1">
      <c r="A862" s="1">
        <v>7</v>
      </c>
      <c r="F862" s="22">
        <v>866795035243185</v>
      </c>
      <c r="N862" s="2" t="s">
        <v>1551</v>
      </c>
      <c r="O862" s="18">
        <v>43823</v>
      </c>
    </row>
    <row r="863" spans="1:19" hidden="1" outlineLevel="1">
      <c r="A863" s="1">
        <v>8</v>
      </c>
      <c r="F863" s="22">
        <v>866795035288297</v>
      </c>
      <c r="I863" s="2" t="s">
        <v>559</v>
      </c>
      <c r="M863" s="2" t="s">
        <v>1229</v>
      </c>
    </row>
    <row r="864" spans="1:19" hidden="1" outlineLevel="1">
      <c r="A864" s="1">
        <v>9</v>
      </c>
      <c r="F864" s="22">
        <v>866795035290566</v>
      </c>
      <c r="I864" s="2" t="s">
        <v>559</v>
      </c>
      <c r="M864" s="2" t="s">
        <v>1229</v>
      </c>
    </row>
    <row r="865" spans="1:19" hidden="1" outlineLevel="1">
      <c r="A865" s="1">
        <v>10</v>
      </c>
      <c r="F865" s="22">
        <v>866795035189487</v>
      </c>
      <c r="I865" s="2" t="s">
        <v>559</v>
      </c>
      <c r="M865" s="2" t="s">
        <v>1229</v>
      </c>
    </row>
    <row r="866" spans="1:19" hidden="1" outlineLevel="1">
      <c r="A866" s="1">
        <v>11</v>
      </c>
      <c r="E866" s="1" t="s">
        <v>599</v>
      </c>
      <c r="F866" s="22">
        <v>866795035306545</v>
      </c>
      <c r="I866" s="2" t="s">
        <v>557</v>
      </c>
      <c r="M866" s="2" t="s">
        <v>1229</v>
      </c>
    </row>
    <row r="867" spans="1:19" hidden="1" outlineLevel="1">
      <c r="A867" s="1">
        <v>12</v>
      </c>
      <c r="F867" s="22">
        <v>866795035249406</v>
      </c>
      <c r="I867" s="2" t="s">
        <v>557</v>
      </c>
      <c r="M867" s="2" t="s">
        <v>1229</v>
      </c>
    </row>
    <row r="868" spans="1:19" hidden="1" outlineLevel="1">
      <c r="A868" s="1">
        <v>13</v>
      </c>
      <c r="F868" s="22">
        <v>866795035233871</v>
      </c>
      <c r="M868" s="2" t="s">
        <v>1552</v>
      </c>
      <c r="N868" s="2" t="s">
        <v>1067</v>
      </c>
      <c r="O868" s="18">
        <v>43819</v>
      </c>
    </row>
    <row r="869" spans="1:19" hidden="1" outlineLevel="1">
      <c r="A869" s="1">
        <v>14</v>
      </c>
      <c r="F869" s="22">
        <v>866795035284171</v>
      </c>
      <c r="M869" s="2" t="s">
        <v>1553</v>
      </c>
      <c r="N869" s="2" t="s">
        <v>1067</v>
      </c>
      <c r="O869" s="18">
        <v>43819</v>
      </c>
    </row>
    <row r="870" spans="1:19" hidden="1" outlineLevel="1">
      <c r="A870" s="1">
        <v>15</v>
      </c>
      <c r="F870" s="22">
        <v>866795035260668</v>
      </c>
      <c r="I870" s="2" t="s">
        <v>557</v>
      </c>
      <c r="M870" s="2" t="s">
        <v>1229</v>
      </c>
    </row>
    <row r="871" spans="1:19" hidden="1" outlineLevel="1">
      <c r="A871" s="8"/>
      <c r="B871" s="58"/>
      <c r="C871" s="159"/>
      <c r="D871" s="8"/>
      <c r="E871" s="8"/>
      <c r="F871" s="9"/>
      <c r="G871" s="8"/>
      <c r="H871" s="8"/>
      <c r="I871" s="8"/>
      <c r="J871" s="58"/>
      <c r="K871" s="8"/>
      <c r="L871" s="58"/>
      <c r="M871" s="8"/>
      <c r="N871" s="8"/>
      <c r="O871" s="58"/>
      <c r="P871" s="8"/>
      <c r="Q871" s="8"/>
      <c r="R871" s="8"/>
      <c r="S871" s="8"/>
    </row>
    <row r="872" spans="1:19" hidden="1" outlineLevel="1">
      <c r="A872" s="1">
        <v>1</v>
      </c>
      <c r="B872" s="11">
        <v>43816</v>
      </c>
      <c r="E872" s="1" t="s">
        <v>606</v>
      </c>
      <c r="F872" s="22">
        <v>1428867</v>
      </c>
      <c r="I872" s="2" t="s">
        <v>553</v>
      </c>
      <c r="M872" s="2" t="s">
        <v>1229</v>
      </c>
      <c r="N872" s="2" t="s">
        <v>1554</v>
      </c>
    </row>
    <row r="873" spans="1:19" collapsed="1">
      <c r="A873" s="8">
        <v>2020</v>
      </c>
      <c r="B873" s="58">
        <v>2020</v>
      </c>
      <c r="C873" s="159"/>
      <c r="D873" s="8"/>
      <c r="E873" s="8"/>
      <c r="F873" s="9"/>
      <c r="G873" s="8"/>
      <c r="H873" s="8"/>
      <c r="I873" s="8"/>
      <c r="J873" s="58"/>
      <c r="K873" s="8"/>
      <c r="L873" s="58"/>
      <c r="M873" s="8"/>
      <c r="N873" s="8"/>
      <c r="O873" s="58"/>
      <c r="P873" s="8"/>
      <c r="Q873" s="8"/>
      <c r="R873" s="8"/>
      <c r="S873" s="8"/>
    </row>
    <row r="874" spans="1:19" hidden="1" outlineLevel="1">
      <c r="A874" s="1">
        <v>1</v>
      </c>
      <c r="B874" s="11">
        <v>43845</v>
      </c>
      <c r="E874" s="1" t="s">
        <v>599</v>
      </c>
      <c r="F874" s="22">
        <v>866795035259306</v>
      </c>
      <c r="M874" s="2" t="s">
        <v>1555</v>
      </c>
      <c r="N874" s="2" t="s">
        <v>1515</v>
      </c>
      <c r="O874" s="18">
        <v>43866</v>
      </c>
    </row>
    <row r="875" spans="1:19" hidden="1" outlineLevel="1">
      <c r="A875" s="1">
        <v>2</v>
      </c>
      <c r="F875" s="22">
        <v>866795035196763</v>
      </c>
      <c r="M875" s="2" t="s">
        <v>1556</v>
      </c>
      <c r="N875" s="2" t="s">
        <v>1557</v>
      </c>
      <c r="O875" s="18">
        <v>43866</v>
      </c>
    </row>
    <row r="876" spans="1:19" hidden="1" outlineLevel="1">
      <c r="A876" s="1">
        <v>3</v>
      </c>
      <c r="F876" s="22">
        <v>866795035238888</v>
      </c>
      <c r="M876" s="2" t="s">
        <v>1558</v>
      </c>
      <c r="N876" s="2" t="s">
        <v>1559</v>
      </c>
      <c r="O876" s="18">
        <v>43872</v>
      </c>
    </row>
    <row r="877" spans="1:19" hidden="1" outlineLevel="1">
      <c r="A877" s="1">
        <v>4</v>
      </c>
      <c r="F877" s="22">
        <v>866795035233806</v>
      </c>
      <c r="M877" s="2" t="s">
        <v>1560</v>
      </c>
      <c r="N877" s="2" t="s">
        <v>1559</v>
      </c>
      <c r="O877" s="18">
        <v>43872</v>
      </c>
    </row>
    <row r="878" spans="1:19" hidden="1" outlineLevel="1">
      <c r="A878" s="1">
        <v>5</v>
      </c>
      <c r="F878" s="22">
        <v>866795035203148</v>
      </c>
      <c r="M878" s="2" t="s">
        <v>1561</v>
      </c>
      <c r="N878" s="2" t="s">
        <v>1559</v>
      </c>
      <c r="O878" s="18">
        <v>43872</v>
      </c>
    </row>
    <row r="879" spans="1:19" hidden="1" outlineLevel="1">
      <c r="A879" s="1">
        <v>6</v>
      </c>
      <c r="E879" s="1" t="s">
        <v>598</v>
      </c>
      <c r="F879" s="22">
        <v>866795035032463</v>
      </c>
      <c r="M879" s="2" t="s">
        <v>1562</v>
      </c>
      <c r="N879" s="2" t="s">
        <v>992</v>
      </c>
      <c r="O879" s="18">
        <v>43858</v>
      </c>
    </row>
    <row r="880" spans="1:19" hidden="1" outlineLevel="1">
      <c r="A880" s="1">
        <v>7</v>
      </c>
      <c r="F880" s="22">
        <v>866795035270576</v>
      </c>
      <c r="M880" s="2" t="s">
        <v>1563</v>
      </c>
      <c r="N880" s="2" t="s">
        <v>852</v>
      </c>
      <c r="O880" s="18">
        <v>43883</v>
      </c>
    </row>
    <row r="881" spans="1:19" hidden="1" outlineLevel="1">
      <c r="A881" s="1">
        <v>8</v>
      </c>
      <c r="F881" s="22">
        <v>866795035032075</v>
      </c>
      <c r="M881" s="2" t="s">
        <v>1564</v>
      </c>
      <c r="N881" s="2" t="s">
        <v>855</v>
      </c>
      <c r="O881" s="18">
        <v>43868</v>
      </c>
    </row>
    <row r="882" spans="1:19" hidden="1" outlineLevel="1">
      <c r="A882" s="1">
        <v>9</v>
      </c>
      <c r="F882" s="22">
        <v>866795035032638</v>
      </c>
      <c r="M882" s="2" t="s">
        <v>1565</v>
      </c>
      <c r="N882" s="2" t="s">
        <v>992</v>
      </c>
      <c r="O882" s="18" t="s">
        <v>836</v>
      </c>
    </row>
    <row r="883" spans="1:19" hidden="1" outlineLevel="1">
      <c r="A883" s="1">
        <v>10</v>
      </c>
      <c r="F883" s="22">
        <v>866795035190667</v>
      </c>
      <c r="M883" s="2" t="s">
        <v>1566</v>
      </c>
      <c r="N883" s="2" t="s">
        <v>1567</v>
      </c>
      <c r="O883" s="18">
        <v>43861</v>
      </c>
    </row>
    <row r="884" spans="1:19" hidden="1" outlineLevel="1">
      <c r="A884" s="1">
        <v>11</v>
      </c>
      <c r="F884" s="22">
        <v>866795035221470</v>
      </c>
      <c r="M884" s="2" t="s">
        <v>1568</v>
      </c>
      <c r="N884" s="2" t="s">
        <v>1569</v>
      </c>
      <c r="O884" s="18">
        <v>43866</v>
      </c>
    </row>
    <row r="885" spans="1:19" hidden="1" outlineLevel="1">
      <c r="A885" s="1">
        <v>12</v>
      </c>
      <c r="F885" s="22">
        <v>866795035031929</v>
      </c>
      <c r="M885" s="2" t="s">
        <v>1570</v>
      </c>
      <c r="N885" s="2" t="s">
        <v>1447</v>
      </c>
      <c r="O885" s="18">
        <v>43862</v>
      </c>
    </row>
    <row r="886" spans="1:19" hidden="1" outlineLevel="1">
      <c r="A886" s="1">
        <v>13</v>
      </c>
      <c r="F886" s="22">
        <v>866795034989606</v>
      </c>
      <c r="M886" s="2" t="s">
        <v>1571</v>
      </c>
      <c r="N886" s="2" t="s">
        <v>992</v>
      </c>
      <c r="O886" s="18">
        <v>43854</v>
      </c>
    </row>
    <row r="887" spans="1:19" hidden="1" outlineLevel="1">
      <c r="A887" s="1">
        <v>14</v>
      </c>
      <c r="F887" s="22">
        <v>866795035243151</v>
      </c>
      <c r="M887" s="2" t="s">
        <v>1572</v>
      </c>
      <c r="N887" s="2" t="s">
        <v>874</v>
      </c>
      <c r="O887" s="18" t="s">
        <v>836</v>
      </c>
    </row>
    <row r="888" spans="1:19" hidden="1" outlineLevel="1">
      <c r="A888" s="1">
        <v>15</v>
      </c>
      <c r="F888" s="22">
        <v>866795035274909</v>
      </c>
      <c r="M888" s="2" t="s">
        <v>1573</v>
      </c>
      <c r="N888" s="2" t="s">
        <v>992</v>
      </c>
      <c r="O888" s="18">
        <v>43854</v>
      </c>
    </row>
    <row r="889" spans="1:19" hidden="1" outlineLevel="1">
      <c r="A889" s="8"/>
      <c r="B889" s="58"/>
      <c r="C889" s="159"/>
      <c r="D889" s="8"/>
      <c r="E889" s="8"/>
      <c r="F889" s="9"/>
      <c r="G889" s="8"/>
      <c r="H889" s="8"/>
      <c r="I889" s="8"/>
      <c r="J889" s="58"/>
      <c r="K889" s="8"/>
      <c r="L889" s="58"/>
      <c r="M889" s="8"/>
      <c r="N889" s="8"/>
      <c r="O889" s="58"/>
      <c r="P889" s="8"/>
      <c r="Q889" s="8"/>
      <c r="R889" s="8"/>
      <c r="S889" s="8"/>
    </row>
    <row r="890" spans="1:19" hidden="1" outlineLevel="1">
      <c r="A890" s="1">
        <v>1</v>
      </c>
      <c r="B890" s="11">
        <v>43852</v>
      </c>
      <c r="E890" s="1" t="s">
        <v>604</v>
      </c>
      <c r="F890" s="22">
        <v>866795036212221</v>
      </c>
      <c r="M890" s="2" t="s">
        <v>1574</v>
      </c>
      <c r="N890" s="2" t="s">
        <v>1575</v>
      </c>
      <c r="O890" s="18">
        <v>43906</v>
      </c>
    </row>
    <row r="891" spans="1:19" hidden="1" outlineLevel="1">
      <c r="A891" s="1">
        <v>2</v>
      </c>
      <c r="F891" s="22">
        <v>866795036095667</v>
      </c>
      <c r="M891" s="2" t="s">
        <v>1576</v>
      </c>
      <c r="N891" s="2" t="s">
        <v>1575</v>
      </c>
      <c r="O891" s="18" t="s">
        <v>836</v>
      </c>
    </row>
    <row r="892" spans="1:19" hidden="1" outlineLevel="1">
      <c r="A892" s="1">
        <v>3</v>
      </c>
      <c r="F892" s="22">
        <v>866795036186052</v>
      </c>
      <c r="M892" s="2" t="s">
        <v>1577</v>
      </c>
      <c r="N892" s="2" t="s">
        <v>1219</v>
      </c>
      <c r="O892" s="18">
        <v>43875</v>
      </c>
    </row>
    <row r="893" spans="1:19" hidden="1" outlineLevel="1">
      <c r="A893" s="1">
        <v>4</v>
      </c>
      <c r="F893" s="22">
        <v>866795036041133</v>
      </c>
      <c r="M893" s="2" t="s">
        <v>1578</v>
      </c>
      <c r="N893" s="2" t="s">
        <v>1575</v>
      </c>
      <c r="O893" s="18">
        <v>43852</v>
      </c>
    </row>
    <row r="894" spans="1:19" hidden="1" outlineLevel="1">
      <c r="A894" s="1">
        <v>5</v>
      </c>
      <c r="F894" s="22">
        <v>866795036224226</v>
      </c>
      <c r="M894" s="2" t="s">
        <v>1579</v>
      </c>
      <c r="N894" s="2" t="s">
        <v>1575</v>
      </c>
      <c r="O894" s="18">
        <v>43852</v>
      </c>
    </row>
    <row r="895" spans="1:19" hidden="1" outlineLevel="1">
      <c r="A895" s="8"/>
      <c r="B895" s="58"/>
      <c r="C895" s="159"/>
      <c r="D895" s="8"/>
      <c r="E895" s="8"/>
      <c r="F895" s="9"/>
      <c r="G895" s="8"/>
      <c r="H895" s="8"/>
      <c r="I895" s="8"/>
      <c r="J895" s="58"/>
      <c r="K895" s="8"/>
      <c r="L895" s="58"/>
      <c r="M895" s="8"/>
      <c r="N895" s="8"/>
      <c r="O895" s="58"/>
      <c r="P895" s="8"/>
      <c r="Q895" s="8"/>
      <c r="R895" s="8"/>
      <c r="S895" s="8"/>
    </row>
    <row r="896" spans="1:19" hidden="1" outlineLevel="1">
      <c r="A896" s="1">
        <v>1</v>
      </c>
      <c r="B896" s="11">
        <v>43861</v>
      </c>
      <c r="E896" s="1" t="s">
        <v>598</v>
      </c>
      <c r="F896" s="22">
        <v>866795035203643</v>
      </c>
      <c r="M896" s="2" t="s">
        <v>1580</v>
      </c>
      <c r="N896" s="2" t="s">
        <v>1581</v>
      </c>
      <c r="O896" s="18">
        <v>43868</v>
      </c>
    </row>
    <row r="897" spans="1:19" hidden="1" outlineLevel="1">
      <c r="A897" s="1">
        <v>2</v>
      </c>
      <c r="F897" s="22">
        <v>866795036124178</v>
      </c>
      <c r="M897" s="2" t="s">
        <v>1582</v>
      </c>
      <c r="N897" s="2" t="s">
        <v>1569</v>
      </c>
      <c r="O897" s="18">
        <v>43843</v>
      </c>
    </row>
    <row r="898" spans="1:19" hidden="1" outlineLevel="1">
      <c r="A898" s="1">
        <v>3</v>
      </c>
      <c r="F898" s="22">
        <v>866795035243706</v>
      </c>
      <c r="M898" s="2" t="s">
        <v>1583</v>
      </c>
      <c r="N898" s="2" t="s">
        <v>968</v>
      </c>
      <c r="O898" s="18" t="s">
        <v>836</v>
      </c>
    </row>
    <row r="899" spans="1:19" hidden="1" outlineLevel="1">
      <c r="A899" s="1">
        <v>4</v>
      </c>
      <c r="F899" s="22">
        <v>866795035212123</v>
      </c>
      <c r="M899" s="2" t="s">
        <v>1584</v>
      </c>
      <c r="N899" s="2" t="s">
        <v>1175</v>
      </c>
      <c r="O899" s="18">
        <v>43880</v>
      </c>
    </row>
    <row r="900" spans="1:19" hidden="1" outlineLevel="1">
      <c r="A900" s="1">
        <v>5</v>
      </c>
      <c r="F900" s="22">
        <v>866795036232559</v>
      </c>
      <c r="M900" s="2" t="s">
        <v>1585</v>
      </c>
      <c r="N900" s="2" t="s">
        <v>847</v>
      </c>
      <c r="O900" s="18">
        <v>43864</v>
      </c>
    </row>
    <row r="901" spans="1:19" hidden="1" outlineLevel="1">
      <c r="A901" s="1">
        <v>6</v>
      </c>
      <c r="F901" s="22">
        <v>866795036160040</v>
      </c>
      <c r="M901" s="2" t="s">
        <v>1586</v>
      </c>
      <c r="N901" s="2" t="s">
        <v>1232</v>
      </c>
      <c r="O901" s="18">
        <v>43880</v>
      </c>
    </row>
    <row r="902" spans="1:19" hidden="1" outlineLevel="1">
      <c r="A902" s="1">
        <v>7</v>
      </c>
      <c r="F902" s="22">
        <v>866795036222824</v>
      </c>
      <c r="M902" s="2" t="s">
        <v>1587</v>
      </c>
      <c r="N902" s="2" t="s">
        <v>1588</v>
      </c>
      <c r="O902" s="18" t="s">
        <v>836</v>
      </c>
    </row>
    <row r="903" spans="1:19" hidden="1" outlineLevel="1">
      <c r="A903" s="1">
        <v>8</v>
      </c>
      <c r="F903" s="22">
        <v>866795036133393</v>
      </c>
      <c r="M903" s="2" t="s">
        <v>1589</v>
      </c>
      <c r="N903" s="2" t="s">
        <v>847</v>
      </c>
      <c r="O903" s="18">
        <v>43878</v>
      </c>
    </row>
    <row r="904" spans="1:19" hidden="1" outlineLevel="1">
      <c r="A904" s="1">
        <v>9</v>
      </c>
      <c r="F904" s="22">
        <v>866795035197365</v>
      </c>
      <c r="M904" s="2" t="s">
        <v>1590</v>
      </c>
      <c r="N904" s="2" t="s">
        <v>1569</v>
      </c>
      <c r="O904" s="18">
        <v>43863</v>
      </c>
    </row>
    <row r="905" spans="1:19" hidden="1" outlineLevel="1">
      <c r="A905" s="1">
        <v>10</v>
      </c>
      <c r="F905" s="22">
        <v>866795035218195</v>
      </c>
      <c r="M905" s="2" t="s">
        <v>1591</v>
      </c>
      <c r="N905" s="2" t="s">
        <v>1454</v>
      </c>
      <c r="O905" s="18">
        <v>43879</v>
      </c>
    </row>
    <row r="906" spans="1:19" hidden="1" outlineLevel="1">
      <c r="A906" s="8"/>
      <c r="B906" s="58"/>
      <c r="C906" s="159"/>
      <c r="D906" s="8"/>
      <c r="E906" s="8"/>
      <c r="F906" s="9"/>
      <c r="G906" s="8"/>
      <c r="H906" s="8"/>
      <c r="I906" s="8"/>
      <c r="J906" s="58"/>
      <c r="K906" s="8"/>
      <c r="L906" s="58"/>
      <c r="M906" s="8"/>
      <c r="N906" s="8"/>
      <c r="O906" s="58"/>
      <c r="P906" s="8"/>
      <c r="Q906" s="8"/>
      <c r="R906" s="8"/>
      <c r="S906" s="8"/>
    </row>
    <row r="907" spans="1:19" hidden="1" outlineLevel="1">
      <c r="A907" s="1">
        <v>1</v>
      </c>
      <c r="B907" s="11">
        <v>43871</v>
      </c>
      <c r="E907" s="1" t="s">
        <v>599</v>
      </c>
      <c r="F907" s="22">
        <v>866795035280575</v>
      </c>
      <c r="M907" s="2" t="s">
        <v>1229</v>
      </c>
      <c r="N907" s="2" t="s">
        <v>836</v>
      </c>
      <c r="O907" s="18" t="s">
        <v>836</v>
      </c>
    </row>
    <row r="908" spans="1:19" hidden="1" outlineLevel="1">
      <c r="A908" s="1">
        <v>2</v>
      </c>
      <c r="F908" s="22">
        <v>866795035233897</v>
      </c>
      <c r="M908" s="2" t="s">
        <v>1592</v>
      </c>
      <c r="N908" s="2" t="s">
        <v>1593</v>
      </c>
      <c r="O908" s="18">
        <v>43874</v>
      </c>
    </row>
    <row r="909" spans="1:19" hidden="1" outlineLevel="1">
      <c r="A909" s="1">
        <v>3</v>
      </c>
      <c r="F909" s="22">
        <v>866795035230083</v>
      </c>
      <c r="M909" s="2" t="s">
        <v>1594</v>
      </c>
      <c r="N909" s="2" t="s">
        <v>1263</v>
      </c>
      <c r="O909" s="18">
        <v>43879</v>
      </c>
    </row>
    <row r="910" spans="1:19" hidden="1" outlineLevel="1">
      <c r="A910" s="1">
        <v>4</v>
      </c>
      <c r="F910" s="22">
        <v>866795035239936</v>
      </c>
      <c r="M910" s="2">
        <v>866795035239936</v>
      </c>
    </row>
    <row r="911" spans="1:19" hidden="1" outlineLevel="1">
      <c r="A911" s="1">
        <v>5</v>
      </c>
      <c r="F911" s="22">
        <v>866795035284072</v>
      </c>
      <c r="M911" s="2" t="s">
        <v>1595</v>
      </c>
      <c r="N911" s="2" t="s">
        <v>1593</v>
      </c>
      <c r="O911" s="18">
        <v>43872</v>
      </c>
    </row>
    <row r="912" spans="1:19" hidden="1" outlineLevel="1">
      <c r="A912" s="1">
        <v>6</v>
      </c>
      <c r="E912" s="1" t="s">
        <v>598</v>
      </c>
      <c r="F912" s="22">
        <v>866795035291986</v>
      </c>
      <c r="M912" s="2" t="s">
        <v>1596</v>
      </c>
      <c r="N912" s="2" t="s">
        <v>1067</v>
      </c>
      <c r="O912" s="18" t="s">
        <v>836</v>
      </c>
    </row>
    <row r="913" spans="1:19" hidden="1" outlineLevel="1">
      <c r="A913" s="1">
        <v>7</v>
      </c>
      <c r="F913" s="22">
        <v>866795035293057</v>
      </c>
      <c r="M913" s="2" t="s">
        <v>1597</v>
      </c>
      <c r="N913" s="2" t="s">
        <v>1588</v>
      </c>
      <c r="O913" s="18" t="s">
        <v>836</v>
      </c>
    </row>
    <row r="914" spans="1:19" hidden="1" outlineLevel="1">
      <c r="A914" s="1">
        <v>8</v>
      </c>
      <c r="F914" s="22">
        <v>866795035268471</v>
      </c>
      <c r="M914" s="2" t="s">
        <v>1598</v>
      </c>
      <c r="N914" s="2" t="s">
        <v>931</v>
      </c>
      <c r="O914" s="18">
        <v>43881</v>
      </c>
    </row>
    <row r="915" spans="1:19" hidden="1" outlineLevel="1">
      <c r="A915" s="1">
        <v>9</v>
      </c>
      <c r="F915" s="22">
        <v>866795035291739</v>
      </c>
      <c r="M915" s="2" t="s">
        <v>1599</v>
      </c>
      <c r="N915" s="2" t="s">
        <v>1067</v>
      </c>
      <c r="O915" s="18">
        <v>43881</v>
      </c>
    </row>
    <row r="916" spans="1:19" hidden="1" outlineLevel="1">
      <c r="A916" s="1">
        <v>10</v>
      </c>
      <c r="F916" s="22">
        <v>866795035191335</v>
      </c>
      <c r="M916" s="2" t="s">
        <v>1600</v>
      </c>
      <c r="N916" s="2" t="s">
        <v>1428</v>
      </c>
      <c r="O916" s="18">
        <v>43887</v>
      </c>
    </row>
    <row r="917" spans="1:19" hidden="1" outlineLevel="1">
      <c r="A917" s="1">
        <v>11</v>
      </c>
      <c r="F917" s="22">
        <v>866795035304037</v>
      </c>
      <c r="M917" s="2" t="s">
        <v>1601</v>
      </c>
      <c r="N917" s="2" t="s">
        <v>1418</v>
      </c>
      <c r="O917" s="18">
        <v>43874</v>
      </c>
    </row>
    <row r="918" spans="1:19" hidden="1" outlineLevel="1">
      <c r="A918" s="1">
        <v>12</v>
      </c>
      <c r="F918" s="22">
        <v>866795035194164</v>
      </c>
      <c r="M918" s="2" t="s">
        <v>1602</v>
      </c>
      <c r="N918" s="2" t="s">
        <v>1067</v>
      </c>
      <c r="O918" s="18">
        <v>43881</v>
      </c>
    </row>
    <row r="919" spans="1:19" hidden="1" outlineLevel="1">
      <c r="A919" s="1">
        <v>13</v>
      </c>
      <c r="F919" s="22">
        <v>866795035191145</v>
      </c>
      <c r="M919" s="2" t="s">
        <v>1531</v>
      </c>
      <c r="N919" s="2" t="s">
        <v>1512</v>
      </c>
      <c r="O919" s="18" t="s">
        <v>836</v>
      </c>
    </row>
    <row r="920" spans="1:19" hidden="1" outlineLevel="1">
      <c r="A920" s="1">
        <v>14</v>
      </c>
      <c r="F920" s="22">
        <v>866795035263548</v>
      </c>
      <c r="M920" s="2" t="s">
        <v>1553</v>
      </c>
      <c r="N920" s="2" t="s">
        <v>1067</v>
      </c>
      <c r="O920" s="18">
        <v>43881</v>
      </c>
    </row>
    <row r="921" spans="1:19" hidden="1" outlineLevel="1">
      <c r="A921" s="1">
        <v>15</v>
      </c>
      <c r="F921" s="22">
        <v>866795035191301</v>
      </c>
      <c r="M921" s="2" t="s">
        <v>1603</v>
      </c>
      <c r="N921" s="2" t="s">
        <v>1067</v>
      </c>
      <c r="O921" s="18" t="s">
        <v>836</v>
      </c>
    </row>
    <row r="922" spans="1:19" hidden="1" outlineLevel="1">
      <c r="A922" s="8"/>
      <c r="B922" s="58"/>
      <c r="C922" s="159"/>
      <c r="D922" s="8"/>
      <c r="E922" s="8"/>
      <c r="F922" s="9"/>
      <c r="G922" s="8"/>
      <c r="H922" s="8"/>
      <c r="I922" s="8"/>
      <c r="J922" s="58"/>
      <c r="K922" s="8"/>
      <c r="L922" s="58"/>
      <c r="M922" s="8"/>
      <c r="N922" s="8"/>
      <c r="O922" s="58"/>
      <c r="P922" s="8"/>
      <c r="Q922" s="8"/>
      <c r="R922" s="8"/>
      <c r="S922" s="8"/>
    </row>
    <row r="923" spans="1:19" hidden="1" outlineLevel="1">
      <c r="A923" s="1">
        <v>1</v>
      </c>
      <c r="B923" s="11">
        <v>43881</v>
      </c>
      <c r="E923" s="1" t="s">
        <v>598</v>
      </c>
      <c r="F923" s="22">
        <v>866795035215977</v>
      </c>
      <c r="M923" s="2" t="s">
        <v>1604</v>
      </c>
      <c r="N923" s="2" t="s">
        <v>267</v>
      </c>
      <c r="O923" s="18">
        <v>43888</v>
      </c>
    </row>
    <row r="924" spans="1:19" hidden="1" outlineLevel="1">
      <c r="A924" s="1">
        <v>2</v>
      </c>
      <c r="F924" s="22">
        <v>866795035263282</v>
      </c>
      <c r="M924" s="2" t="s">
        <v>1605</v>
      </c>
      <c r="N924" s="2" t="s">
        <v>1606</v>
      </c>
      <c r="O924" s="18">
        <v>43882</v>
      </c>
    </row>
    <row r="925" spans="1:19" hidden="1" outlineLevel="1">
      <c r="A925" s="1">
        <v>3</v>
      </c>
      <c r="F925" s="22">
        <v>866795035304524</v>
      </c>
      <c r="M925" s="2" t="s">
        <v>1607</v>
      </c>
      <c r="N925" s="2" t="s">
        <v>1606</v>
      </c>
      <c r="O925" s="18">
        <v>43882</v>
      </c>
    </row>
    <row r="926" spans="1:19" hidden="1" outlineLevel="1">
      <c r="A926" s="1">
        <v>4</v>
      </c>
      <c r="F926" s="22">
        <v>866795035193125</v>
      </c>
      <c r="M926" s="2" t="s">
        <v>1608</v>
      </c>
      <c r="N926" s="2" t="s">
        <v>1606</v>
      </c>
      <c r="O926" s="18">
        <v>43882</v>
      </c>
    </row>
    <row r="927" spans="1:19" hidden="1" outlineLevel="1">
      <c r="A927" s="1">
        <v>5</v>
      </c>
      <c r="F927" s="22">
        <v>866795035202108</v>
      </c>
      <c r="M927" s="2" t="s">
        <v>1609</v>
      </c>
      <c r="N927" s="2" t="s">
        <v>1610</v>
      </c>
      <c r="O927" s="18">
        <v>43888</v>
      </c>
    </row>
    <row r="928" spans="1:19" hidden="1" outlineLevel="1">
      <c r="A928" s="1">
        <v>6</v>
      </c>
      <c r="F928" s="22">
        <v>866795035304235</v>
      </c>
      <c r="M928" s="2" t="s">
        <v>1611</v>
      </c>
      <c r="N928" s="2" t="s">
        <v>1612</v>
      </c>
      <c r="O928" s="18">
        <v>43893</v>
      </c>
    </row>
    <row r="929" spans="1:19" hidden="1" outlineLevel="1">
      <c r="A929" s="1">
        <v>7</v>
      </c>
      <c r="F929" s="22">
        <v>866795035291382</v>
      </c>
      <c r="M929" s="2" t="s">
        <v>1613</v>
      </c>
      <c r="N929" s="2" t="s">
        <v>1612</v>
      </c>
      <c r="O929" s="18">
        <v>43893</v>
      </c>
    </row>
    <row r="930" spans="1:19" hidden="1" outlineLevel="1">
      <c r="A930" s="1">
        <v>8</v>
      </c>
      <c r="F930" s="22">
        <v>866795035202082</v>
      </c>
      <c r="M930" s="2" t="s">
        <v>1614</v>
      </c>
      <c r="N930" s="2" t="s">
        <v>1615</v>
      </c>
      <c r="O930" s="18">
        <v>43901</v>
      </c>
    </row>
    <row r="931" spans="1:19" hidden="1" outlineLevel="1">
      <c r="A931" s="1">
        <v>9</v>
      </c>
      <c r="F931" s="22">
        <v>866795035302841</v>
      </c>
      <c r="M931" s="2" t="s">
        <v>1229</v>
      </c>
      <c r="N931" s="2" t="s">
        <v>836</v>
      </c>
      <c r="O931" s="18" t="s">
        <v>836</v>
      </c>
    </row>
    <row r="932" spans="1:19" hidden="1" outlineLevel="1">
      <c r="A932" s="1">
        <v>10</v>
      </c>
      <c r="F932" s="22">
        <v>866795035282167</v>
      </c>
      <c r="M932" s="2" t="s">
        <v>1616</v>
      </c>
      <c r="N932" s="2" t="s">
        <v>1612</v>
      </c>
      <c r="O932" s="18">
        <v>43893</v>
      </c>
    </row>
    <row r="933" spans="1:19" hidden="1" outlineLevel="1">
      <c r="A933" s="1">
        <v>11</v>
      </c>
      <c r="E933" s="1" t="s">
        <v>599</v>
      </c>
      <c r="F933" s="22">
        <v>866795036156139</v>
      </c>
      <c r="M933" s="2" t="s">
        <v>1617</v>
      </c>
      <c r="N933" s="2" t="s">
        <v>1618</v>
      </c>
      <c r="O933" s="18">
        <v>43901</v>
      </c>
    </row>
    <row r="934" spans="1:19" hidden="1" outlineLevel="1">
      <c r="A934" s="1">
        <v>12</v>
      </c>
      <c r="F934" s="22">
        <v>866795036158341</v>
      </c>
      <c r="M934" s="2">
        <v>866795036158341</v>
      </c>
      <c r="N934" s="2" t="s">
        <v>836</v>
      </c>
      <c r="O934" s="18" t="s">
        <v>836</v>
      </c>
    </row>
    <row r="935" spans="1:19" hidden="1" outlineLevel="1">
      <c r="A935" s="1">
        <v>13</v>
      </c>
      <c r="F935" s="22">
        <v>866795036158515</v>
      </c>
      <c r="M935" s="2" t="s">
        <v>1619</v>
      </c>
      <c r="N935" s="2" t="s">
        <v>1620</v>
      </c>
      <c r="O935" s="18">
        <v>43918</v>
      </c>
    </row>
    <row r="936" spans="1:19" hidden="1" outlineLevel="1">
      <c r="A936" s="1">
        <v>14</v>
      </c>
      <c r="F936" s="22">
        <v>866795036122560</v>
      </c>
      <c r="M936" s="2" t="s">
        <v>1621</v>
      </c>
      <c r="N936" s="2" t="s">
        <v>1487</v>
      </c>
      <c r="O936" s="18" t="s">
        <v>836</v>
      </c>
    </row>
    <row r="937" spans="1:19" hidden="1" outlineLevel="1">
      <c r="A937" s="1">
        <v>15</v>
      </c>
      <c r="F937" s="22">
        <v>866795036059515</v>
      </c>
      <c r="M937" s="2" t="s">
        <v>1622</v>
      </c>
      <c r="N937" s="2" t="s">
        <v>1623</v>
      </c>
      <c r="O937" s="18">
        <v>43889</v>
      </c>
    </row>
    <row r="938" spans="1:19" hidden="1" outlineLevel="1">
      <c r="A938" s="8"/>
      <c r="B938" s="58"/>
      <c r="C938" s="159"/>
      <c r="D938" s="8"/>
      <c r="E938" s="8"/>
      <c r="F938" s="9"/>
      <c r="G938" s="8"/>
      <c r="H938" s="8"/>
      <c r="I938" s="8"/>
      <c r="J938" s="58"/>
      <c r="K938" s="8"/>
      <c r="L938" s="58"/>
      <c r="M938" s="8"/>
      <c r="N938" s="8"/>
      <c r="O938" s="58"/>
      <c r="P938" s="8"/>
      <c r="Q938" s="8"/>
      <c r="R938" s="8"/>
      <c r="S938" s="8"/>
    </row>
    <row r="939" spans="1:19" hidden="1" outlineLevel="1">
      <c r="A939" s="1">
        <v>1</v>
      </c>
      <c r="B939" s="11">
        <v>43893</v>
      </c>
      <c r="E939" s="1" t="s">
        <v>598</v>
      </c>
      <c r="F939" s="22">
        <v>866795036255873</v>
      </c>
      <c r="M939" s="2" t="s">
        <v>1624</v>
      </c>
      <c r="N939" s="2" t="s">
        <v>910</v>
      </c>
      <c r="O939" s="18">
        <v>43893</v>
      </c>
    </row>
    <row r="940" spans="1:19" hidden="1" outlineLevel="1">
      <c r="A940" s="1">
        <v>2</v>
      </c>
      <c r="F940" s="22">
        <v>866795036254017</v>
      </c>
      <c r="M940" s="2">
        <v>866795036254017</v>
      </c>
      <c r="N940" s="2" t="s">
        <v>1625</v>
      </c>
      <c r="O940" s="18" t="s">
        <v>836</v>
      </c>
    </row>
    <row r="941" spans="1:19" hidden="1" outlineLevel="1">
      <c r="A941" s="1">
        <v>3</v>
      </c>
      <c r="F941" s="22">
        <v>866795036132775</v>
      </c>
      <c r="M941" s="2" t="s">
        <v>1626</v>
      </c>
      <c r="N941" s="2" t="s">
        <v>1163</v>
      </c>
      <c r="O941" s="18" t="s">
        <v>836</v>
      </c>
    </row>
    <row r="942" spans="1:19" hidden="1" outlineLevel="1">
      <c r="A942" s="1">
        <v>4</v>
      </c>
      <c r="F942" s="22">
        <v>866795036143228</v>
      </c>
      <c r="M942" s="2" t="s">
        <v>1627</v>
      </c>
      <c r="N942" s="2" t="s">
        <v>1628</v>
      </c>
      <c r="O942" s="18">
        <v>43902</v>
      </c>
    </row>
    <row r="943" spans="1:19" hidden="1" outlineLevel="1">
      <c r="A943" s="1">
        <v>5</v>
      </c>
      <c r="F943" s="22">
        <v>866795036182903</v>
      </c>
      <c r="M943" s="2" t="s">
        <v>1629</v>
      </c>
      <c r="N943" s="2" t="s">
        <v>852</v>
      </c>
      <c r="O943" s="18">
        <v>43958</v>
      </c>
    </row>
    <row r="944" spans="1:19" hidden="1" outlineLevel="1">
      <c r="A944" s="1">
        <v>6</v>
      </c>
      <c r="F944" s="22">
        <v>866795036168894</v>
      </c>
      <c r="M944" s="2" t="s">
        <v>1630</v>
      </c>
      <c r="N944" s="2" t="s">
        <v>1110</v>
      </c>
      <c r="O944" s="18" t="s">
        <v>836</v>
      </c>
    </row>
    <row r="945" spans="1:19" hidden="1" outlineLevel="1">
      <c r="A945" s="1">
        <v>7</v>
      </c>
      <c r="F945" s="22">
        <v>866795036236550</v>
      </c>
      <c r="M945" s="2" t="s">
        <v>1631</v>
      </c>
      <c r="N945" s="2" t="s">
        <v>1632</v>
      </c>
      <c r="O945" s="18">
        <v>43907</v>
      </c>
    </row>
    <row r="946" spans="1:19" hidden="1" outlineLevel="1">
      <c r="A946" s="1">
        <v>8</v>
      </c>
      <c r="F946" s="22">
        <v>866795036131926</v>
      </c>
      <c r="M946" s="2" t="s">
        <v>1633</v>
      </c>
      <c r="N946" s="2" t="s">
        <v>1232</v>
      </c>
      <c r="O946" s="18" t="s">
        <v>836</v>
      </c>
    </row>
    <row r="947" spans="1:19" hidden="1" outlineLevel="1">
      <c r="A947" s="1">
        <v>9</v>
      </c>
      <c r="F947" s="22">
        <v>866795036080065</v>
      </c>
      <c r="M947" s="2" t="s">
        <v>1634</v>
      </c>
      <c r="N947" s="2" t="s">
        <v>852</v>
      </c>
      <c r="O947" s="18">
        <v>43951</v>
      </c>
    </row>
    <row r="948" spans="1:19" hidden="1" outlineLevel="1">
      <c r="A948" s="1">
        <v>10</v>
      </c>
      <c r="F948" s="22">
        <v>866795036120713</v>
      </c>
      <c r="M948" s="2" t="s">
        <v>1635</v>
      </c>
      <c r="N948" s="2" t="s">
        <v>860</v>
      </c>
      <c r="O948" s="18">
        <v>43894</v>
      </c>
    </row>
    <row r="949" spans="1:19" hidden="1" outlineLevel="1">
      <c r="A949" s="1">
        <v>11</v>
      </c>
      <c r="E949" s="1" t="s">
        <v>270</v>
      </c>
      <c r="F949" s="22">
        <v>866795035907748</v>
      </c>
      <c r="M949" s="2" t="s">
        <v>1229</v>
      </c>
      <c r="N949" s="2" t="s">
        <v>836</v>
      </c>
      <c r="O949" s="18" t="s">
        <v>836</v>
      </c>
    </row>
    <row r="950" spans="1:19" hidden="1" outlineLevel="1">
      <c r="A950" s="1">
        <v>12</v>
      </c>
      <c r="F950" s="22">
        <v>866795035907730</v>
      </c>
      <c r="M950" s="2" t="s">
        <v>1229</v>
      </c>
      <c r="N950" s="2" t="s">
        <v>836</v>
      </c>
      <c r="O950" s="18" t="s">
        <v>836</v>
      </c>
    </row>
    <row r="951" spans="1:19" hidden="1" outlineLevel="1">
      <c r="A951" s="1">
        <v>13</v>
      </c>
      <c r="E951" s="1" t="s">
        <v>607</v>
      </c>
      <c r="F951" s="22">
        <v>352353086200737</v>
      </c>
      <c r="M951" s="2" t="s">
        <v>1636</v>
      </c>
      <c r="N951" s="2" t="s">
        <v>1637</v>
      </c>
      <c r="O951" s="18">
        <v>43895</v>
      </c>
    </row>
    <row r="952" spans="1:19" hidden="1" outlineLevel="1">
      <c r="A952" s="8"/>
      <c r="B952" s="58"/>
      <c r="C952" s="159"/>
      <c r="D952" s="8"/>
      <c r="E952" s="8"/>
      <c r="F952" s="9"/>
      <c r="G952" s="8"/>
      <c r="H952" s="8"/>
      <c r="I952" s="8"/>
      <c r="J952" s="58"/>
      <c r="K952" s="8"/>
      <c r="L952" s="58"/>
      <c r="M952" s="8"/>
      <c r="N952" s="8"/>
      <c r="O952" s="58"/>
      <c r="P952" s="8"/>
      <c r="Q952" s="8"/>
      <c r="R952" s="8"/>
      <c r="S952" s="8"/>
    </row>
    <row r="953" spans="1:19" hidden="1" outlineLevel="1">
      <c r="A953" s="1">
        <v>1</v>
      </c>
      <c r="B953" s="11">
        <v>43896</v>
      </c>
      <c r="C953" s="160">
        <v>812</v>
      </c>
      <c r="E953" s="1" t="s">
        <v>149</v>
      </c>
      <c r="F953" s="22">
        <v>866795035211546</v>
      </c>
      <c r="M953" s="2" t="s">
        <v>1229</v>
      </c>
    </row>
    <row r="954" spans="1:19" hidden="1" outlineLevel="1">
      <c r="A954" s="1">
        <v>2</v>
      </c>
      <c r="F954" s="22">
        <v>866799035264530</v>
      </c>
      <c r="M954" s="2" t="s">
        <v>1229</v>
      </c>
      <c r="N954" s="2" t="s">
        <v>836</v>
      </c>
      <c r="O954" s="18" t="s">
        <v>836</v>
      </c>
    </row>
    <row r="955" spans="1:19" hidden="1" outlineLevel="1">
      <c r="A955" s="1">
        <v>3</v>
      </c>
      <c r="F955" s="22">
        <v>866795035219532</v>
      </c>
      <c r="M955" s="2" t="s">
        <v>1229</v>
      </c>
      <c r="N955" s="2" t="s">
        <v>836</v>
      </c>
      <c r="O955" s="18" t="s">
        <v>836</v>
      </c>
    </row>
    <row r="956" spans="1:19" hidden="1" outlineLevel="1">
      <c r="A956" s="1">
        <v>4</v>
      </c>
      <c r="F956" s="22">
        <v>866795035191665</v>
      </c>
      <c r="M956" s="2" t="s">
        <v>1229</v>
      </c>
      <c r="N956" s="2" t="s">
        <v>836</v>
      </c>
      <c r="O956" s="18" t="s">
        <v>836</v>
      </c>
    </row>
    <row r="957" spans="1:19" hidden="1" outlineLevel="1">
      <c r="A957" s="1">
        <v>5</v>
      </c>
      <c r="F957" s="22">
        <v>866795035247756</v>
      </c>
      <c r="M957" s="2" t="s">
        <v>1229</v>
      </c>
      <c r="N957" s="2" t="s">
        <v>836</v>
      </c>
      <c r="O957" s="18" t="s">
        <v>836</v>
      </c>
    </row>
    <row r="958" spans="1:19" hidden="1" outlineLevel="1">
      <c r="A958" s="1">
        <v>6</v>
      </c>
      <c r="F958" s="22">
        <v>866795036200952</v>
      </c>
      <c r="M958" s="2" t="s">
        <v>1229</v>
      </c>
      <c r="N958" s="2" t="s">
        <v>836</v>
      </c>
      <c r="O958" s="18" t="s">
        <v>836</v>
      </c>
    </row>
    <row r="959" spans="1:19" hidden="1" outlineLevel="1">
      <c r="A959" s="1">
        <v>7</v>
      </c>
      <c r="F959" s="22">
        <v>866795036096822</v>
      </c>
      <c r="M959" s="2" t="s">
        <v>1638</v>
      </c>
      <c r="N959" s="2" t="s">
        <v>1639</v>
      </c>
      <c r="O959" s="18">
        <v>43875</v>
      </c>
    </row>
    <row r="960" spans="1:19" hidden="1" outlineLevel="1">
      <c r="A960" s="1">
        <v>8</v>
      </c>
      <c r="F960" s="22">
        <v>866795036159794</v>
      </c>
      <c r="M960" s="2" t="s">
        <v>1229</v>
      </c>
      <c r="N960" s="2" t="s">
        <v>836</v>
      </c>
      <c r="O960" s="18" t="s">
        <v>836</v>
      </c>
    </row>
    <row r="961" spans="1:15" hidden="1" outlineLevel="1">
      <c r="A961" s="1">
        <v>9</v>
      </c>
      <c r="F961" s="22">
        <v>866795036180402</v>
      </c>
      <c r="M961" s="2" t="s">
        <v>1229</v>
      </c>
      <c r="N961" s="2" t="s">
        <v>836</v>
      </c>
      <c r="O961" s="18" t="s">
        <v>836</v>
      </c>
    </row>
    <row r="962" spans="1:15" hidden="1" outlineLevel="1">
      <c r="A962" s="1">
        <v>10</v>
      </c>
      <c r="F962" s="22">
        <v>866795036120507</v>
      </c>
      <c r="M962" s="2" t="s">
        <v>1640</v>
      </c>
      <c r="N962" s="2" t="s">
        <v>860</v>
      </c>
      <c r="O962" s="18">
        <v>43907</v>
      </c>
    </row>
    <row r="963" spans="1:15" hidden="1" outlineLevel="1">
      <c r="A963" s="1">
        <v>11</v>
      </c>
      <c r="F963" s="22">
        <v>866795036232617</v>
      </c>
      <c r="M963" s="2" t="s">
        <v>1641</v>
      </c>
      <c r="N963" s="2" t="s">
        <v>860</v>
      </c>
      <c r="O963" s="18">
        <v>43907</v>
      </c>
    </row>
    <row r="964" spans="1:15" hidden="1" outlineLevel="1">
      <c r="A964" s="1">
        <v>12</v>
      </c>
      <c r="F964" s="22">
        <v>866795036124996</v>
      </c>
      <c r="M964" s="2" t="s">
        <v>1229</v>
      </c>
      <c r="N964" s="2" t="s">
        <v>836</v>
      </c>
      <c r="O964" s="18" t="s">
        <v>836</v>
      </c>
    </row>
    <row r="965" spans="1:15" hidden="1" outlineLevel="1">
      <c r="A965" s="1">
        <v>13</v>
      </c>
      <c r="F965" s="22">
        <v>866795036168795</v>
      </c>
      <c r="M965" s="2" t="s">
        <v>1229</v>
      </c>
      <c r="N965" s="2" t="s">
        <v>836</v>
      </c>
      <c r="O965" s="18" t="s">
        <v>836</v>
      </c>
    </row>
    <row r="966" spans="1:15" hidden="1" outlineLevel="1">
      <c r="A966" s="1">
        <v>14</v>
      </c>
      <c r="F966" s="22">
        <v>866795036224671</v>
      </c>
      <c r="M966" s="2" t="s">
        <v>1229</v>
      </c>
      <c r="N966" s="2" t="s">
        <v>836</v>
      </c>
      <c r="O966" s="18" t="s">
        <v>836</v>
      </c>
    </row>
    <row r="967" spans="1:15" hidden="1" outlineLevel="1">
      <c r="A967" s="1">
        <v>15</v>
      </c>
      <c r="F967" s="22">
        <v>866795036180436</v>
      </c>
      <c r="M967" s="2" t="s">
        <v>1229</v>
      </c>
      <c r="N967" s="2" t="s">
        <v>836</v>
      </c>
      <c r="O967" s="18" t="s">
        <v>836</v>
      </c>
    </row>
    <row r="968" spans="1:15" hidden="1" outlineLevel="1">
      <c r="A968" s="1">
        <v>16</v>
      </c>
      <c r="F968" s="22">
        <v>866795036064606</v>
      </c>
      <c r="M968" s="2" t="s">
        <v>1229</v>
      </c>
      <c r="N968" s="2" t="s">
        <v>836</v>
      </c>
      <c r="O968" s="18" t="s">
        <v>836</v>
      </c>
    </row>
    <row r="969" spans="1:15" hidden="1" outlineLevel="1">
      <c r="A969" s="1">
        <v>17</v>
      </c>
      <c r="F969" s="22">
        <v>866795036153599</v>
      </c>
      <c r="M969" s="2" t="s">
        <v>1642</v>
      </c>
      <c r="N969" s="2" t="s">
        <v>1643</v>
      </c>
      <c r="O969" s="18">
        <v>43928</v>
      </c>
    </row>
    <row r="970" spans="1:15" hidden="1" outlineLevel="1">
      <c r="A970" s="1">
        <v>18</v>
      </c>
      <c r="F970" s="22">
        <v>866795036157178</v>
      </c>
      <c r="M970" s="2" t="s">
        <v>1644</v>
      </c>
      <c r="N970" s="2" t="s">
        <v>942</v>
      </c>
      <c r="O970" s="18">
        <v>43909</v>
      </c>
    </row>
    <row r="971" spans="1:15" hidden="1" outlineLevel="1">
      <c r="A971" s="1">
        <v>19</v>
      </c>
      <c r="F971" s="22">
        <v>866795036181574</v>
      </c>
      <c r="M971" s="2" t="s">
        <v>1645</v>
      </c>
      <c r="N971" s="2" t="s">
        <v>942</v>
      </c>
      <c r="O971" s="18">
        <v>43908</v>
      </c>
    </row>
    <row r="972" spans="1:15" hidden="1" outlineLevel="1">
      <c r="A972" s="1">
        <v>20</v>
      </c>
      <c r="F972" s="22">
        <v>866795036158275</v>
      </c>
      <c r="M972" s="2" t="s">
        <v>1229</v>
      </c>
      <c r="N972" s="2" t="s">
        <v>836</v>
      </c>
      <c r="O972" s="18" t="s">
        <v>836</v>
      </c>
    </row>
    <row r="973" spans="1:15" hidden="1" outlineLevel="1">
      <c r="A973" s="1">
        <v>21</v>
      </c>
      <c r="F973" s="22">
        <v>866795036051140</v>
      </c>
      <c r="M973" s="2" t="s">
        <v>1229</v>
      </c>
    </row>
    <row r="974" spans="1:15" hidden="1" outlineLevel="1">
      <c r="A974" s="1">
        <v>22</v>
      </c>
      <c r="F974" s="22">
        <v>866795036041620</v>
      </c>
      <c r="M974" s="2" t="s">
        <v>1229</v>
      </c>
      <c r="N974" s="2" t="s">
        <v>836</v>
      </c>
      <c r="O974" s="18" t="s">
        <v>836</v>
      </c>
    </row>
    <row r="975" spans="1:15" hidden="1" outlineLevel="1">
      <c r="A975" s="1">
        <v>23</v>
      </c>
      <c r="F975" s="22">
        <v>866795036181681</v>
      </c>
      <c r="M975" s="2" t="s">
        <v>1229</v>
      </c>
      <c r="N975" s="2" t="s">
        <v>836</v>
      </c>
      <c r="O975" s="18" t="s">
        <v>836</v>
      </c>
    </row>
    <row r="976" spans="1:15" hidden="1" outlineLevel="1">
      <c r="A976" s="1">
        <v>24</v>
      </c>
      <c r="F976" s="22">
        <v>866795036139184</v>
      </c>
      <c r="M976" s="2" t="s">
        <v>1229</v>
      </c>
      <c r="N976" s="2" t="s">
        <v>836</v>
      </c>
      <c r="O976" s="18" t="s">
        <v>836</v>
      </c>
    </row>
    <row r="977" spans="1:15" hidden="1" outlineLevel="1">
      <c r="A977" s="1">
        <v>25</v>
      </c>
      <c r="F977" s="22">
        <v>866795036064598</v>
      </c>
      <c r="M977" s="2" t="s">
        <v>1229</v>
      </c>
      <c r="N977" s="2" t="s">
        <v>836</v>
      </c>
      <c r="O977" s="18" t="s">
        <v>836</v>
      </c>
    </row>
    <row r="978" spans="1:15" hidden="1" outlineLevel="1">
      <c r="A978" s="1">
        <v>26</v>
      </c>
      <c r="F978" s="22">
        <v>866795036142998</v>
      </c>
      <c r="M978" s="2" t="s">
        <v>1646</v>
      </c>
      <c r="N978" s="2" t="s">
        <v>942</v>
      </c>
      <c r="O978" s="18">
        <v>43910</v>
      </c>
    </row>
    <row r="979" spans="1:15" hidden="1" outlineLevel="1">
      <c r="A979" s="1">
        <v>27</v>
      </c>
      <c r="F979" s="22">
        <v>866795036143251</v>
      </c>
      <c r="M979" s="2" t="s">
        <v>1647</v>
      </c>
      <c r="N979" s="2" t="s">
        <v>942</v>
      </c>
      <c r="O979" s="18">
        <v>43908</v>
      </c>
    </row>
    <row r="980" spans="1:15" hidden="1" outlineLevel="1">
      <c r="A980" s="1">
        <v>28</v>
      </c>
      <c r="F980" s="22">
        <v>866795036124970</v>
      </c>
      <c r="M980" s="2" t="s">
        <v>1229</v>
      </c>
      <c r="N980" s="2" t="s">
        <v>836</v>
      </c>
      <c r="O980" s="18" t="s">
        <v>836</v>
      </c>
    </row>
    <row r="981" spans="1:15" hidden="1" outlineLevel="1">
      <c r="A981" s="1">
        <v>29</v>
      </c>
      <c r="F981" s="22">
        <v>866795036181475</v>
      </c>
      <c r="M981" s="2" t="s">
        <v>1648</v>
      </c>
      <c r="N981" s="2" t="s">
        <v>1649</v>
      </c>
      <c r="O981" s="18">
        <v>43902</v>
      </c>
    </row>
    <row r="982" spans="1:15" hidden="1" outlineLevel="1">
      <c r="A982" s="1">
        <v>30</v>
      </c>
      <c r="F982" s="22">
        <v>866795036184024</v>
      </c>
      <c r="M982" s="2" t="s">
        <v>1650</v>
      </c>
      <c r="N982" s="2" t="s">
        <v>1649</v>
      </c>
      <c r="O982" s="18">
        <v>43901</v>
      </c>
    </row>
    <row r="983" spans="1:15" hidden="1" outlineLevel="1">
      <c r="A983" s="1">
        <v>31</v>
      </c>
      <c r="F983" s="22">
        <v>866795036184198</v>
      </c>
      <c r="M983" s="2" t="s">
        <v>1651</v>
      </c>
      <c r="N983" s="2" t="s">
        <v>1649</v>
      </c>
      <c r="O983" s="18">
        <v>43900</v>
      </c>
    </row>
    <row r="984" spans="1:15" hidden="1" outlineLevel="1">
      <c r="A984" s="1">
        <v>32</v>
      </c>
      <c r="F984" s="22">
        <v>866795036181244</v>
      </c>
      <c r="M984" s="2" t="s">
        <v>1652</v>
      </c>
      <c r="N984" s="2" t="s">
        <v>1649</v>
      </c>
      <c r="O984" s="18">
        <v>43901</v>
      </c>
    </row>
    <row r="985" spans="1:15" hidden="1" outlineLevel="1">
      <c r="A985" s="1">
        <v>33</v>
      </c>
      <c r="F985" s="22">
        <v>866795036041638</v>
      </c>
      <c r="M985" s="2" t="s">
        <v>1653</v>
      </c>
      <c r="N985" s="2" t="s">
        <v>1649</v>
      </c>
      <c r="O985" s="18">
        <v>43910</v>
      </c>
    </row>
    <row r="986" spans="1:15" hidden="1" outlineLevel="1">
      <c r="A986" s="1">
        <v>34</v>
      </c>
      <c r="F986" s="22">
        <v>866795036061834</v>
      </c>
      <c r="M986" s="2" t="s">
        <v>1654</v>
      </c>
      <c r="N986" s="2" t="s">
        <v>1649</v>
      </c>
      <c r="O986" s="18">
        <v>43902</v>
      </c>
    </row>
    <row r="987" spans="1:15" hidden="1" outlineLevel="1">
      <c r="A987" s="1">
        <v>35</v>
      </c>
      <c r="F987" s="22">
        <v>866795036224473</v>
      </c>
      <c r="M987" s="2" t="s">
        <v>1655</v>
      </c>
      <c r="N987" s="2" t="s">
        <v>836</v>
      </c>
      <c r="O987" s="18" t="s">
        <v>836</v>
      </c>
    </row>
    <row r="988" spans="1:15" hidden="1" outlineLevel="1">
      <c r="A988" s="1">
        <v>36</v>
      </c>
      <c r="F988" s="22">
        <v>866795035268422</v>
      </c>
      <c r="M988" s="2" t="s">
        <v>1656</v>
      </c>
      <c r="N988" s="2" t="s">
        <v>1649</v>
      </c>
      <c r="O988" s="18">
        <v>43906</v>
      </c>
    </row>
    <row r="989" spans="1:15" hidden="1" outlineLevel="1">
      <c r="A989" s="1">
        <v>37</v>
      </c>
      <c r="F989" s="22">
        <v>866795035246626</v>
      </c>
      <c r="M989" s="2" t="s">
        <v>1657</v>
      </c>
      <c r="N989" s="2" t="s">
        <v>1649</v>
      </c>
      <c r="O989" s="18">
        <v>43901</v>
      </c>
    </row>
    <row r="990" spans="1:15" hidden="1" outlineLevel="1">
      <c r="A990" s="1">
        <v>38</v>
      </c>
      <c r="F990" s="22">
        <v>866795035303310</v>
      </c>
      <c r="M990" s="2" t="s">
        <v>1658</v>
      </c>
      <c r="N990" s="2" t="s">
        <v>1649</v>
      </c>
      <c r="O990" s="18">
        <v>43900</v>
      </c>
    </row>
    <row r="991" spans="1:15" hidden="1" outlineLevel="1">
      <c r="A991" s="1">
        <v>39</v>
      </c>
      <c r="F991" s="22">
        <v>866795035190576</v>
      </c>
      <c r="M991" s="2" t="s">
        <v>1659</v>
      </c>
      <c r="N991" s="2" t="s">
        <v>1649</v>
      </c>
      <c r="O991" s="18">
        <v>43902</v>
      </c>
    </row>
    <row r="992" spans="1:15" hidden="1" outlineLevel="1">
      <c r="A992" s="1">
        <v>40</v>
      </c>
      <c r="F992" s="22">
        <v>86679503302080</v>
      </c>
      <c r="M992" s="2" t="s">
        <v>1229</v>
      </c>
      <c r="N992" s="2" t="s">
        <v>836</v>
      </c>
      <c r="O992" s="18" t="s">
        <v>836</v>
      </c>
    </row>
    <row r="993" spans="1:19" hidden="1" outlineLevel="1">
      <c r="A993" s="8"/>
      <c r="B993" s="58"/>
      <c r="C993" s="159"/>
      <c r="D993" s="8"/>
      <c r="E993" s="8"/>
      <c r="F993" s="9"/>
      <c r="G993" s="8"/>
      <c r="H993" s="8"/>
      <c r="I993" s="8"/>
      <c r="J993" s="58"/>
      <c r="K993" s="8"/>
      <c r="L993" s="58"/>
      <c r="M993" s="8"/>
      <c r="N993" s="8"/>
      <c r="O993" s="58"/>
      <c r="P993" s="8"/>
      <c r="Q993" s="8"/>
      <c r="R993" s="8"/>
      <c r="S993" s="8"/>
    </row>
    <row r="994" spans="1:19" hidden="1" outlineLevel="1">
      <c r="A994" s="1">
        <v>1</v>
      </c>
      <c r="B994" s="11">
        <v>43907</v>
      </c>
      <c r="C994" s="160">
        <v>1023</v>
      </c>
      <c r="E994" s="1" t="s">
        <v>149</v>
      </c>
      <c r="F994" s="22">
        <v>866795036238077</v>
      </c>
      <c r="M994" s="2" t="s">
        <v>1229</v>
      </c>
      <c r="N994" s="2" t="s">
        <v>836</v>
      </c>
      <c r="O994" s="18" t="s">
        <v>836</v>
      </c>
    </row>
    <row r="995" spans="1:19" hidden="1" outlineLevel="1">
      <c r="A995" s="1">
        <v>2</v>
      </c>
      <c r="F995" s="22">
        <v>866795036229829</v>
      </c>
      <c r="M995" s="2" t="s">
        <v>1229</v>
      </c>
      <c r="N995" s="2" t="s">
        <v>836</v>
      </c>
      <c r="O995" s="18" t="s">
        <v>836</v>
      </c>
    </row>
    <row r="996" spans="1:19" hidden="1" outlineLevel="1">
      <c r="A996" s="1">
        <v>3</v>
      </c>
      <c r="F996" s="22">
        <v>866795036160891</v>
      </c>
      <c r="M996" s="2" t="s">
        <v>1660</v>
      </c>
      <c r="N996" s="2" t="s">
        <v>863</v>
      </c>
    </row>
    <row r="997" spans="1:19" hidden="1" outlineLevel="1">
      <c r="A997" s="1">
        <v>4</v>
      </c>
      <c r="F997" s="22">
        <v>866795036161501</v>
      </c>
      <c r="M997" s="2">
        <v>866795036161501</v>
      </c>
    </row>
    <row r="998" spans="1:19" hidden="1" outlineLevel="1">
      <c r="A998" s="1">
        <v>5</v>
      </c>
      <c r="F998" s="22">
        <v>866795036049060</v>
      </c>
      <c r="M998" s="2" t="s">
        <v>1661</v>
      </c>
      <c r="N998" s="2" t="s">
        <v>126</v>
      </c>
      <c r="O998" s="18">
        <v>43917</v>
      </c>
    </row>
    <row r="999" spans="1:19" hidden="1" outlineLevel="1">
      <c r="A999" s="1">
        <v>6</v>
      </c>
      <c r="F999" s="22">
        <v>866795036999223</v>
      </c>
      <c r="M999" s="2" t="s">
        <v>1662</v>
      </c>
      <c r="N999" s="2" t="s">
        <v>931</v>
      </c>
      <c r="O999" s="18">
        <v>43915</v>
      </c>
    </row>
    <row r="1000" spans="1:19" hidden="1" outlineLevel="1">
      <c r="A1000" s="1">
        <v>7</v>
      </c>
      <c r="F1000" s="22">
        <v>866795036230629</v>
      </c>
      <c r="M1000" s="2" t="s">
        <v>1663</v>
      </c>
      <c r="N1000" s="2" t="s">
        <v>1639</v>
      </c>
      <c r="O1000" s="18">
        <v>43913</v>
      </c>
    </row>
    <row r="1001" spans="1:19" hidden="1" outlineLevel="1">
      <c r="A1001" s="1">
        <v>8</v>
      </c>
      <c r="F1001" s="22">
        <v>866795036224424</v>
      </c>
      <c r="M1001" s="2" t="s">
        <v>1229</v>
      </c>
      <c r="N1001" s="2" t="s">
        <v>836</v>
      </c>
      <c r="O1001" s="18" t="s">
        <v>836</v>
      </c>
    </row>
    <row r="1002" spans="1:19" hidden="1" outlineLevel="1">
      <c r="A1002" s="1">
        <v>9</v>
      </c>
      <c r="F1002" s="22">
        <v>866795036220174</v>
      </c>
      <c r="M1002" s="2" t="s">
        <v>1664</v>
      </c>
      <c r="N1002" s="2" t="s">
        <v>1418</v>
      </c>
      <c r="O1002" s="18">
        <v>43916</v>
      </c>
    </row>
    <row r="1003" spans="1:19" hidden="1" outlineLevel="1">
      <c r="A1003" s="1">
        <v>10</v>
      </c>
      <c r="F1003" s="22">
        <v>866795036192654</v>
      </c>
      <c r="M1003" s="2" t="s">
        <v>1665</v>
      </c>
      <c r="N1003" s="2" t="s">
        <v>1666</v>
      </c>
      <c r="O1003" s="18">
        <v>43914</v>
      </c>
    </row>
    <row r="1004" spans="1:19" hidden="1" outlineLevel="1">
      <c r="A1004" s="1">
        <v>11</v>
      </c>
      <c r="E1004" s="1" t="s">
        <v>608</v>
      </c>
      <c r="F1004" s="22">
        <v>866795035270808</v>
      </c>
      <c r="M1004" s="2">
        <v>866795035270808</v>
      </c>
      <c r="N1004" s="2" t="s">
        <v>836</v>
      </c>
      <c r="O1004" s="18" t="s">
        <v>836</v>
      </c>
    </row>
    <row r="1005" spans="1:19" hidden="1" outlineLevel="1">
      <c r="A1005" s="1">
        <v>12</v>
      </c>
      <c r="F1005" s="22">
        <v>866795037135975</v>
      </c>
      <c r="M1005" s="2">
        <v>866795037135975</v>
      </c>
      <c r="N1005" s="2" t="s">
        <v>836</v>
      </c>
      <c r="O1005" s="18" t="s">
        <v>836</v>
      </c>
    </row>
    <row r="1006" spans="1:19" hidden="1" outlineLevel="1">
      <c r="A1006" s="1">
        <v>13</v>
      </c>
      <c r="F1006" s="22">
        <v>866795037035555</v>
      </c>
      <c r="M1006" s="2">
        <v>866795037035555</v>
      </c>
      <c r="N1006" s="2" t="s">
        <v>836</v>
      </c>
      <c r="O1006" s="18" t="s">
        <v>836</v>
      </c>
    </row>
    <row r="1007" spans="1:19" hidden="1" outlineLevel="1">
      <c r="A1007" s="1">
        <v>14</v>
      </c>
      <c r="F1007" s="22">
        <v>866795037062575</v>
      </c>
      <c r="M1007" s="2">
        <v>866795037062575</v>
      </c>
      <c r="N1007" s="2" t="s">
        <v>836</v>
      </c>
      <c r="O1007" s="18" t="s">
        <v>836</v>
      </c>
    </row>
    <row r="1008" spans="1:19" hidden="1" outlineLevel="1">
      <c r="A1008" s="1">
        <v>15</v>
      </c>
      <c r="F1008" s="22">
        <v>866795037035100</v>
      </c>
      <c r="M1008" s="2">
        <v>866795037035100</v>
      </c>
      <c r="N1008" s="2" t="s">
        <v>836</v>
      </c>
      <c r="O1008" s="18" t="s">
        <v>836</v>
      </c>
    </row>
    <row r="1009" spans="1:19" hidden="1" outlineLevel="1">
      <c r="A1009" s="8"/>
      <c r="B1009" s="58"/>
      <c r="C1009" s="159"/>
      <c r="D1009" s="8"/>
      <c r="E1009" s="8"/>
      <c r="F1009" s="9"/>
      <c r="G1009" s="8"/>
      <c r="H1009" s="8"/>
      <c r="I1009" s="8"/>
      <c r="J1009" s="58"/>
      <c r="K1009" s="8"/>
      <c r="L1009" s="58"/>
      <c r="M1009" s="8"/>
      <c r="N1009" s="8"/>
      <c r="O1009" s="58"/>
      <c r="P1009" s="8"/>
      <c r="Q1009" s="8"/>
      <c r="R1009" s="8"/>
      <c r="S1009" s="8"/>
    </row>
    <row r="1010" spans="1:19" hidden="1" outlineLevel="1">
      <c r="A1010" s="1">
        <v>1</v>
      </c>
      <c r="B1010" s="11">
        <v>43913</v>
      </c>
      <c r="C1010" s="160">
        <v>1055</v>
      </c>
      <c r="E1010" s="1" t="s">
        <v>608</v>
      </c>
      <c r="F1010" s="22">
        <v>866795036124228</v>
      </c>
      <c r="M1010" s="2" t="s">
        <v>1667</v>
      </c>
      <c r="N1010" s="2" t="s">
        <v>1668</v>
      </c>
      <c r="O1010" s="18">
        <v>43917</v>
      </c>
    </row>
    <row r="1011" spans="1:19" hidden="1" outlineLevel="1">
      <c r="A1011" s="1">
        <v>2</v>
      </c>
      <c r="F1011" s="22">
        <v>866795036122594</v>
      </c>
      <c r="M1011" s="2" t="s">
        <v>1669</v>
      </c>
      <c r="N1011" s="2" t="s">
        <v>1668</v>
      </c>
      <c r="O1011" s="18">
        <v>43917</v>
      </c>
    </row>
    <row r="1012" spans="1:19" hidden="1" outlineLevel="1">
      <c r="A1012" s="1">
        <v>3</v>
      </c>
      <c r="F1012" s="22">
        <v>866795036211538</v>
      </c>
      <c r="M1012" s="2" t="s">
        <v>1670</v>
      </c>
      <c r="N1012" s="2" t="s">
        <v>1668</v>
      </c>
      <c r="O1012" s="18">
        <v>43917</v>
      </c>
    </row>
    <row r="1013" spans="1:19" hidden="1" outlineLevel="1">
      <c r="A1013" s="1">
        <v>4</v>
      </c>
      <c r="F1013" s="22">
        <v>866795036210639</v>
      </c>
      <c r="M1013" s="2" t="s">
        <v>1671</v>
      </c>
      <c r="N1013" s="2" t="s">
        <v>1668</v>
      </c>
      <c r="O1013" s="18">
        <v>43917</v>
      </c>
    </row>
    <row r="1014" spans="1:19" hidden="1" outlineLevel="1">
      <c r="A1014" s="1">
        <v>5</v>
      </c>
      <c r="F1014" s="22">
        <v>866795036122883</v>
      </c>
      <c r="M1014" s="2" t="s">
        <v>1672</v>
      </c>
      <c r="N1014" s="2" t="s">
        <v>1668</v>
      </c>
      <c r="O1014" s="18" t="s">
        <v>836</v>
      </c>
    </row>
    <row r="1015" spans="1:19" hidden="1" outlineLevel="1">
      <c r="A1015" s="1">
        <v>6</v>
      </c>
      <c r="F1015" s="22">
        <v>866795036119202</v>
      </c>
      <c r="M1015" s="2" t="s">
        <v>1673</v>
      </c>
      <c r="N1015" s="2" t="s">
        <v>1668</v>
      </c>
      <c r="O1015" s="18">
        <v>43917</v>
      </c>
    </row>
    <row r="1016" spans="1:19" hidden="1" outlineLevel="1">
      <c r="A1016" s="1">
        <v>7</v>
      </c>
      <c r="F1016" s="22">
        <v>866795036058921</v>
      </c>
      <c r="M1016" s="2" t="s">
        <v>1674</v>
      </c>
      <c r="N1016" s="2" t="s">
        <v>1668</v>
      </c>
      <c r="O1016" s="18">
        <v>43917</v>
      </c>
    </row>
    <row r="1017" spans="1:19" hidden="1" outlineLevel="1">
      <c r="A1017" s="1">
        <v>8</v>
      </c>
      <c r="F1017" s="22">
        <v>866795036177945</v>
      </c>
      <c r="M1017" s="2" t="s">
        <v>1675</v>
      </c>
      <c r="N1017" s="2" t="s">
        <v>1668</v>
      </c>
      <c r="O1017" s="18">
        <v>43917</v>
      </c>
    </row>
    <row r="1018" spans="1:19" hidden="1" outlineLevel="1">
      <c r="A1018" s="1">
        <v>9</v>
      </c>
      <c r="F1018" s="22">
        <v>866795036236865</v>
      </c>
      <c r="M1018" s="2" t="s">
        <v>1676</v>
      </c>
      <c r="N1018" s="2" t="s">
        <v>1668</v>
      </c>
      <c r="O1018" s="18">
        <v>43917</v>
      </c>
    </row>
    <row r="1019" spans="1:19" hidden="1" outlineLevel="1">
      <c r="A1019" s="1">
        <v>10</v>
      </c>
      <c r="F1019" s="22">
        <v>866795036117859</v>
      </c>
      <c r="M1019" s="2" t="s">
        <v>1677</v>
      </c>
      <c r="N1019" s="2" t="s">
        <v>1668</v>
      </c>
      <c r="O1019" s="18">
        <v>43917</v>
      </c>
    </row>
    <row r="1020" spans="1:19" hidden="1" outlineLevel="1">
      <c r="A1020" s="1">
        <v>11</v>
      </c>
      <c r="F1020" s="22">
        <v>866795036127288</v>
      </c>
      <c r="M1020" s="2">
        <v>866795036127288</v>
      </c>
      <c r="N1020" s="2" t="s">
        <v>836</v>
      </c>
      <c r="O1020" s="18" t="s">
        <v>836</v>
      </c>
    </row>
    <row r="1021" spans="1:19" hidden="1" outlineLevel="1">
      <c r="A1021" s="1">
        <v>12</v>
      </c>
      <c r="F1021" s="22">
        <v>866795037116355</v>
      </c>
      <c r="M1021" s="2" t="s">
        <v>1678</v>
      </c>
      <c r="N1021" s="2" t="s">
        <v>1668</v>
      </c>
      <c r="O1021" s="18">
        <v>43917</v>
      </c>
    </row>
    <row r="1022" spans="1:19" hidden="1" outlineLevel="1">
      <c r="A1022" s="1">
        <v>13</v>
      </c>
      <c r="F1022" s="22">
        <v>866795036124731</v>
      </c>
      <c r="M1022" s="2" t="s">
        <v>1679</v>
      </c>
      <c r="N1022" s="2" t="s">
        <v>1668</v>
      </c>
      <c r="O1022" s="18">
        <v>43917</v>
      </c>
    </row>
    <row r="1023" spans="1:19" hidden="1" outlineLevel="1">
      <c r="A1023" s="1">
        <v>14</v>
      </c>
      <c r="F1023" s="22">
        <v>866795036159240</v>
      </c>
      <c r="M1023" s="2">
        <v>866795036159240</v>
      </c>
      <c r="N1023" s="2" t="s">
        <v>836</v>
      </c>
      <c r="O1023" s="18" t="s">
        <v>836</v>
      </c>
    </row>
    <row r="1024" spans="1:19" hidden="1" outlineLevel="1">
      <c r="A1024" s="1">
        <v>15</v>
      </c>
      <c r="F1024" s="22">
        <v>866795036164752</v>
      </c>
      <c r="M1024" s="2" t="s">
        <v>1680</v>
      </c>
      <c r="N1024" s="2" t="s">
        <v>1681</v>
      </c>
      <c r="O1024" s="18">
        <v>43918</v>
      </c>
    </row>
    <row r="1025" spans="1:19" hidden="1" outlineLevel="1">
      <c r="A1025" s="1">
        <v>16</v>
      </c>
      <c r="F1025" s="22">
        <v>866795037035217</v>
      </c>
      <c r="M1025" s="2" t="s">
        <v>1682</v>
      </c>
      <c r="N1025" s="2" t="s">
        <v>1668</v>
      </c>
      <c r="O1025" s="18">
        <v>43917</v>
      </c>
    </row>
    <row r="1026" spans="1:19" hidden="1" outlineLevel="1">
      <c r="A1026" s="1">
        <v>17</v>
      </c>
      <c r="F1026" s="22">
        <v>866795036124822</v>
      </c>
      <c r="M1026" s="2" t="s">
        <v>1683</v>
      </c>
      <c r="N1026" s="2" t="s">
        <v>1668</v>
      </c>
      <c r="O1026" s="18">
        <v>43917</v>
      </c>
    </row>
    <row r="1027" spans="1:19" hidden="1" outlineLevel="1">
      <c r="A1027" s="1">
        <v>18</v>
      </c>
      <c r="F1027" s="22">
        <v>866795035191871</v>
      </c>
      <c r="M1027" s="2">
        <v>866795035191871</v>
      </c>
      <c r="N1027" s="2" t="s">
        <v>836</v>
      </c>
      <c r="O1027" s="18" t="s">
        <v>836</v>
      </c>
    </row>
    <row r="1028" spans="1:19" hidden="1" outlineLevel="1">
      <c r="A1028" s="1">
        <v>19</v>
      </c>
      <c r="F1028" s="22">
        <v>866795035272291</v>
      </c>
      <c r="M1028" s="2">
        <v>866795035272291</v>
      </c>
      <c r="N1028" s="2" t="s">
        <v>836</v>
      </c>
      <c r="O1028" s="18" t="s">
        <v>836</v>
      </c>
    </row>
    <row r="1029" spans="1:19" hidden="1" outlineLevel="1">
      <c r="A1029" s="1">
        <v>20</v>
      </c>
      <c r="F1029" s="22">
        <v>866795037133343</v>
      </c>
      <c r="M1029" s="2">
        <v>866795037133343</v>
      </c>
      <c r="N1029" s="2" t="s">
        <v>836</v>
      </c>
      <c r="O1029" s="18" t="s">
        <v>836</v>
      </c>
    </row>
    <row r="1030" spans="1:19" hidden="1" outlineLevel="1">
      <c r="A1030" s="8"/>
      <c r="B1030" s="58"/>
      <c r="C1030" s="159"/>
      <c r="D1030" s="8"/>
      <c r="E1030" s="8"/>
      <c r="F1030" s="9"/>
      <c r="G1030" s="8"/>
      <c r="H1030" s="8"/>
      <c r="I1030" s="8"/>
      <c r="J1030" s="58"/>
      <c r="K1030" s="8"/>
      <c r="L1030" s="58"/>
      <c r="M1030" s="8"/>
      <c r="N1030" s="8"/>
      <c r="O1030" s="58"/>
      <c r="P1030" s="8"/>
      <c r="Q1030" s="8"/>
      <c r="R1030" s="8"/>
      <c r="S1030" s="8"/>
    </row>
    <row r="1031" spans="1:19" hidden="1" outlineLevel="1">
      <c r="A1031" s="1">
        <v>1</v>
      </c>
      <c r="B1031" s="11">
        <v>43915</v>
      </c>
      <c r="C1031" s="160">
        <v>1105</v>
      </c>
      <c r="E1031" s="1" t="s">
        <v>149</v>
      </c>
      <c r="F1031" s="22">
        <v>866795036222055</v>
      </c>
      <c r="M1031" s="2" t="s">
        <v>1684</v>
      </c>
      <c r="N1031" s="2" t="s">
        <v>867</v>
      </c>
      <c r="O1031" s="18">
        <v>43928</v>
      </c>
    </row>
    <row r="1032" spans="1:19" hidden="1" outlineLevel="1">
      <c r="A1032" s="1">
        <v>2</v>
      </c>
      <c r="F1032" s="22">
        <v>866795036172714</v>
      </c>
      <c r="M1032" s="2" t="s">
        <v>1685</v>
      </c>
      <c r="N1032" s="2" t="s">
        <v>1686</v>
      </c>
      <c r="O1032" s="18">
        <v>43917</v>
      </c>
    </row>
    <row r="1033" spans="1:19" hidden="1" outlineLevel="1">
      <c r="A1033" s="1">
        <v>3</v>
      </c>
      <c r="F1033" s="22">
        <v>866795036181707</v>
      </c>
      <c r="M1033" s="2" t="s">
        <v>1687</v>
      </c>
      <c r="N1033" s="2" t="s">
        <v>1686</v>
      </c>
      <c r="O1033" s="18">
        <v>43917</v>
      </c>
    </row>
    <row r="1034" spans="1:19" hidden="1" outlineLevel="1">
      <c r="A1034" s="1">
        <v>4</v>
      </c>
      <c r="F1034" s="22">
        <v>866795036159844</v>
      </c>
      <c r="M1034" s="2" t="s">
        <v>1688</v>
      </c>
      <c r="N1034" s="2" t="s">
        <v>1686</v>
      </c>
      <c r="O1034" s="18">
        <v>43917</v>
      </c>
    </row>
    <row r="1035" spans="1:19" hidden="1" outlineLevel="1">
      <c r="A1035" s="1">
        <v>5</v>
      </c>
      <c r="F1035" s="22">
        <v>866795036060562</v>
      </c>
      <c r="M1035" s="2" t="s">
        <v>1689</v>
      </c>
      <c r="N1035" s="2" t="s">
        <v>867</v>
      </c>
      <c r="O1035" s="18">
        <v>43927</v>
      </c>
    </row>
    <row r="1036" spans="1:19" hidden="1" outlineLevel="1">
      <c r="A1036" s="1">
        <v>6</v>
      </c>
      <c r="F1036" s="22">
        <v>866795036244554</v>
      </c>
      <c r="M1036" s="2" t="s">
        <v>1690</v>
      </c>
      <c r="N1036" s="2" t="s">
        <v>867</v>
      </c>
      <c r="O1036" s="18">
        <v>43927</v>
      </c>
    </row>
    <row r="1037" spans="1:19" hidden="1" outlineLevel="1">
      <c r="A1037" s="1">
        <v>7</v>
      </c>
      <c r="F1037" s="22">
        <v>866795036184099</v>
      </c>
      <c r="M1037" s="2" t="s">
        <v>1691</v>
      </c>
      <c r="N1037" s="2" t="s">
        <v>867</v>
      </c>
      <c r="O1037" s="18">
        <v>43928</v>
      </c>
    </row>
    <row r="1038" spans="1:19" hidden="1" outlineLevel="1">
      <c r="A1038" s="1">
        <v>8</v>
      </c>
      <c r="F1038" s="22">
        <v>866795036060380</v>
      </c>
      <c r="M1038" s="2" t="s">
        <v>1692</v>
      </c>
      <c r="N1038" s="2" t="s">
        <v>1686</v>
      </c>
      <c r="O1038" s="18">
        <v>43917</v>
      </c>
    </row>
    <row r="1039" spans="1:19" hidden="1" outlineLevel="1">
      <c r="A1039" s="1">
        <v>9</v>
      </c>
      <c r="F1039" s="22">
        <v>866795036254397</v>
      </c>
      <c r="M1039" s="2" t="s">
        <v>1693</v>
      </c>
      <c r="N1039" s="2" t="s">
        <v>1173</v>
      </c>
      <c r="O1039" s="18">
        <v>43963</v>
      </c>
    </row>
    <row r="1040" spans="1:19" hidden="1" outlineLevel="1">
      <c r="A1040" s="1">
        <v>10</v>
      </c>
      <c r="F1040" s="22">
        <v>866795036247557</v>
      </c>
      <c r="M1040" s="2" t="s">
        <v>1694</v>
      </c>
      <c r="N1040" s="2" t="s">
        <v>1686</v>
      </c>
      <c r="O1040" s="18">
        <v>43917</v>
      </c>
    </row>
    <row r="1041" spans="1:19" hidden="1" outlineLevel="1">
      <c r="A1041" s="1">
        <v>11</v>
      </c>
      <c r="E1041" s="1" t="s">
        <v>609</v>
      </c>
      <c r="F1041" s="22">
        <v>866795036050712</v>
      </c>
      <c r="M1041" s="2" t="s">
        <v>1695</v>
      </c>
      <c r="N1041" s="2" t="s">
        <v>1185</v>
      </c>
      <c r="O1041" s="18" t="s">
        <v>836</v>
      </c>
    </row>
    <row r="1042" spans="1:19" hidden="1" outlineLevel="1">
      <c r="A1042" s="1">
        <v>12</v>
      </c>
      <c r="F1042" s="22">
        <v>866795033896885</v>
      </c>
      <c r="M1042" s="2" t="s">
        <v>1696</v>
      </c>
      <c r="N1042" s="2" t="s">
        <v>1163</v>
      </c>
      <c r="O1042" s="18">
        <v>43973</v>
      </c>
    </row>
    <row r="1043" spans="1:19" hidden="1" outlineLevel="1">
      <c r="A1043" s="1">
        <v>13</v>
      </c>
      <c r="F1043" s="22">
        <v>866795036202073</v>
      </c>
      <c r="M1043" s="2" t="s">
        <v>1697</v>
      </c>
      <c r="N1043" s="2" t="s">
        <v>1163</v>
      </c>
      <c r="O1043" s="18">
        <v>43921</v>
      </c>
    </row>
    <row r="1044" spans="1:19" hidden="1" outlineLevel="1">
      <c r="A1044" s="1">
        <v>14</v>
      </c>
      <c r="F1044" s="22">
        <v>866795036226320</v>
      </c>
      <c r="M1044" s="2" t="s">
        <v>1698</v>
      </c>
      <c r="N1044" s="2" t="s">
        <v>1163</v>
      </c>
      <c r="O1044" s="18" t="s">
        <v>836</v>
      </c>
    </row>
    <row r="1045" spans="1:19" hidden="1" outlineLevel="1">
      <c r="A1045" s="1">
        <v>15</v>
      </c>
      <c r="F1045" s="22">
        <v>866795034466415</v>
      </c>
      <c r="M1045" s="2" t="s">
        <v>1699</v>
      </c>
      <c r="N1045" s="2" t="s">
        <v>852</v>
      </c>
      <c r="O1045" s="18">
        <v>44000</v>
      </c>
    </row>
    <row r="1046" spans="1:19" hidden="1" outlineLevel="1">
      <c r="A1046" s="8"/>
      <c r="B1046" s="58"/>
      <c r="C1046" s="159"/>
      <c r="D1046" s="8"/>
      <c r="E1046" s="8"/>
      <c r="F1046" s="9"/>
      <c r="G1046" s="8"/>
      <c r="H1046" s="8"/>
      <c r="I1046" s="8"/>
      <c r="J1046" s="58"/>
      <c r="K1046" s="8"/>
      <c r="L1046" s="58"/>
      <c r="M1046" s="8"/>
      <c r="N1046" s="8"/>
      <c r="O1046" s="58"/>
      <c r="P1046" s="8"/>
      <c r="Q1046" s="8"/>
      <c r="R1046" s="8"/>
      <c r="S1046" s="8"/>
    </row>
    <row r="1047" spans="1:19" hidden="1" outlineLevel="1">
      <c r="A1047" s="1">
        <v>1</v>
      </c>
      <c r="B1047" s="11">
        <v>43928</v>
      </c>
      <c r="C1047" s="160">
        <v>1217</v>
      </c>
      <c r="E1047" s="1" t="s">
        <v>149</v>
      </c>
      <c r="F1047" s="22">
        <v>866795036230082</v>
      </c>
      <c r="M1047" s="2" t="s">
        <v>1700</v>
      </c>
      <c r="N1047" s="2" t="s">
        <v>1701</v>
      </c>
      <c r="O1047" s="18">
        <v>43943</v>
      </c>
    </row>
    <row r="1048" spans="1:19" hidden="1" outlineLevel="1">
      <c r="A1048" s="1">
        <v>2</v>
      </c>
      <c r="F1048" s="22">
        <v>866795036225603</v>
      </c>
      <c r="M1048" s="2" t="s">
        <v>1702</v>
      </c>
      <c r="N1048" s="2" t="s">
        <v>1703</v>
      </c>
      <c r="O1048" s="18">
        <v>43936</v>
      </c>
    </row>
    <row r="1049" spans="1:19" hidden="1" outlineLevel="1">
      <c r="A1049" s="1">
        <v>3</v>
      </c>
      <c r="F1049" s="22">
        <v>866795036222238</v>
      </c>
      <c r="M1049" s="2" t="s">
        <v>1704</v>
      </c>
      <c r="N1049" s="2" t="s">
        <v>1467</v>
      </c>
      <c r="O1049" s="18">
        <v>43936</v>
      </c>
    </row>
    <row r="1050" spans="1:19" hidden="1" outlineLevel="1">
      <c r="A1050" s="1">
        <v>4</v>
      </c>
      <c r="F1050" s="22">
        <v>866795036210282</v>
      </c>
      <c r="M1050" s="2" t="s">
        <v>1705</v>
      </c>
      <c r="N1050" s="2" t="s">
        <v>1706</v>
      </c>
      <c r="O1050" s="18">
        <v>43963</v>
      </c>
    </row>
    <row r="1051" spans="1:19" hidden="1" outlineLevel="1">
      <c r="A1051" s="1">
        <v>5</v>
      </c>
      <c r="F1051" s="22">
        <v>866795036183851</v>
      </c>
      <c r="M1051" s="2" t="s">
        <v>1707</v>
      </c>
      <c r="N1051" s="2" t="s">
        <v>1708</v>
      </c>
      <c r="O1051" s="18">
        <v>43929</v>
      </c>
    </row>
    <row r="1052" spans="1:19" hidden="1" outlineLevel="1">
      <c r="A1052" s="1">
        <v>6</v>
      </c>
      <c r="F1052" s="22">
        <v>866795036080263</v>
      </c>
      <c r="M1052" s="2" t="s">
        <v>1709</v>
      </c>
      <c r="N1052" s="2" t="s">
        <v>1708</v>
      </c>
      <c r="O1052" s="18">
        <v>43929</v>
      </c>
    </row>
    <row r="1053" spans="1:19" hidden="1" outlineLevel="1">
      <c r="A1053" s="1">
        <v>7</v>
      </c>
      <c r="F1053" s="22">
        <v>866795036124038</v>
      </c>
      <c r="M1053" s="2" t="s">
        <v>1710</v>
      </c>
      <c r="N1053" s="2" t="s">
        <v>1708</v>
      </c>
      <c r="O1053" s="18">
        <v>43929</v>
      </c>
    </row>
    <row r="1054" spans="1:19" hidden="1" outlineLevel="1">
      <c r="A1054" s="1">
        <v>8</v>
      </c>
      <c r="F1054" s="22">
        <v>866795036060505</v>
      </c>
      <c r="M1054" s="2" t="s">
        <v>1711</v>
      </c>
      <c r="N1054" s="2" t="s">
        <v>1708</v>
      </c>
      <c r="O1054" s="18">
        <v>43929</v>
      </c>
    </row>
    <row r="1055" spans="1:19" hidden="1" outlineLevel="1">
      <c r="A1055" s="1">
        <v>9</v>
      </c>
      <c r="F1055" s="22">
        <v>866795036158168</v>
      </c>
      <c r="M1055" s="2" t="s">
        <v>1712</v>
      </c>
      <c r="N1055" s="2" t="s">
        <v>1708</v>
      </c>
      <c r="O1055" s="18">
        <v>43929</v>
      </c>
    </row>
    <row r="1056" spans="1:19" hidden="1" outlineLevel="1">
      <c r="A1056" s="1">
        <v>10</v>
      </c>
      <c r="F1056" s="22">
        <v>866795036182424</v>
      </c>
      <c r="M1056" s="2" t="s">
        <v>1713</v>
      </c>
      <c r="N1056" s="2" t="s">
        <v>1708</v>
      </c>
      <c r="O1056" s="18">
        <v>43929</v>
      </c>
    </row>
    <row r="1057" spans="1:19" hidden="1" outlineLevel="1">
      <c r="A1057" s="1">
        <v>11</v>
      </c>
      <c r="E1057" s="1" t="s">
        <v>608</v>
      </c>
      <c r="F1057" s="22">
        <v>866795036066502</v>
      </c>
      <c r="M1057" s="2" t="s">
        <v>1714</v>
      </c>
      <c r="N1057" s="2" t="s">
        <v>1668</v>
      </c>
      <c r="O1057" s="18">
        <v>43938</v>
      </c>
    </row>
    <row r="1058" spans="1:19" hidden="1" outlineLevel="1">
      <c r="A1058" s="1">
        <v>12</v>
      </c>
      <c r="F1058" s="22">
        <v>866795036066569</v>
      </c>
      <c r="M1058" s="2" t="s">
        <v>1715</v>
      </c>
      <c r="N1058" s="2" t="s">
        <v>1668</v>
      </c>
      <c r="O1058" s="18">
        <v>43938</v>
      </c>
    </row>
    <row r="1059" spans="1:19" hidden="1" outlineLevel="1">
      <c r="A1059" s="1">
        <v>13</v>
      </c>
      <c r="F1059" s="22">
        <v>866795036128682</v>
      </c>
      <c r="M1059" s="2" t="s">
        <v>1716</v>
      </c>
      <c r="N1059" s="2" t="s">
        <v>1668</v>
      </c>
      <c r="O1059" s="18">
        <v>43976</v>
      </c>
    </row>
    <row r="1060" spans="1:19" hidden="1" outlineLevel="1">
      <c r="A1060" s="1">
        <v>14</v>
      </c>
      <c r="F1060" s="22">
        <v>866795036120598</v>
      </c>
      <c r="M1060" s="2" t="s">
        <v>1717</v>
      </c>
      <c r="N1060" s="2" t="s">
        <v>1668</v>
      </c>
      <c r="O1060" s="18">
        <v>43998</v>
      </c>
    </row>
    <row r="1061" spans="1:19" hidden="1" outlineLevel="1">
      <c r="A1061" s="1">
        <v>15</v>
      </c>
      <c r="F1061" s="22">
        <v>866795036067799</v>
      </c>
      <c r="M1061" s="2" t="s">
        <v>1718</v>
      </c>
      <c r="N1061" s="2" t="s">
        <v>1719</v>
      </c>
      <c r="O1061" s="18" t="s">
        <v>836</v>
      </c>
    </row>
    <row r="1062" spans="1:19" hidden="1" outlineLevel="1">
      <c r="A1062" s="1">
        <v>16</v>
      </c>
      <c r="C1062" s="160">
        <v>1216</v>
      </c>
      <c r="E1062" s="1" t="s">
        <v>609</v>
      </c>
      <c r="F1062" s="22">
        <v>866795036138574</v>
      </c>
      <c r="M1062" s="2" t="s">
        <v>1720</v>
      </c>
      <c r="N1062" s="2" t="s">
        <v>978</v>
      </c>
      <c r="O1062" s="18" t="s">
        <v>836</v>
      </c>
    </row>
    <row r="1063" spans="1:19" hidden="1" outlineLevel="1">
      <c r="A1063" s="1">
        <v>17</v>
      </c>
      <c r="F1063" s="22">
        <v>866795038098222</v>
      </c>
      <c r="M1063" s="2" t="s">
        <v>1229</v>
      </c>
    </row>
    <row r="1064" spans="1:19" hidden="1" outlineLevel="1">
      <c r="A1064" s="1">
        <v>18</v>
      </c>
      <c r="F1064" s="22">
        <v>866795036140281</v>
      </c>
      <c r="M1064" s="2" t="s">
        <v>1229</v>
      </c>
    </row>
    <row r="1065" spans="1:19" hidden="1" outlineLevel="1">
      <c r="A1065" s="8"/>
      <c r="B1065" s="58"/>
      <c r="C1065" s="159"/>
      <c r="D1065" s="8"/>
      <c r="E1065" s="8"/>
      <c r="F1065" s="9"/>
      <c r="G1065" s="8"/>
      <c r="H1065" s="8"/>
      <c r="I1065" s="8"/>
      <c r="J1065" s="58"/>
      <c r="K1065" s="8"/>
      <c r="L1065" s="58"/>
      <c r="M1065" s="8"/>
      <c r="N1065" s="8"/>
      <c r="O1065" s="58"/>
      <c r="P1065" s="8"/>
      <c r="Q1065" s="8"/>
      <c r="R1065" s="8"/>
      <c r="S1065" s="8"/>
    </row>
    <row r="1066" spans="1:19" hidden="1" outlineLevel="1">
      <c r="A1066" s="1">
        <v>1</v>
      </c>
      <c r="B1066" s="11">
        <v>43937</v>
      </c>
      <c r="C1066" s="160">
        <v>1287</v>
      </c>
      <c r="E1066" s="1" t="s">
        <v>149</v>
      </c>
      <c r="F1066" s="22">
        <v>866795036063707</v>
      </c>
      <c r="M1066" s="2" t="s">
        <v>1721</v>
      </c>
      <c r="N1066" s="2" t="s">
        <v>1335</v>
      </c>
      <c r="O1066" s="18">
        <v>43949</v>
      </c>
    </row>
    <row r="1067" spans="1:19" hidden="1" outlineLevel="1">
      <c r="A1067" s="1">
        <v>2</v>
      </c>
      <c r="F1067" s="22">
        <v>866795036179446</v>
      </c>
      <c r="M1067" s="2" t="s">
        <v>1722</v>
      </c>
      <c r="N1067" s="2" t="s">
        <v>1569</v>
      </c>
      <c r="O1067" s="18">
        <v>43963</v>
      </c>
    </row>
    <row r="1068" spans="1:19" hidden="1" outlineLevel="1">
      <c r="A1068" s="1">
        <v>3</v>
      </c>
      <c r="F1068" s="22">
        <v>866795036219325</v>
      </c>
      <c r="M1068" s="2" t="s">
        <v>1723</v>
      </c>
      <c r="N1068" s="2" t="s">
        <v>1724</v>
      </c>
      <c r="O1068" s="18">
        <v>43963</v>
      </c>
    </row>
    <row r="1069" spans="1:19" hidden="1" outlineLevel="1">
      <c r="A1069" s="1">
        <v>4</v>
      </c>
      <c r="F1069" s="22">
        <v>866795036161014</v>
      </c>
      <c r="M1069" s="2" t="s">
        <v>1017</v>
      </c>
      <c r="N1069" s="2" t="s">
        <v>1005</v>
      </c>
      <c r="O1069" s="18">
        <v>43977</v>
      </c>
    </row>
    <row r="1070" spans="1:19" hidden="1" outlineLevel="1">
      <c r="A1070" s="1">
        <v>5</v>
      </c>
      <c r="F1070" s="22">
        <v>866795036120945</v>
      </c>
      <c r="M1070" s="2" t="s">
        <v>1725</v>
      </c>
      <c r="N1070" s="2" t="s">
        <v>1726</v>
      </c>
      <c r="O1070" s="18">
        <v>43945</v>
      </c>
    </row>
    <row r="1071" spans="1:19" hidden="1" outlineLevel="1">
      <c r="A1071" s="1">
        <v>6</v>
      </c>
      <c r="F1071" s="22">
        <v>866795036182325</v>
      </c>
      <c r="M1071" s="2" t="s">
        <v>1727</v>
      </c>
      <c r="N1071" s="2" t="s">
        <v>1727</v>
      </c>
      <c r="O1071" s="18" t="s">
        <v>836</v>
      </c>
    </row>
    <row r="1072" spans="1:19" hidden="1" outlineLevel="1">
      <c r="A1072" s="1">
        <v>7</v>
      </c>
      <c r="F1072" s="22">
        <v>866795036183323</v>
      </c>
      <c r="M1072" s="2" t="s">
        <v>1728</v>
      </c>
      <c r="N1072" s="2" t="s">
        <v>1581</v>
      </c>
      <c r="O1072" s="18">
        <v>43938</v>
      </c>
    </row>
    <row r="1073" spans="1:19" hidden="1" outlineLevel="1">
      <c r="A1073" s="1">
        <v>8</v>
      </c>
      <c r="F1073" s="22">
        <v>866795036064580</v>
      </c>
      <c r="M1073" s="2" t="s">
        <v>1729</v>
      </c>
      <c r="N1073" s="2" t="s">
        <v>960</v>
      </c>
      <c r="O1073" s="18">
        <v>43931</v>
      </c>
    </row>
    <row r="1074" spans="1:19" hidden="1" outlineLevel="1">
      <c r="A1074" s="1">
        <v>9</v>
      </c>
      <c r="F1074" s="22">
        <v>866795036198206</v>
      </c>
      <c r="M1074" s="2" t="s">
        <v>1730</v>
      </c>
      <c r="N1074" s="2" t="s">
        <v>1706</v>
      </c>
      <c r="O1074" s="18">
        <v>43963</v>
      </c>
    </row>
    <row r="1075" spans="1:19" hidden="1" outlineLevel="1">
      <c r="A1075" s="1">
        <v>10</v>
      </c>
      <c r="F1075" s="22">
        <v>866795036138780</v>
      </c>
      <c r="M1075" s="2" t="s">
        <v>1731</v>
      </c>
      <c r="N1075" s="2" t="s">
        <v>1708</v>
      </c>
      <c r="O1075" s="18">
        <v>43964</v>
      </c>
    </row>
    <row r="1076" spans="1:19" hidden="1" outlineLevel="1">
      <c r="A1076" s="8"/>
      <c r="B1076" s="58"/>
      <c r="C1076" s="159"/>
      <c r="D1076" s="8"/>
      <c r="E1076" s="8"/>
      <c r="F1076" s="9"/>
      <c r="G1076" s="8"/>
      <c r="H1076" s="8"/>
      <c r="I1076" s="8"/>
      <c r="J1076" s="58"/>
      <c r="K1076" s="8"/>
      <c r="L1076" s="58"/>
      <c r="M1076" s="8"/>
      <c r="N1076" s="8"/>
      <c r="O1076" s="58"/>
      <c r="P1076" s="8"/>
      <c r="Q1076" s="8"/>
      <c r="R1076" s="8"/>
      <c r="S1076" s="8"/>
    </row>
    <row r="1077" spans="1:19" hidden="1" outlineLevel="1">
      <c r="A1077" s="1">
        <v>1</v>
      </c>
      <c r="B1077" s="11">
        <v>43937</v>
      </c>
      <c r="C1077" s="160">
        <v>1286</v>
      </c>
      <c r="E1077" s="1" t="s">
        <v>608</v>
      </c>
      <c r="F1077" s="22">
        <v>866795036128013</v>
      </c>
      <c r="M1077" s="2" t="s">
        <v>1732</v>
      </c>
      <c r="N1077" s="2" t="s">
        <v>1370</v>
      </c>
      <c r="O1077" s="18">
        <v>43941</v>
      </c>
    </row>
    <row r="1078" spans="1:19" hidden="1" outlineLevel="1">
      <c r="A1078" s="1">
        <v>2</v>
      </c>
      <c r="F1078" s="22">
        <v>866795036049656</v>
      </c>
      <c r="M1078" s="2" t="s">
        <v>1733</v>
      </c>
      <c r="N1078" s="2" t="s">
        <v>1370</v>
      </c>
      <c r="O1078" s="18">
        <v>43941</v>
      </c>
    </row>
    <row r="1079" spans="1:19" hidden="1" outlineLevel="1">
      <c r="A1079" s="1">
        <v>3</v>
      </c>
      <c r="F1079" s="22">
        <v>866795036123931</v>
      </c>
      <c r="M1079" s="2" t="s">
        <v>1734</v>
      </c>
      <c r="N1079" s="2" t="s">
        <v>1370</v>
      </c>
      <c r="O1079" s="18">
        <v>43941</v>
      </c>
    </row>
    <row r="1080" spans="1:19" hidden="1" outlineLevel="1">
      <c r="A1080" s="1">
        <v>4</v>
      </c>
      <c r="F1080" s="22">
        <v>866795036062493</v>
      </c>
      <c r="M1080" s="2" t="s">
        <v>1735</v>
      </c>
      <c r="N1080" s="2" t="s">
        <v>1370</v>
      </c>
      <c r="O1080" s="18">
        <v>43941</v>
      </c>
    </row>
    <row r="1081" spans="1:19" hidden="1" outlineLevel="1">
      <c r="A1081" s="1">
        <v>5</v>
      </c>
      <c r="F1081" s="22">
        <v>866795036155115</v>
      </c>
      <c r="M1081" s="2" t="s">
        <v>1736</v>
      </c>
      <c r="N1081" s="2" t="s">
        <v>1370</v>
      </c>
      <c r="O1081" s="18">
        <v>43941</v>
      </c>
    </row>
    <row r="1082" spans="1:19" hidden="1" outlineLevel="1">
      <c r="A1082" s="1">
        <v>6</v>
      </c>
      <c r="F1082" s="22">
        <v>866795036199972</v>
      </c>
      <c r="M1082" s="2" t="s">
        <v>1737</v>
      </c>
      <c r="N1082" s="2" t="s">
        <v>1370</v>
      </c>
      <c r="O1082" s="18">
        <v>43941</v>
      </c>
    </row>
    <row r="1083" spans="1:19" hidden="1" outlineLevel="1">
      <c r="A1083" s="1">
        <v>7</v>
      </c>
      <c r="F1083" s="22">
        <v>866795036122586</v>
      </c>
      <c r="M1083" s="2" t="s">
        <v>1738</v>
      </c>
      <c r="N1083" s="2" t="s">
        <v>1370</v>
      </c>
      <c r="O1083" s="18">
        <v>43941</v>
      </c>
    </row>
    <row r="1084" spans="1:19" hidden="1" outlineLevel="1">
      <c r="A1084" s="1">
        <v>8</v>
      </c>
      <c r="F1084" s="22">
        <v>866795036200028</v>
      </c>
      <c r="M1084" s="2" t="s">
        <v>1739</v>
      </c>
      <c r="N1084" s="2" t="s">
        <v>1370</v>
      </c>
      <c r="O1084" s="18">
        <v>43941</v>
      </c>
    </row>
    <row r="1085" spans="1:19" hidden="1" outlineLevel="1">
      <c r="A1085" s="8"/>
      <c r="B1085" s="58"/>
      <c r="C1085" s="159"/>
      <c r="D1085" s="8"/>
      <c r="E1085" s="8"/>
      <c r="F1085" s="9"/>
      <c r="G1085" s="8"/>
      <c r="H1085" s="8"/>
      <c r="I1085" s="8"/>
      <c r="J1085" s="58"/>
      <c r="K1085" s="8"/>
      <c r="L1085" s="58"/>
      <c r="M1085" s="8"/>
      <c r="N1085" s="8"/>
      <c r="O1085" s="58"/>
      <c r="P1085" s="8"/>
      <c r="Q1085" s="8"/>
      <c r="R1085" s="8"/>
      <c r="S1085" s="8"/>
    </row>
    <row r="1086" spans="1:19" hidden="1" outlineLevel="1">
      <c r="A1086" s="1">
        <v>1</v>
      </c>
      <c r="B1086" s="11">
        <v>43943</v>
      </c>
      <c r="C1086" s="160">
        <v>1487</v>
      </c>
      <c r="E1086" s="1" t="s">
        <v>270</v>
      </c>
      <c r="F1086" s="22">
        <v>866795037678461</v>
      </c>
      <c r="M1086" s="2" t="s">
        <v>1740</v>
      </c>
      <c r="N1086" s="2" t="s">
        <v>1741</v>
      </c>
      <c r="O1086" s="18">
        <v>43953</v>
      </c>
    </row>
    <row r="1087" spans="1:19" hidden="1" outlineLevel="1">
      <c r="A1087" s="1">
        <v>2</v>
      </c>
      <c r="F1087" s="22">
        <v>866795037645619</v>
      </c>
      <c r="M1087" s="2" t="s">
        <v>1742</v>
      </c>
      <c r="N1087" s="2" t="s">
        <v>1743</v>
      </c>
      <c r="O1087" s="18" t="s">
        <v>836</v>
      </c>
    </row>
    <row r="1088" spans="1:19" hidden="1" outlineLevel="1">
      <c r="A1088" s="1">
        <v>3</v>
      </c>
      <c r="F1088" s="22">
        <v>866795037695366</v>
      </c>
      <c r="M1088" s="2" t="s">
        <v>1744</v>
      </c>
      <c r="N1088" s="2" t="s">
        <v>1743</v>
      </c>
      <c r="O1088" s="18">
        <v>43971</v>
      </c>
    </row>
    <row r="1089" spans="1:15" hidden="1" outlineLevel="1">
      <c r="A1089" s="1">
        <v>4</v>
      </c>
      <c r="F1089" s="22">
        <v>866795037558267</v>
      </c>
      <c r="M1089" s="2" t="s">
        <v>1745</v>
      </c>
      <c r="N1089" s="2" t="s">
        <v>1741</v>
      </c>
      <c r="O1089" s="18">
        <v>43954</v>
      </c>
    </row>
    <row r="1090" spans="1:15" hidden="1" outlineLevel="1">
      <c r="A1090" s="1">
        <v>5</v>
      </c>
      <c r="F1090" s="22">
        <v>866795037673777</v>
      </c>
      <c r="M1090" s="2" t="s">
        <v>1229</v>
      </c>
      <c r="N1090" s="2" t="s">
        <v>836</v>
      </c>
      <c r="O1090" s="18" t="s">
        <v>836</v>
      </c>
    </row>
    <row r="1091" spans="1:15" hidden="1" outlineLevel="1">
      <c r="A1091" s="1">
        <v>6</v>
      </c>
      <c r="F1091" s="22">
        <v>866795037672118</v>
      </c>
      <c r="M1091" s="2" t="s">
        <v>1746</v>
      </c>
      <c r="N1091" s="2" t="s">
        <v>1741</v>
      </c>
      <c r="O1091" s="18">
        <v>43951</v>
      </c>
    </row>
    <row r="1092" spans="1:15" hidden="1" outlineLevel="1">
      <c r="A1092" s="1">
        <v>7</v>
      </c>
      <c r="F1092" s="22">
        <v>866795037692231</v>
      </c>
      <c r="M1092" s="2" t="s">
        <v>1747</v>
      </c>
      <c r="N1092" s="2" t="s">
        <v>1741</v>
      </c>
      <c r="O1092" s="18">
        <v>43950</v>
      </c>
    </row>
    <row r="1093" spans="1:15" hidden="1" outlineLevel="1">
      <c r="A1093" s="1">
        <v>8</v>
      </c>
      <c r="F1093" s="22">
        <v>866795037670864</v>
      </c>
      <c r="M1093" s="2" t="s">
        <v>1748</v>
      </c>
      <c r="N1093" s="2" t="s">
        <v>1741</v>
      </c>
      <c r="O1093" s="18">
        <v>43950</v>
      </c>
    </row>
    <row r="1094" spans="1:15" hidden="1" outlineLevel="1">
      <c r="A1094" s="1">
        <v>9</v>
      </c>
      <c r="F1094" s="22">
        <v>866795037565460</v>
      </c>
      <c r="M1094" s="2" t="s">
        <v>1749</v>
      </c>
      <c r="N1094" s="2" t="s">
        <v>1741</v>
      </c>
      <c r="O1094" s="18">
        <v>43950</v>
      </c>
    </row>
    <row r="1095" spans="1:15" hidden="1" outlineLevel="1">
      <c r="A1095" s="1">
        <v>10</v>
      </c>
      <c r="F1095" s="22">
        <v>866795037638556</v>
      </c>
      <c r="M1095" s="2" t="s">
        <v>1750</v>
      </c>
      <c r="N1095" s="2" t="s">
        <v>1741</v>
      </c>
      <c r="O1095" s="18">
        <v>43950</v>
      </c>
    </row>
    <row r="1096" spans="1:15" hidden="1" outlineLevel="1">
      <c r="A1096" s="1">
        <v>11</v>
      </c>
      <c r="E1096" s="1" t="s">
        <v>149</v>
      </c>
      <c r="F1096" s="22">
        <v>866795037112487</v>
      </c>
      <c r="M1096" s="2" t="s">
        <v>1751</v>
      </c>
      <c r="N1096" s="2" t="s">
        <v>852</v>
      </c>
      <c r="O1096" s="18">
        <v>43992</v>
      </c>
    </row>
    <row r="1097" spans="1:15" hidden="1" outlineLevel="1">
      <c r="A1097" s="1">
        <v>12</v>
      </c>
      <c r="F1097" s="22">
        <v>866795036988614</v>
      </c>
      <c r="M1097" s="2" t="s">
        <v>1752</v>
      </c>
      <c r="N1097" s="2" t="s">
        <v>1753</v>
      </c>
      <c r="O1097" s="18">
        <v>43958</v>
      </c>
    </row>
    <row r="1098" spans="1:15" hidden="1" outlineLevel="1">
      <c r="A1098" s="1">
        <v>13</v>
      </c>
      <c r="F1098" s="22">
        <v>866795036996930</v>
      </c>
      <c r="M1098" s="2" t="s">
        <v>1229</v>
      </c>
      <c r="N1098" s="2" t="s">
        <v>836</v>
      </c>
      <c r="O1098" s="18" t="s">
        <v>836</v>
      </c>
    </row>
    <row r="1099" spans="1:15" hidden="1" outlineLevel="1">
      <c r="A1099" s="1">
        <v>14</v>
      </c>
      <c r="F1099" s="22">
        <v>866795037003330</v>
      </c>
      <c r="M1099" s="2" t="s">
        <v>1754</v>
      </c>
      <c r="N1099" s="2" t="s">
        <v>844</v>
      </c>
      <c r="O1099" s="18">
        <v>43928</v>
      </c>
    </row>
    <row r="1100" spans="1:15" hidden="1" outlineLevel="1">
      <c r="A1100" s="1">
        <v>15</v>
      </c>
      <c r="F1100" s="22">
        <v>866795037140702</v>
      </c>
      <c r="M1100" s="2" t="s">
        <v>1755</v>
      </c>
      <c r="N1100" s="2" t="s">
        <v>1335</v>
      </c>
      <c r="O1100" s="18">
        <v>43949</v>
      </c>
    </row>
    <row r="1101" spans="1:15" hidden="1" outlineLevel="1">
      <c r="A1101" s="1">
        <v>16</v>
      </c>
      <c r="F1101" s="22">
        <v>866795037061460</v>
      </c>
      <c r="M1101" s="2" t="s">
        <v>1756</v>
      </c>
      <c r="N1101" s="2" t="s">
        <v>931</v>
      </c>
      <c r="O1101" s="18" t="s">
        <v>836</v>
      </c>
    </row>
    <row r="1102" spans="1:15" hidden="1" outlineLevel="1">
      <c r="A1102" s="1">
        <v>17</v>
      </c>
      <c r="F1102" s="22">
        <v>866795037061221</v>
      </c>
      <c r="M1102" s="2" t="s">
        <v>1229</v>
      </c>
    </row>
    <row r="1103" spans="1:15" hidden="1" outlineLevel="1">
      <c r="A1103" s="1">
        <v>18</v>
      </c>
      <c r="F1103" s="22">
        <v>866795037003215</v>
      </c>
      <c r="M1103" s="2" t="s">
        <v>1757</v>
      </c>
      <c r="N1103" s="2" t="s">
        <v>1335</v>
      </c>
      <c r="O1103" s="18">
        <v>43945</v>
      </c>
    </row>
    <row r="1104" spans="1:15" hidden="1" outlineLevel="1">
      <c r="A1104" s="1">
        <v>19</v>
      </c>
      <c r="F1104" s="22">
        <v>866795037071733</v>
      </c>
      <c r="M1104" s="2" t="s">
        <v>1758</v>
      </c>
      <c r="N1104" s="2" t="s">
        <v>1335</v>
      </c>
      <c r="O1104" s="18">
        <v>43949</v>
      </c>
    </row>
    <row r="1105" spans="1:19" hidden="1" outlineLevel="1">
      <c r="A1105" s="1">
        <v>20</v>
      </c>
      <c r="F1105" s="22">
        <v>866795037121249</v>
      </c>
      <c r="M1105" s="2" t="s">
        <v>1759</v>
      </c>
      <c r="N1105" s="2" t="s">
        <v>931</v>
      </c>
      <c r="O1105" s="18" t="s">
        <v>836</v>
      </c>
    </row>
    <row r="1106" spans="1:19" hidden="1" outlineLevel="1">
      <c r="A1106" s="8"/>
      <c r="B1106" s="58"/>
      <c r="C1106" s="159"/>
      <c r="D1106" s="8"/>
      <c r="E1106" s="8"/>
      <c r="F1106" s="9"/>
      <c r="G1106" s="8"/>
      <c r="H1106" s="8"/>
      <c r="I1106" s="8"/>
      <c r="J1106" s="58"/>
      <c r="K1106" s="8"/>
      <c r="L1106" s="58"/>
      <c r="M1106" s="8"/>
      <c r="N1106" s="8"/>
      <c r="O1106" s="58"/>
      <c r="P1106" s="8"/>
      <c r="Q1106" s="8"/>
      <c r="R1106" s="8"/>
      <c r="S1106" s="8"/>
    </row>
    <row r="1107" spans="1:19" hidden="1" outlineLevel="1">
      <c r="A1107" s="1">
        <v>1</v>
      </c>
      <c r="B1107" s="11">
        <v>43951</v>
      </c>
      <c r="C1107" s="160">
        <v>1564</v>
      </c>
      <c r="E1107" s="1" t="s">
        <v>608</v>
      </c>
      <c r="F1107" s="22">
        <v>866795036059689</v>
      </c>
      <c r="M1107" s="2" t="s">
        <v>1760</v>
      </c>
      <c r="N1107" s="2" t="s">
        <v>1760</v>
      </c>
      <c r="O1107" s="18">
        <v>43962</v>
      </c>
    </row>
    <row r="1108" spans="1:19" hidden="1" outlineLevel="1">
      <c r="A1108" s="1">
        <v>2</v>
      </c>
      <c r="F1108" s="22">
        <v>866795036124236</v>
      </c>
      <c r="M1108" s="2" t="s">
        <v>1761</v>
      </c>
      <c r="N1108" s="2" t="s">
        <v>1761</v>
      </c>
      <c r="O1108" s="18">
        <v>43962</v>
      </c>
    </row>
    <row r="1109" spans="1:19" hidden="1" outlineLevel="1">
      <c r="A1109" s="1">
        <v>3</v>
      </c>
      <c r="F1109" s="22">
        <v>866795036200010</v>
      </c>
      <c r="M1109" s="2" t="s">
        <v>1762</v>
      </c>
      <c r="N1109" s="2" t="s">
        <v>1763</v>
      </c>
      <c r="O1109" s="18">
        <v>43969</v>
      </c>
    </row>
    <row r="1110" spans="1:19" hidden="1" outlineLevel="1">
      <c r="A1110" s="1">
        <v>4</v>
      </c>
      <c r="F1110" s="22">
        <v>866795036056255</v>
      </c>
      <c r="M1110" s="2" t="s">
        <v>1764</v>
      </c>
      <c r="N1110" s="2" t="s">
        <v>1765</v>
      </c>
      <c r="O1110" s="18" t="s">
        <v>836</v>
      </c>
    </row>
    <row r="1111" spans="1:19" hidden="1" outlineLevel="1">
      <c r="A1111" s="1">
        <v>5</v>
      </c>
      <c r="F1111" s="22">
        <v>866795036062931</v>
      </c>
      <c r="M1111" s="2" t="s">
        <v>1766</v>
      </c>
      <c r="N1111" s="2" t="s">
        <v>1766</v>
      </c>
      <c r="O1111" s="18">
        <v>43962</v>
      </c>
    </row>
    <row r="1112" spans="1:19" hidden="1" outlineLevel="1">
      <c r="A1112" s="1">
        <v>6</v>
      </c>
      <c r="F1112" s="22">
        <v>866795036058343</v>
      </c>
      <c r="M1112" s="2" t="s">
        <v>1767</v>
      </c>
      <c r="N1112" s="2" t="s">
        <v>1768</v>
      </c>
      <c r="O1112" s="18">
        <v>43962</v>
      </c>
    </row>
    <row r="1113" spans="1:19" hidden="1" outlineLevel="1">
      <c r="A1113" s="1">
        <v>7</v>
      </c>
      <c r="F1113" s="22">
        <v>866795036236907</v>
      </c>
      <c r="M1113" s="2" t="s">
        <v>1769</v>
      </c>
      <c r="N1113" s="2" t="s">
        <v>1768</v>
      </c>
      <c r="O1113" s="18">
        <v>43962</v>
      </c>
    </row>
    <row r="1114" spans="1:19" hidden="1" outlineLevel="1">
      <c r="A1114" s="1">
        <v>8</v>
      </c>
      <c r="F1114" s="22">
        <v>866795036111027</v>
      </c>
      <c r="M1114" s="2" t="s">
        <v>1770</v>
      </c>
      <c r="N1114" s="2" t="s">
        <v>847</v>
      </c>
      <c r="O1114" s="18">
        <v>43966</v>
      </c>
    </row>
    <row r="1115" spans="1:19" hidden="1" outlineLevel="1">
      <c r="A1115" s="1">
        <v>9</v>
      </c>
      <c r="F1115" s="22">
        <v>866795036059614</v>
      </c>
      <c r="M1115" s="2" t="s">
        <v>1771</v>
      </c>
      <c r="N1115" s="2" t="s">
        <v>1322</v>
      </c>
      <c r="O1115" s="18" t="s">
        <v>836</v>
      </c>
    </row>
    <row r="1116" spans="1:19" hidden="1" outlineLevel="1">
      <c r="A1116" s="1">
        <v>10</v>
      </c>
      <c r="F1116" s="22">
        <v>866795036103594</v>
      </c>
      <c r="M1116" s="2" t="s">
        <v>1772</v>
      </c>
      <c r="N1116" s="2" t="s">
        <v>301</v>
      </c>
      <c r="O1116" s="18">
        <v>43965</v>
      </c>
    </row>
    <row r="1117" spans="1:19" hidden="1" outlineLevel="1">
      <c r="A1117" s="1">
        <v>11</v>
      </c>
      <c r="F1117" s="22">
        <v>866795036100202</v>
      </c>
      <c r="M1117" s="2" t="s">
        <v>1773</v>
      </c>
      <c r="N1117" s="2" t="s">
        <v>1322</v>
      </c>
      <c r="O1117" s="18">
        <v>43966</v>
      </c>
    </row>
    <row r="1118" spans="1:19" hidden="1" outlineLevel="1">
      <c r="A1118" s="1">
        <v>12</v>
      </c>
      <c r="F1118" s="22">
        <v>866795036142949</v>
      </c>
      <c r="M1118" s="2" t="s">
        <v>1229</v>
      </c>
    </row>
    <row r="1119" spans="1:19" hidden="1" outlineLevel="1">
      <c r="A1119" s="1">
        <v>13</v>
      </c>
      <c r="F1119" s="22">
        <v>866795036177176</v>
      </c>
      <c r="M1119" s="2" t="s">
        <v>1774</v>
      </c>
      <c r="N1119" s="2" t="s">
        <v>1775</v>
      </c>
      <c r="O1119" s="18">
        <v>43983</v>
      </c>
    </row>
    <row r="1120" spans="1:19" hidden="1" outlineLevel="1">
      <c r="A1120" s="1">
        <v>14</v>
      </c>
      <c r="F1120" s="22">
        <v>866795036072294</v>
      </c>
      <c r="M1120" s="2" t="s">
        <v>1776</v>
      </c>
      <c r="N1120" s="2" t="s">
        <v>1768</v>
      </c>
      <c r="O1120" s="18">
        <v>43962</v>
      </c>
    </row>
    <row r="1121" spans="1:19" hidden="1" outlineLevel="1">
      <c r="A1121" s="1">
        <v>15</v>
      </c>
      <c r="F1121" s="22">
        <v>866795036063038</v>
      </c>
      <c r="M1121" s="2" t="s">
        <v>1777</v>
      </c>
      <c r="N1121" s="2" t="s">
        <v>1778</v>
      </c>
      <c r="O1121" s="18">
        <v>43965</v>
      </c>
    </row>
    <row r="1122" spans="1:19" hidden="1" outlineLevel="1">
      <c r="A1122" s="8"/>
      <c r="B1122" s="58"/>
      <c r="C1122" s="159"/>
      <c r="D1122" s="8"/>
      <c r="E1122" s="8"/>
      <c r="F1122" s="9"/>
      <c r="G1122" s="8"/>
      <c r="H1122" s="8"/>
      <c r="I1122" s="8"/>
      <c r="J1122" s="58"/>
      <c r="K1122" s="8"/>
      <c r="L1122" s="58"/>
      <c r="M1122" s="8"/>
      <c r="N1122" s="8"/>
      <c r="O1122" s="58"/>
      <c r="P1122" s="8"/>
      <c r="Q1122" s="8"/>
      <c r="R1122" s="8"/>
      <c r="S1122" s="8"/>
    </row>
    <row r="1123" spans="1:19" hidden="1" outlineLevel="1">
      <c r="A1123" s="1">
        <v>1</v>
      </c>
      <c r="B1123" s="11">
        <v>43951</v>
      </c>
      <c r="C1123" s="160">
        <v>1566</v>
      </c>
      <c r="E1123" s="1" t="s">
        <v>270</v>
      </c>
      <c r="F1123" s="22">
        <v>866795037554779</v>
      </c>
      <c r="M1123" s="2" t="s">
        <v>1229</v>
      </c>
    </row>
    <row r="1124" spans="1:19" hidden="1" outlineLevel="1">
      <c r="A1124" s="1">
        <v>2</v>
      </c>
      <c r="F1124" s="22">
        <v>866795037612239</v>
      </c>
      <c r="M1124" s="2" t="s">
        <v>1229</v>
      </c>
    </row>
    <row r="1125" spans="1:19" hidden="1" outlineLevel="1">
      <c r="A1125" s="1">
        <v>3</v>
      </c>
      <c r="F1125" s="22">
        <v>866795037564398</v>
      </c>
      <c r="M1125" s="2" t="s">
        <v>1779</v>
      </c>
      <c r="N1125" s="2" t="s">
        <v>1743</v>
      </c>
      <c r="O1125" s="18">
        <v>43966</v>
      </c>
    </row>
    <row r="1126" spans="1:19" hidden="1" outlineLevel="1">
      <c r="A1126" s="1">
        <v>4</v>
      </c>
      <c r="F1126" s="22">
        <v>866795037626635</v>
      </c>
      <c r="M1126" s="2" t="s">
        <v>1229</v>
      </c>
    </row>
    <row r="1127" spans="1:19" hidden="1" outlineLevel="1">
      <c r="A1127" s="1">
        <v>5</v>
      </c>
      <c r="F1127" s="22">
        <v>866795037678032</v>
      </c>
      <c r="M1127" s="2" t="s">
        <v>1229</v>
      </c>
    </row>
    <row r="1128" spans="1:19" hidden="1" outlineLevel="1">
      <c r="A1128" s="1">
        <v>6</v>
      </c>
      <c r="F1128" s="22">
        <v>866795037678727</v>
      </c>
      <c r="M1128" s="2" t="s">
        <v>1229</v>
      </c>
    </row>
    <row r="1129" spans="1:19" hidden="1" outlineLevel="1">
      <c r="A1129" s="1">
        <v>7</v>
      </c>
      <c r="F1129" s="22">
        <v>866795037696745</v>
      </c>
      <c r="M1129" s="2" t="s">
        <v>1229</v>
      </c>
    </row>
    <row r="1130" spans="1:19" hidden="1" outlineLevel="1">
      <c r="A1130" s="1">
        <v>8</v>
      </c>
      <c r="F1130" s="22">
        <v>866795037693262</v>
      </c>
      <c r="M1130" s="2" t="s">
        <v>1229</v>
      </c>
    </row>
    <row r="1131" spans="1:19" hidden="1" outlineLevel="1">
      <c r="A1131" s="1">
        <v>9</v>
      </c>
      <c r="F1131" s="22">
        <v>866795037693320</v>
      </c>
      <c r="M1131" s="2" t="s">
        <v>1229</v>
      </c>
    </row>
    <row r="1132" spans="1:19" hidden="1" outlineLevel="1">
      <c r="A1132" s="1">
        <v>10</v>
      </c>
      <c r="F1132" s="22">
        <v>866795037667258</v>
      </c>
      <c r="M1132" s="2" t="s">
        <v>1229</v>
      </c>
    </row>
    <row r="1133" spans="1:19" hidden="1" outlineLevel="1">
      <c r="A1133" s="1">
        <v>11</v>
      </c>
      <c r="F1133" s="22">
        <v>866795037564042</v>
      </c>
      <c r="M1133" s="2" t="s">
        <v>1780</v>
      </c>
      <c r="N1133" s="2" t="s">
        <v>1741</v>
      </c>
      <c r="O1133" s="18">
        <v>43954</v>
      </c>
    </row>
    <row r="1134" spans="1:19" hidden="1" outlineLevel="1">
      <c r="A1134" s="1">
        <v>12</v>
      </c>
      <c r="F1134" s="22">
        <v>866795037678073</v>
      </c>
      <c r="M1134" s="2" t="s">
        <v>1781</v>
      </c>
      <c r="N1134" s="2" t="s">
        <v>1743</v>
      </c>
      <c r="O1134" s="18">
        <v>43928</v>
      </c>
    </row>
    <row r="1135" spans="1:19" hidden="1" outlineLevel="1">
      <c r="A1135" s="1">
        <v>13</v>
      </c>
      <c r="F1135" s="22">
        <v>866795037564323</v>
      </c>
      <c r="M1135" s="2" t="s">
        <v>1782</v>
      </c>
      <c r="N1135" s="2" t="s">
        <v>1741</v>
      </c>
      <c r="O1135" s="18">
        <v>43953</v>
      </c>
    </row>
    <row r="1136" spans="1:19" hidden="1" outlineLevel="1">
      <c r="A1136" s="1">
        <v>14</v>
      </c>
      <c r="F1136" s="22">
        <v>866795037626064</v>
      </c>
      <c r="M1136" s="2" t="s">
        <v>1229</v>
      </c>
    </row>
    <row r="1137" spans="1:19" hidden="1" outlineLevel="1">
      <c r="A1137" s="1">
        <v>15</v>
      </c>
      <c r="F1137" s="22">
        <v>866795037624127</v>
      </c>
      <c r="M1137" s="2" t="s">
        <v>1229</v>
      </c>
    </row>
    <row r="1138" spans="1:19" hidden="1" outlineLevel="1">
      <c r="A1138" s="1">
        <v>16</v>
      </c>
      <c r="F1138" s="22">
        <v>866795037550215</v>
      </c>
      <c r="M1138" s="2" t="s">
        <v>1783</v>
      </c>
      <c r="N1138" s="2" t="s">
        <v>1370</v>
      </c>
      <c r="O1138" s="18">
        <v>44026</v>
      </c>
    </row>
    <row r="1139" spans="1:19" hidden="1" outlineLevel="1">
      <c r="A1139" s="1">
        <v>17</v>
      </c>
      <c r="F1139" s="22">
        <v>866795037687207</v>
      </c>
      <c r="M1139" s="2" t="s">
        <v>1784</v>
      </c>
      <c r="N1139" s="2" t="s">
        <v>1741</v>
      </c>
      <c r="O1139" s="18">
        <v>43954</v>
      </c>
    </row>
    <row r="1140" spans="1:19" hidden="1" outlineLevel="1">
      <c r="A1140" s="1">
        <v>18</v>
      </c>
      <c r="F1140" s="22">
        <v>866795037629019</v>
      </c>
      <c r="M1140" s="2" t="s">
        <v>1229</v>
      </c>
    </row>
    <row r="1141" spans="1:19" hidden="1" outlineLevel="1">
      <c r="A1141" s="1">
        <v>19</v>
      </c>
      <c r="F1141" s="22">
        <v>866795037677943</v>
      </c>
      <c r="M1141" s="2" t="s">
        <v>1229</v>
      </c>
    </row>
    <row r="1142" spans="1:19" hidden="1" outlineLevel="1">
      <c r="A1142" s="1">
        <v>20</v>
      </c>
      <c r="F1142" s="22">
        <v>866795037564182</v>
      </c>
      <c r="M1142" s="2" t="s">
        <v>1785</v>
      </c>
      <c r="N1142" s="2" t="s">
        <v>1741</v>
      </c>
      <c r="O1142" s="18">
        <v>43952</v>
      </c>
    </row>
    <row r="1143" spans="1:19" hidden="1" outlineLevel="1">
      <c r="A1143" s="1">
        <v>21</v>
      </c>
      <c r="B1143" s="11">
        <v>43951</v>
      </c>
      <c r="C1143" s="160">
        <v>1565</v>
      </c>
      <c r="E1143" s="1" t="s">
        <v>610</v>
      </c>
      <c r="F1143" s="22">
        <v>866795037563770</v>
      </c>
      <c r="M1143" s="2" t="s">
        <v>1786</v>
      </c>
      <c r="N1143" s="2" t="s">
        <v>1743</v>
      </c>
      <c r="O1143" s="18">
        <v>43966</v>
      </c>
    </row>
    <row r="1144" spans="1:19" hidden="1" outlineLevel="1">
      <c r="A1144" s="1">
        <v>22</v>
      </c>
      <c r="F1144" s="22">
        <v>866795037689526</v>
      </c>
      <c r="M1144" s="2" t="s">
        <v>1229</v>
      </c>
    </row>
    <row r="1145" spans="1:19" hidden="1" outlineLevel="1">
      <c r="A1145" s="1">
        <v>23</v>
      </c>
      <c r="F1145" s="22">
        <v>866795037693312</v>
      </c>
      <c r="M1145" s="2" t="s">
        <v>1787</v>
      </c>
      <c r="N1145" s="2" t="s">
        <v>1741</v>
      </c>
      <c r="O1145" s="18">
        <v>43953</v>
      </c>
    </row>
    <row r="1146" spans="1:19" hidden="1" outlineLevel="1">
      <c r="A1146" s="1">
        <v>24</v>
      </c>
      <c r="F1146" s="22">
        <v>866795037564307</v>
      </c>
      <c r="M1146" s="2" t="s">
        <v>1788</v>
      </c>
      <c r="N1146" s="2" t="s">
        <v>1741</v>
      </c>
      <c r="O1146" s="18">
        <v>43952</v>
      </c>
    </row>
    <row r="1147" spans="1:19" hidden="1" outlineLevel="1">
      <c r="A1147" s="1">
        <v>25</v>
      </c>
      <c r="F1147" s="22">
        <v>866795037563937</v>
      </c>
      <c r="M1147" s="2" t="s">
        <v>1789</v>
      </c>
      <c r="N1147" s="2" t="s">
        <v>1741</v>
      </c>
      <c r="O1147" s="18">
        <v>43952</v>
      </c>
    </row>
    <row r="1148" spans="1:19" hidden="1" outlineLevel="1">
      <c r="A1148" s="1">
        <v>26</v>
      </c>
      <c r="F1148" s="22">
        <v>866795037689518</v>
      </c>
      <c r="M1148" s="2" t="s">
        <v>1790</v>
      </c>
      <c r="N1148" s="2" t="s">
        <v>1741</v>
      </c>
      <c r="O1148" s="18">
        <v>43953</v>
      </c>
    </row>
    <row r="1149" spans="1:19" hidden="1" outlineLevel="1">
      <c r="A1149" s="1">
        <v>27</v>
      </c>
      <c r="F1149" s="22">
        <v>866795037677968</v>
      </c>
      <c r="M1149" s="2" t="s">
        <v>1791</v>
      </c>
      <c r="N1149" s="2" t="s">
        <v>1741</v>
      </c>
      <c r="O1149" s="18">
        <v>43953</v>
      </c>
    </row>
    <row r="1150" spans="1:19" hidden="1" outlineLevel="1">
      <c r="A1150" s="8"/>
      <c r="B1150" s="58"/>
      <c r="C1150" s="159"/>
      <c r="D1150" s="8"/>
      <c r="E1150" s="8"/>
      <c r="F1150" s="9"/>
      <c r="G1150" s="8"/>
      <c r="H1150" s="8"/>
      <c r="I1150" s="8"/>
      <c r="J1150" s="58"/>
      <c r="K1150" s="8"/>
      <c r="L1150" s="58"/>
      <c r="M1150" s="8"/>
      <c r="N1150" s="8"/>
      <c r="O1150" s="58"/>
      <c r="P1150" s="8"/>
      <c r="Q1150" s="8"/>
      <c r="R1150" s="8"/>
      <c r="S1150" s="8"/>
    </row>
    <row r="1151" spans="1:19" hidden="1" outlineLevel="1">
      <c r="A1151" s="1">
        <v>1</v>
      </c>
      <c r="B1151" s="11">
        <v>43951</v>
      </c>
      <c r="C1151" s="160">
        <v>133</v>
      </c>
      <c r="E1151" s="1" t="s">
        <v>611</v>
      </c>
      <c r="F1151" s="22">
        <v>395728</v>
      </c>
      <c r="M1151" s="2" t="s">
        <v>1229</v>
      </c>
    </row>
    <row r="1152" spans="1:19" hidden="1" outlineLevel="1">
      <c r="A1152" s="1">
        <v>2</v>
      </c>
      <c r="F1152" s="22">
        <v>395727</v>
      </c>
      <c r="M1152" s="2" t="s">
        <v>1229</v>
      </c>
    </row>
    <row r="1153" spans="1:19" hidden="1" outlineLevel="1">
      <c r="A1153" s="8"/>
      <c r="B1153" s="58"/>
      <c r="C1153" s="159"/>
      <c r="D1153" s="8"/>
      <c r="E1153" s="8"/>
      <c r="F1153" s="9"/>
      <c r="G1153" s="8"/>
      <c r="H1153" s="8"/>
      <c r="I1153" s="8"/>
      <c r="J1153" s="58"/>
      <c r="K1153" s="8"/>
      <c r="L1153" s="58"/>
      <c r="M1153" s="8"/>
      <c r="N1153" s="8"/>
      <c r="O1153" s="58"/>
      <c r="P1153" s="8"/>
      <c r="Q1153" s="8"/>
      <c r="R1153" s="8"/>
      <c r="S1153" s="8"/>
    </row>
    <row r="1154" spans="1:19" hidden="1" outlineLevel="1">
      <c r="A1154" s="1">
        <v>1</v>
      </c>
      <c r="B1154" s="11">
        <v>43957</v>
      </c>
      <c r="C1154" s="160">
        <v>1590</v>
      </c>
      <c r="E1154" s="1" t="s">
        <v>149</v>
      </c>
      <c r="F1154" s="22">
        <v>866795037084785</v>
      </c>
      <c r="M1154" s="2" t="s">
        <v>1792</v>
      </c>
      <c r="N1154" s="2" t="s">
        <v>874</v>
      </c>
      <c r="O1154" s="18" t="s">
        <v>836</v>
      </c>
    </row>
    <row r="1155" spans="1:19" hidden="1" outlineLevel="1">
      <c r="A1155" s="1">
        <v>2</v>
      </c>
      <c r="F1155" s="22">
        <v>866795036930681</v>
      </c>
      <c r="M1155" s="2" t="s">
        <v>1793</v>
      </c>
      <c r="N1155" s="2" t="s">
        <v>1794</v>
      </c>
      <c r="O1155" s="18">
        <v>43966</v>
      </c>
    </row>
    <row r="1156" spans="1:19" hidden="1" outlineLevel="1">
      <c r="A1156" s="1">
        <v>3</v>
      </c>
      <c r="F1156" s="22">
        <v>866795036956496</v>
      </c>
      <c r="M1156" s="2" t="s">
        <v>1795</v>
      </c>
      <c r="N1156" s="2" t="s">
        <v>1796</v>
      </c>
      <c r="O1156" s="18" t="s">
        <v>836</v>
      </c>
    </row>
    <row r="1157" spans="1:19" hidden="1" outlineLevel="1">
      <c r="A1157" s="1">
        <v>4</v>
      </c>
      <c r="F1157" s="22">
        <v>866795037139761</v>
      </c>
      <c r="M1157" s="2" t="s">
        <v>1797</v>
      </c>
      <c r="N1157" s="2" t="s">
        <v>1534</v>
      </c>
      <c r="O1157" s="18">
        <v>43966</v>
      </c>
    </row>
    <row r="1158" spans="1:19" hidden="1" outlineLevel="1">
      <c r="A1158" s="1">
        <v>5</v>
      </c>
      <c r="F1158" s="22">
        <v>866795036927109</v>
      </c>
      <c r="M1158" s="2" t="s">
        <v>1798</v>
      </c>
      <c r="N1158" s="2" t="s">
        <v>1794</v>
      </c>
      <c r="O1158" s="18">
        <v>43964</v>
      </c>
    </row>
    <row r="1159" spans="1:19" hidden="1" outlineLevel="1">
      <c r="A1159" s="8"/>
      <c r="B1159" s="58"/>
      <c r="C1159" s="159"/>
      <c r="D1159" s="8"/>
      <c r="E1159" s="8"/>
      <c r="F1159" s="9"/>
      <c r="G1159" s="8"/>
      <c r="H1159" s="8"/>
      <c r="I1159" s="8"/>
      <c r="J1159" s="58"/>
      <c r="K1159" s="8"/>
      <c r="L1159" s="58"/>
      <c r="M1159" s="8"/>
      <c r="N1159" s="8"/>
      <c r="O1159" s="58"/>
      <c r="P1159" s="8"/>
      <c r="Q1159" s="8"/>
      <c r="R1159" s="8"/>
      <c r="S1159" s="8"/>
    </row>
    <row r="1160" spans="1:19" hidden="1" outlineLevel="1">
      <c r="A1160" s="1">
        <v>1</v>
      </c>
      <c r="B1160" s="11">
        <v>43966</v>
      </c>
      <c r="C1160" s="160">
        <v>1641</v>
      </c>
      <c r="E1160" s="1" t="s">
        <v>149</v>
      </c>
      <c r="F1160" s="22">
        <v>866795036041695</v>
      </c>
      <c r="M1160" s="2" t="s">
        <v>1799</v>
      </c>
      <c r="N1160" s="2" t="s">
        <v>1534</v>
      </c>
      <c r="O1160" s="18">
        <v>43972</v>
      </c>
    </row>
    <row r="1161" spans="1:19" hidden="1" outlineLevel="1">
      <c r="A1161" s="1">
        <v>2</v>
      </c>
      <c r="F1161" s="22">
        <v>866795036933032</v>
      </c>
      <c r="M1161" s="2" t="s">
        <v>1800</v>
      </c>
      <c r="N1161" s="2" t="s">
        <v>1706</v>
      </c>
      <c r="O1161" s="18" t="s">
        <v>836</v>
      </c>
    </row>
    <row r="1162" spans="1:19" hidden="1" outlineLevel="1">
      <c r="A1162" s="1">
        <v>3</v>
      </c>
      <c r="F1162" s="22">
        <v>866795037003041</v>
      </c>
      <c r="M1162" s="2" t="s">
        <v>1801</v>
      </c>
      <c r="N1162" s="2" t="s">
        <v>1185</v>
      </c>
      <c r="O1162" s="18">
        <v>43970</v>
      </c>
    </row>
    <row r="1163" spans="1:19" hidden="1" outlineLevel="1">
      <c r="A1163" s="1">
        <v>4</v>
      </c>
      <c r="F1163" s="22">
        <v>866795037151642</v>
      </c>
      <c r="M1163" s="2" t="s">
        <v>1802</v>
      </c>
      <c r="N1163" s="2" t="s">
        <v>1534</v>
      </c>
      <c r="O1163" s="18">
        <v>43970</v>
      </c>
    </row>
    <row r="1164" spans="1:19" hidden="1" outlineLevel="1">
      <c r="A1164" s="1">
        <v>5</v>
      </c>
      <c r="F1164" s="22">
        <v>866795036257523</v>
      </c>
      <c r="M1164" s="2" t="s">
        <v>1803</v>
      </c>
      <c r="N1164" s="2" t="s">
        <v>1706</v>
      </c>
    </row>
    <row r="1165" spans="1:19" hidden="1" outlineLevel="1">
      <c r="A1165" s="1">
        <v>6</v>
      </c>
      <c r="F1165" s="22">
        <v>866795037109921</v>
      </c>
      <c r="M1165" s="2" t="s">
        <v>1804</v>
      </c>
      <c r="N1165" s="2" t="s">
        <v>852</v>
      </c>
      <c r="O1165" s="18">
        <v>43991</v>
      </c>
    </row>
    <row r="1166" spans="1:19" hidden="1" outlineLevel="1">
      <c r="A1166" s="1">
        <v>7</v>
      </c>
      <c r="F1166" s="22">
        <v>866795036992723</v>
      </c>
      <c r="M1166" s="2" t="s">
        <v>1805</v>
      </c>
      <c r="N1166" s="2" t="s">
        <v>1534</v>
      </c>
      <c r="O1166" s="18">
        <v>43970</v>
      </c>
    </row>
    <row r="1167" spans="1:19" hidden="1" outlineLevel="1">
      <c r="A1167" s="1">
        <v>8</v>
      </c>
      <c r="F1167" s="22">
        <v>866795037151733</v>
      </c>
      <c r="M1167" s="2" t="s">
        <v>1806</v>
      </c>
      <c r="N1167" s="2" t="s">
        <v>1534</v>
      </c>
      <c r="O1167" s="18">
        <v>43970</v>
      </c>
    </row>
    <row r="1168" spans="1:19" hidden="1" outlineLevel="1">
      <c r="A1168" s="1">
        <v>9</v>
      </c>
      <c r="F1168" s="22">
        <v>866795036222949</v>
      </c>
      <c r="M1168" s="2" t="s">
        <v>1807</v>
      </c>
      <c r="N1168" s="2" t="s">
        <v>1534</v>
      </c>
      <c r="O1168" s="18">
        <v>43970</v>
      </c>
    </row>
    <row r="1169" spans="1:19" hidden="1" outlineLevel="1">
      <c r="A1169" s="1">
        <v>10</v>
      </c>
      <c r="F1169" s="22">
        <v>866795037156724</v>
      </c>
      <c r="M1169" s="2" t="s">
        <v>1808</v>
      </c>
      <c r="N1169" s="2" t="s">
        <v>1534</v>
      </c>
      <c r="O1169" s="18">
        <v>43970</v>
      </c>
    </row>
    <row r="1170" spans="1:19" hidden="1" outlineLevel="1">
      <c r="A1170" s="8"/>
      <c r="B1170" s="58"/>
      <c r="C1170" s="159"/>
      <c r="D1170" s="8"/>
      <c r="E1170" s="8"/>
      <c r="F1170" s="9"/>
      <c r="G1170" s="8"/>
      <c r="H1170" s="8"/>
      <c r="I1170" s="8"/>
      <c r="J1170" s="58"/>
      <c r="K1170" s="8"/>
      <c r="L1170" s="58"/>
      <c r="M1170" s="8"/>
      <c r="N1170" s="8"/>
      <c r="O1170" s="58"/>
      <c r="P1170" s="8"/>
      <c r="Q1170" s="8"/>
      <c r="R1170" s="8"/>
      <c r="S1170" s="8"/>
    </row>
    <row r="1171" spans="1:19" hidden="1" outlineLevel="1">
      <c r="A1171" s="1">
        <v>1</v>
      </c>
      <c r="B1171" s="11">
        <v>43969</v>
      </c>
      <c r="C1171" s="160">
        <v>1648</v>
      </c>
      <c r="E1171" s="1" t="s">
        <v>608</v>
      </c>
      <c r="F1171" s="22">
        <v>866795037104203</v>
      </c>
      <c r="M1171" s="2" t="s">
        <v>1809</v>
      </c>
      <c r="N1171" s="2" t="s">
        <v>847</v>
      </c>
      <c r="O1171" s="18">
        <v>43970</v>
      </c>
    </row>
    <row r="1172" spans="1:19" hidden="1" outlineLevel="1">
      <c r="A1172" s="1">
        <v>2</v>
      </c>
      <c r="F1172" s="22">
        <v>866795036159505</v>
      </c>
      <c r="M1172" s="2" t="s">
        <v>1229</v>
      </c>
    </row>
    <row r="1173" spans="1:19" hidden="1" outlineLevel="1">
      <c r="A1173" s="1">
        <v>3</v>
      </c>
      <c r="F1173" s="22">
        <v>866795037136478</v>
      </c>
      <c r="M1173" s="2" t="s">
        <v>1229</v>
      </c>
    </row>
    <row r="1174" spans="1:19" hidden="1" outlineLevel="1">
      <c r="A1174" s="1">
        <v>4</v>
      </c>
      <c r="F1174" s="22">
        <v>866795036969853</v>
      </c>
      <c r="M1174" s="2" t="s">
        <v>1810</v>
      </c>
      <c r="N1174" s="2" t="s">
        <v>1811</v>
      </c>
    </row>
    <row r="1175" spans="1:19" hidden="1" outlineLevel="1">
      <c r="A1175" s="1">
        <v>5</v>
      </c>
      <c r="F1175" s="22">
        <v>866795036186466</v>
      </c>
      <c r="M1175" s="2" t="s">
        <v>1812</v>
      </c>
      <c r="N1175" s="2" t="s">
        <v>1811</v>
      </c>
    </row>
    <row r="1176" spans="1:19" hidden="1" outlineLevel="1">
      <c r="A1176" s="8"/>
      <c r="B1176" s="58"/>
      <c r="C1176" s="159"/>
      <c r="D1176" s="8"/>
      <c r="E1176" s="8"/>
      <c r="F1176" s="9"/>
      <c r="G1176" s="8"/>
      <c r="H1176" s="8"/>
      <c r="I1176" s="8"/>
      <c r="J1176" s="58"/>
      <c r="K1176" s="8"/>
      <c r="L1176" s="58"/>
      <c r="M1176" s="8"/>
      <c r="N1176" s="8"/>
      <c r="O1176" s="58"/>
      <c r="P1176" s="8"/>
      <c r="Q1176" s="8"/>
      <c r="R1176" s="8"/>
      <c r="S1176" s="8"/>
    </row>
    <row r="1177" spans="1:19" hidden="1" outlineLevel="1">
      <c r="A1177" s="1">
        <v>1</v>
      </c>
      <c r="B1177" s="11">
        <v>43971</v>
      </c>
      <c r="C1177" s="160">
        <v>1805</v>
      </c>
      <c r="E1177" s="1" t="s">
        <v>608</v>
      </c>
      <c r="F1177" s="22">
        <v>866795037133426</v>
      </c>
      <c r="M1177" s="2">
        <v>866795037133426</v>
      </c>
      <c r="N1177" s="2" t="s">
        <v>1813</v>
      </c>
    </row>
    <row r="1178" spans="1:19" hidden="1" outlineLevel="1">
      <c r="A1178" s="1">
        <v>2</v>
      </c>
      <c r="F1178" s="22">
        <v>866795036217659</v>
      </c>
      <c r="M1178" s="2">
        <v>866795036217659</v>
      </c>
      <c r="N1178" s="2" t="s">
        <v>1813</v>
      </c>
    </row>
    <row r="1179" spans="1:19" hidden="1" outlineLevel="1">
      <c r="A1179" s="1">
        <v>3</v>
      </c>
      <c r="F1179" s="22">
        <v>866795037104286</v>
      </c>
      <c r="M1179" s="2">
        <v>866795037104286</v>
      </c>
      <c r="N1179" s="2" t="s">
        <v>1813</v>
      </c>
    </row>
    <row r="1180" spans="1:19" hidden="1" outlineLevel="1">
      <c r="A1180" s="1">
        <v>4</v>
      </c>
      <c r="F1180" s="22">
        <v>866795037133822</v>
      </c>
      <c r="M1180" s="2">
        <v>866795037133822</v>
      </c>
      <c r="N1180" s="2" t="s">
        <v>1813</v>
      </c>
    </row>
    <row r="1181" spans="1:19" hidden="1" outlineLevel="1">
      <c r="A1181" s="1">
        <v>5</v>
      </c>
      <c r="F1181" s="22">
        <v>866795036058301</v>
      </c>
      <c r="M1181" s="2">
        <v>866795036058301</v>
      </c>
      <c r="N1181" s="2" t="s">
        <v>1813</v>
      </c>
    </row>
    <row r="1182" spans="1:19" hidden="1" outlineLevel="1">
      <c r="A1182" s="1">
        <v>6</v>
      </c>
      <c r="F1182" s="22">
        <v>866795036969580</v>
      </c>
      <c r="M1182" s="2">
        <v>866795036969580</v>
      </c>
      <c r="N1182" s="2" t="s">
        <v>1813</v>
      </c>
    </row>
    <row r="1183" spans="1:19" hidden="1" outlineLevel="1">
      <c r="A1183" s="1">
        <v>7</v>
      </c>
      <c r="F1183" s="22">
        <v>866795036123329</v>
      </c>
      <c r="M1183" s="2">
        <v>866795036123329</v>
      </c>
      <c r="N1183" s="2" t="s">
        <v>1813</v>
      </c>
    </row>
    <row r="1184" spans="1:19" hidden="1" outlineLevel="1">
      <c r="A1184" s="1">
        <v>8</v>
      </c>
      <c r="F1184" s="22">
        <v>866795036120820</v>
      </c>
      <c r="M1184" s="2">
        <v>866795036120820</v>
      </c>
      <c r="N1184" s="2" t="s">
        <v>1813</v>
      </c>
    </row>
    <row r="1185" spans="1:19" hidden="1" outlineLevel="1">
      <c r="A1185" s="1">
        <v>9</v>
      </c>
      <c r="F1185" s="22">
        <v>866795036122966</v>
      </c>
      <c r="M1185" s="2">
        <v>866795036122966</v>
      </c>
      <c r="N1185" s="2" t="s">
        <v>1813</v>
      </c>
    </row>
    <row r="1186" spans="1:19" hidden="1" outlineLevel="1">
      <c r="A1186" s="1">
        <v>10</v>
      </c>
      <c r="F1186" s="22">
        <v>866795036120903</v>
      </c>
      <c r="M1186" s="2">
        <v>866795036120903</v>
      </c>
      <c r="N1186" s="2" t="s">
        <v>1813</v>
      </c>
    </row>
    <row r="1187" spans="1:19" hidden="1" outlineLevel="1">
      <c r="A1187" s="1">
        <v>11</v>
      </c>
      <c r="E1187" s="1" t="s">
        <v>149</v>
      </c>
      <c r="F1187" s="22">
        <v>866795036998092</v>
      </c>
      <c r="M1187" s="2" t="s">
        <v>1814</v>
      </c>
      <c r="N1187" s="2" t="s">
        <v>1815</v>
      </c>
    </row>
    <row r="1188" spans="1:19" hidden="1" outlineLevel="1">
      <c r="A1188" s="1">
        <v>12</v>
      </c>
      <c r="F1188" s="22">
        <v>866795036956546</v>
      </c>
      <c r="M1188" s="2" t="s">
        <v>1816</v>
      </c>
      <c r="N1188" s="2" t="s">
        <v>874</v>
      </c>
    </row>
    <row r="1189" spans="1:19" hidden="1" outlineLevel="1">
      <c r="A1189" s="1">
        <v>13</v>
      </c>
      <c r="F1189" s="22">
        <v>866795037139514</v>
      </c>
      <c r="M1189" s="2" t="s">
        <v>1817</v>
      </c>
      <c r="N1189" s="2" t="s">
        <v>1479</v>
      </c>
      <c r="O1189" s="18">
        <v>43978</v>
      </c>
    </row>
    <row r="1190" spans="1:19" hidden="1" outlineLevel="1">
      <c r="A1190" s="1">
        <v>14</v>
      </c>
      <c r="F1190" s="22">
        <v>866795037122494</v>
      </c>
      <c r="M1190" s="2" t="s">
        <v>1818</v>
      </c>
      <c r="N1190" s="2" t="s">
        <v>1815</v>
      </c>
      <c r="O1190" s="18">
        <v>43973</v>
      </c>
    </row>
    <row r="1191" spans="1:19" hidden="1" outlineLevel="1">
      <c r="A1191" s="1">
        <v>15</v>
      </c>
      <c r="F1191" s="22">
        <v>866795037176151</v>
      </c>
      <c r="M1191" s="2" t="s">
        <v>1819</v>
      </c>
      <c r="N1191" s="2" t="s">
        <v>923</v>
      </c>
      <c r="O1191" s="18">
        <v>43979</v>
      </c>
    </row>
    <row r="1192" spans="1:19" hidden="1" outlineLevel="1">
      <c r="A1192" s="8"/>
      <c r="B1192" s="58"/>
      <c r="C1192" s="159"/>
      <c r="D1192" s="8"/>
      <c r="E1192" s="8"/>
      <c r="F1192" s="9"/>
      <c r="G1192" s="8"/>
      <c r="H1192" s="8"/>
      <c r="I1192" s="8"/>
      <c r="J1192" s="58"/>
      <c r="K1192" s="8"/>
      <c r="L1192" s="58"/>
      <c r="M1192" s="8"/>
      <c r="N1192" s="8"/>
      <c r="O1192" s="58"/>
      <c r="P1192" s="8"/>
      <c r="Q1192" s="8"/>
      <c r="R1192" s="8"/>
      <c r="S1192" s="8"/>
    </row>
    <row r="1193" spans="1:19" hidden="1" outlineLevel="1">
      <c r="A1193" s="1">
        <v>1</v>
      </c>
      <c r="B1193" s="11">
        <v>43973</v>
      </c>
      <c r="C1193" s="160">
        <v>1836</v>
      </c>
      <c r="E1193" s="1" t="s">
        <v>149</v>
      </c>
      <c r="F1193" s="22">
        <v>866795036999116</v>
      </c>
      <c r="M1193" s="2" t="s">
        <v>1820</v>
      </c>
      <c r="N1193" s="2" t="s">
        <v>1708</v>
      </c>
      <c r="O1193" s="18">
        <v>43986</v>
      </c>
    </row>
    <row r="1194" spans="1:19" hidden="1" outlineLevel="1">
      <c r="A1194" s="1">
        <v>2</v>
      </c>
      <c r="F1194" s="22">
        <v>866795037123054</v>
      </c>
      <c r="M1194" s="2" t="s">
        <v>1821</v>
      </c>
      <c r="N1194" s="2" t="s">
        <v>1335</v>
      </c>
      <c r="O1194" s="18">
        <v>43978</v>
      </c>
    </row>
    <row r="1195" spans="1:19" hidden="1" outlineLevel="1">
      <c r="A1195" s="1">
        <v>3</v>
      </c>
      <c r="F1195" s="22">
        <v>866795037072186</v>
      </c>
      <c r="M1195" s="2" t="s">
        <v>1822</v>
      </c>
      <c r="N1195" s="2" t="s">
        <v>1005</v>
      </c>
      <c r="O1195" s="18">
        <v>43974</v>
      </c>
    </row>
    <row r="1196" spans="1:19" hidden="1" outlineLevel="1">
      <c r="A1196" s="1">
        <v>4</v>
      </c>
      <c r="F1196" s="22">
        <v>866795037061510</v>
      </c>
      <c r="M1196" s="2" t="s">
        <v>1823</v>
      </c>
      <c r="N1196" s="2" t="s">
        <v>1335</v>
      </c>
      <c r="O1196" s="18">
        <v>43978</v>
      </c>
    </row>
    <row r="1197" spans="1:19" hidden="1" outlineLevel="1">
      <c r="A1197" s="1">
        <v>5</v>
      </c>
      <c r="F1197" s="22">
        <v>866795037175401</v>
      </c>
      <c r="M1197" s="2" t="s">
        <v>1824</v>
      </c>
      <c r="N1197" s="2" t="s">
        <v>938</v>
      </c>
      <c r="O1197" s="18">
        <v>43976</v>
      </c>
    </row>
    <row r="1198" spans="1:19" hidden="1" outlineLevel="1">
      <c r="A1198" s="1">
        <v>6</v>
      </c>
      <c r="F1198" s="22">
        <v>866795036993168</v>
      </c>
      <c r="M1198" s="2" t="s">
        <v>1825</v>
      </c>
      <c r="N1198" s="2" t="s">
        <v>1335</v>
      </c>
      <c r="O1198" s="18">
        <v>43978</v>
      </c>
    </row>
    <row r="1199" spans="1:19" hidden="1" outlineLevel="1">
      <c r="A1199" s="1">
        <v>7</v>
      </c>
      <c r="F1199" s="22">
        <v>866795037058573</v>
      </c>
      <c r="M1199" s="2" t="s">
        <v>1826</v>
      </c>
      <c r="N1199" s="2" t="s">
        <v>1335</v>
      </c>
      <c r="O1199" s="18">
        <v>43978</v>
      </c>
    </row>
    <row r="1200" spans="1:19" hidden="1" outlineLevel="1">
      <c r="A1200" s="1">
        <v>8</v>
      </c>
      <c r="F1200" s="22">
        <v>866795037060942</v>
      </c>
      <c r="M1200" s="2" t="s">
        <v>1827</v>
      </c>
      <c r="N1200" s="2" t="s">
        <v>1005</v>
      </c>
      <c r="O1200" s="18">
        <v>43974</v>
      </c>
    </row>
    <row r="1201" spans="1:19" hidden="1" outlineLevel="1">
      <c r="A1201" s="1">
        <v>9</v>
      </c>
      <c r="F1201" s="22">
        <v>866795037071543</v>
      </c>
      <c r="M1201" s="2" t="s">
        <v>1828</v>
      </c>
      <c r="N1201" s="2" t="s">
        <v>1005</v>
      </c>
      <c r="O1201" s="18">
        <v>43977</v>
      </c>
    </row>
    <row r="1202" spans="1:19" hidden="1" outlineLevel="1">
      <c r="A1202" s="1">
        <v>10</v>
      </c>
      <c r="F1202" s="22">
        <v>866795037005251</v>
      </c>
      <c r="M1202" s="2" t="s">
        <v>1829</v>
      </c>
      <c r="N1202" s="2" t="s">
        <v>284</v>
      </c>
      <c r="O1202" s="18">
        <v>44000</v>
      </c>
    </row>
    <row r="1203" spans="1:19" hidden="1" outlineLevel="1">
      <c r="A1203" s="8"/>
      <c r="B1203" s="58"/>
      <c r="C1203" s="159"/>
      <c r="D1203" s="8"/>
      <c r="E1203" s="8"/>
      <c r="F1203" s="9"/>
      <c r="G1203" s="8"/>
      <c r="H1203" s="8"/>
      <c r="I1203" s="8"/>
      <c r="J1203" s="58"/>
      <c r="K1203" s="8"/>
      <c r="L1203" s="58"/>
      <c r="M1203" s="8"/>
      <c r="N1203" s="8"/>
      <c r="O1203" s="58"/>
      <c r="P1203" s="8"/>
      <c r="Q1203" s="8"/>
      <c r="R1203" s="8"/>
      <c r="S1203" s="8"/>
    </row>
    <row r="1204" spans="1:19" hidden="1" outlineLevel="1">
      <c r="A1204" s="1">
        <v>1</v>
      </c>
      <c r="B1204" s="11">
        <v>43977</v>
      </c>
      <c r="C1204" s="160">
        <v>1874</v>
      </c>
      <c r="E1204" s="1" t="s">
        <v>608</v>
      </c>
      <c r="F1204" s="22">
        <v>866795036122917</v>
      </c>
      <c r="M1204" s="2" t="s">
        <v>1830</v>
      </c>
      <c r="N1204" s="2" t="s">
        <v>1163</v>
      </c>
      <c r="O1204" s="18">
        <v>43984</v>
      </c>
    </row>
    <row r="1205" spans="1:19" hidden="1" outlineLevel="1">
      <c r="A1205" s="1">
        <v>2</v>
      </c>
      <c r="F1205" s="22">
        <v>866795036112967</v>
      </c>
      <c r="M1205" s="2" t="s">
        <v>1831</v>
      </c>
      <c r="N1205" s="2" t="s">
        <v>1163</v>
      </c>
      <c r="O1205" s="18">
        <v>43984</v>
      </c>
    </row>
    <row r="1206" spans="1:19" hidden="1" outlineLevel="1">
      <c r="A1206" s="1">
        <v>3</v>
      </c>
      <c r="F1206" s="22">
        <v>866795036072252</v>
      </c>
      <c r="M1206" s="2" t="s">
        <v>1832</v>
      </c>
      <c r="N1206" s="2" t="s">
        <v>1163</v>
      </c>
      <c r="O1206" s="18">
        <v>43984</v>
      </c>
    </row>
    <row r="1207" spans="1:19" hidden="1" outlineLevel="1">
      <c r="A1207" s="1">
        <v>4</v>
      </c>
      <c r="F1207" s="22">
        <v>866795036070140</v>
      </c>
      <c r="M1207" s="2" t="s">
        <v>1833</v>
      </c>
      <c r="N1207" s="2" t="s">
        <v>1834</v>
      </c>
      <c r="O1207" s="18">
        <v>43984</v>
      </c>
    </row>
    <row r="1208" spans="1:19" hidden="1" outlineLevel="1">
      <c r="A1208" s="1">
        <v>5</v>
      </c>
      <c r="F1208" s="22">
        <v>866795036170510</v>
      </c>
      <c r="M1208" s="2" t="s">
        <v>1835</v>
      </c>
      <c r="N1208" s="2" t="s">
        <v>852</v>
      </c>
      <c r="O1208" s="18">
        <v>44004</v>
      </c>
    </row>
    <row r="1209" spans="1:19" hidden="1" outlineLevel="1">
      <c r="A1209" s="1">
        <v>6</v>
      </c>
      <c r="E1209" s="1" t="s">
        <v>149</v>
      </c>
      <c r="F1209" s="22">
        <v>866795037122775</v>
      </c>
      <c r="M1209" s="2" t="s">
        <v>1836</v>
      </c>
      <c r="N1209" s="2" t="s">
        <v>1569</v>
      </c>
    </row>
    <row r="1210" spans="1:19" hidden="1" outlineLevel="1">
      <c r="A1210" s="1">
        <v>7</v>
      </c>
      <c r="F1210" s="22">
        <v>866795037062195</v>
      </c>
      <c r="M1210" s="2" t="s">
        <v>1837</v>
      </c>
      <c r="N1210" s="2" t="s">
        <v>1569</v>
      </c>
      <c r="O1210" s="18">
        <v>43999</v>
      </c>
    </row>
    <row r="1211" spans="1:19" hidden="1" outlineLevel="1">
      <c r="A1211" s="1">
        <v>8</v>
      </c>
      <c r="F1211" s="22">
        <v>866795037122700</v>
      </c>
      <c r="M1211" s="2" t="s">
        <v>1838</v>
      </c>
      <c r="N1211" s="2" t="s">
        <v>1335</v>
      </c>
      <c r="O1211" s="18">
        <v>43978</v>
      </c>
    </row>
    <row r="1212" spans="1:19" hidden="1" outlineLevel="1">
      <c r="A1212" s="1">
        <v>9</v>
      </c>
      <c r="F1212" s="22">
        <v>866795037155361</v>
      </c>
      <c r="M1212" s="2" t="s">
        <v>1839</v>
      </c>
      <c r="N1212" s="2" t="s">
        <v>1335</v>
      </c>
      <c r="O1212" s="18">
        <v>43978</v>
      </c>
    </row>
    <row r="1213" spans="1:19" hidden="1" outlineLevel="1">
      <c r="A1213" s="1">
        <v>10</v>
      </c>
      <c r="F1213" s="22">
        <v>866795037053806</v>
      </c>
      <c r="M1213" s="2" t="s">
        <v>1840</v>
      </c>
      <c r="N1213" s="2" t="s">
        <v>1335</v>
      </c>
    </row>
    <row r="1214" spans="1:19" hidden="1" outlineLevel="1">
      <c r="A1214" s="1">
        <v>11</v>
      </c>
      <c r="F1214" s="22">
        <v>866795037123203</v>
      </c>
      <c r="M1214" s="2" t="s">
        <v>1841</v>
      </c>
      <c r="N1214" s="2" t="s">
        <v>852</v>
      </c>
      <c r="O1214" s="18">
        <v>43987</v>
      </c>
    </row>
    <row r="1215" spans="1:19" hidden="1" outlineLevel="1">
      <c r="A1215" s="1">
        <v>12</v>
      </c>
      <c r="F1215" s="22">
        <v>866795037003819</v>
      </c>
      <c r="M1215" s="2" t="s">
        <v>1229</v>
      </c>
    </row>
    <row r="1216" spans="1:19" hidden="1" outlineLevel="1">
      <c r="A1216" s="1">
        <v>13</v>
      </c>
      <c r="F1216" s="22">
        <v>866795037002761</v>
      </c>
      <c r="M1216" s="2" t="s">
        <v>1842</v>
      </c>
      <c r="N1216" s="2" t="s">
        <v>1569</v>
      </c>
      <c r="O1216" s="18">
        <v>43987</v>
      </c>
    </row>
    <row r="1217" spans="1:19" hidden="1" outlineLevel="1">
      <c r="A1217" s="1">
        <v>14</v>
      </c>
      <c r="F1217" s="22">
        <v>866795037109954</v>
      </c>
      <c r="M1217" s="2" t="s">
        <v>1843</v>
      </c>
      <c r="N1217" s="2" t="s">
        <v>1569</v>
      </c>
      <c r="O1217" s="18">
        <v>43987</v>
      </c>
    </row>
    <row r="1218" spans="1:19" hidden="1" outlineLevel="1">
      <c r="A1218" s="1">
        <v>15</v>
      </c>
      <c r="F1218" s="22">
        <v>866795036993069</v>
      </c>
      <c r="M1218" s="2" t="s">
        <v>1844</v>
      </c>
      <c r="N1218" s="2" t="s">
        <v>1569</v>
      </c>
      <c r="O1218" s="18">
        <v>43987</v>
      </c>
    </row>
    <row r="1219" spans="1:19" hidden="1" outlineLevel="1">
      <c r="A1219" s="8"/>
      <c r="B1219" s="58"/>
      <c r="C1219" s="159"/>
      <c r="D1219" s="8"/>
      <c r="E1219" s="8"/>
      <c r="F1219" s="9"/>
      <c r="G1219" s="8"/>
      <c r="H1219" s="8"/>
      <c r="I1219" s="8"/>
      <c r="J1219" s="58"/>
      <c r="K1219" s="8"/>
      <c r="L1219" s="58"/>
      <c r="M1219" s="8"/>
      <c r="N1219" s="8"/>
      <c r="O1219" s="58"/>
      <c r="P1219" s="8"/>
      <c r="Q1219" s="8"/>
      <c r="R1219" s="8"/>
      <c r="S1219" s="8"/>
    </row>
    <row r="1220" spans="1:19" hidden="1" outlineLevel="1">
      <c r="A1220" s="1">
        <v>1</v>
      </c>
      <c r="B1220" s="11">
        <v>43983</v>
      </c>
      <c r="C1220" s="160">
        <v>1922</v>
      </c>
      <c r="E1220" s="1" t="s">
        <v>608</v>
      </c>
      <c r="F1220" s="22">
        <v>866795036922605</v>
      </c>
      <c r="M1220" s="2" t="s">
        <v>1845</v>
      </c>
      <c r="N1220" s="2" t="s">
        <v>1846</v>
      </c>
      <c r="O1220" s="18">
        <v>43984</v>
      </c>
    </row>
    <row r="1221" spans="1:19" hidden="1" outlineLevel="1">
      <c r="A1221" s="1">
        <v>2</v>
      </c>
      <c r="F1221" s="22">
        <v>866795037103387</v>
      </c>
      <c r="M1221" s="2" t="s">
        <v>1847</v>
      </c>
      <c r="N1221" s="2" t="s">
        <v>1846</v>
      </c>
      <c r="O1221" s="18">
        <v>43984</v>
      </c>
    </row>
    <row r="1222" spans="1:19" hidden="1" outlineLevel="1">
      <c r="A1222" s="1">
        <v>3</v>
      </c>
      <c r="F1222" s="22">
        <v>866795037134572</v>
      </c>
      <c r="M1222" s="2" t="s">
        <v>1848</v>
      </c>
      <c r="N1222" s="2" t="s">
        <v>1846</v>
      </c>
      <c r="O1222" s="18">
        <v>43984</v>
      </c>
    </row>
    <row r="1223" spans="1:19" hidden="1" outlineLevel="1">
      <c r="A1223" s="1">
        <v>4</v>
      </c>
      <c r="F1223" s="22">
        <v>866795037134382</v>
      </c>
      <c r="M1223" s="2" t="s">
        <v>1849</v>
      </c>
      <c r="N1223" s="2" t="s">
        <v>1846</v>
      </c>
      <c r="O1223" s="18">
        <v>43984</v>
      </c>
    </row>
    <row r="1224" spans="1:19" hidden="1" outlineLevel="1">
      <c r="A1224" s="1">
        <v>5</v>
      </c>
      <c r="F1224" s="22">
        <v>866795037161740</v>
      </c>
      <c r="M1224" s="2" t="s">
        <v>1850</v>
      </c>
      <c r="N1224" s="2" t="s">
        <v>1846</v>
      </c>
      <c r="O1224" s="18">
        <v>43984</v>
      </c>
    </row>
    <row r="1225" spans="1:19" hidden="1" outlineLevel="1">
      <c r="A1225" s="1">
        <v>6</v>
      </c>
      <c r="E1225" s="1" t="s">
        <v>149</v>
      </c>
      <c r="F1225" s="22">
        <v>866795037184064</v>
      </c>
      <c r="M1225" s="2" t="s">
        <v>1851</v>
      </c>
      <c r="N1225" s="2" t="s">
        <v>284</v>
      </c>
      <c r="O1225" s="18">
        <v>44000</v>
      </c>
    </row>
    <row r="1226" spans="1:19" hidden="1" outlineLevel="1">
      <c r="A1226" s="1">
        <v>7</v>
      </c>
      <c r="F1226" s="22">
        <v>866795037167069</v>
      </c>
      <c r="M1226" s="2" t="s">
        <v>1852</v>
      </c>
      <c r="N1226" s="2" t="s">
        <v>841</v>
      </c>
      <c r="O1226" s="18">
        <v>43985</v>
      </c>
    </row>
    <row r="1227" spans="1:19" hidden="1" outlineLevel="1">
      <c r="A1227" s="1">
        <v>8</v>
      </c>
      <c r="F1227" s="22">
        <v>866795037186747</v>
      </c>
      <c r="M1227" s="2" t="s">
        <v>1853</v>
      </c>
      <c r="N1227" s="2" t="s">
        <v>860</v>
      </c>
      <c r="O1227" s="18">
        <v>43991</v>
      </c>
    </row>
    <row r="1228" spans="1:19" hidden="1" outlineLevel="1">
      <c r="A1228" s="1">
        <v>9</v>
      </c>
      <c r="F1228" s="22">
        <v>866795037070875</v>
      </c>
      <c r="M1228" s="2" t="s">
        <v>1854</v>
      </c>
      <c r="N1228" s="2" t="s">
        <v>1643</v>
      </c>
      <c r="O1228" s="18">
        <v>43998</v>
      </c>
    </row>
    <row r="1229" spans="1:19" hidden="1" outlineLevel="1">
      <c r="A1229" s="1">
        <v>10</v>
      </c>
      <c r="F1229" s="22">
        <v>866795037084130</v>
      </c>
      <c r="M1229" s="2" t="s">
        <v>1229</v>
      </c>
    </row>
    <row r="1230" spans="1:19" hidden="1" outlineLevel="1">
      <c r="A1230" s="1">
        <v>11</v>
      </c>
      <c r="F1230" s="22">
        <v>866795037132477</v>
      </c>
      <c r="M1230" s="2" t="s">
        <v>1855</v>
      </c>
      <c r="N1230" s="2" t="s">
        <v>1708</v>
      </c>
      <c r="O1230" s="18">
        <v>43997</v>
      </c>
    </row>
    <row r="1231" spans="1:19" hidden="1" outlineLevel="1">
      <c r="A1231" s="1">
        <v>12</v>
      </c>
      <c r="F1231" s="22">
        <v>866795037115852</v>
      </c>
      <c r="M1231" s="2" t="s">
        <v>1856</v>
      </c>
      <c r="N1231" s="2" t="s">
        <v>1643</v>
      </c>
      <c r="O1231" s="18">
        <v>43998</v>
      </c>
    </row>
    <row r="1232" spans="1:19" hidden="1" outlineLevel="1">
      <c r="A1232" s="1">
        <v>13</v>
      </c>
      <c r="F1232" s="22">
        <v>866795037155304</v>
      </c>
      <c r="M1232" s="2" t="s">
        <v>1857</v>
      </c>
      <c r="N1232" s="2" t="s">
        <v>1643</v>
      </c>
      <c r="O1232" s="18">
        <v>43991</v>
      </c>
    </row>
    <row r="1233" spans="1:19" hidden="1" outlineLevel="1">
      <c r="A1233" s="1">
        <v>14</v>
      </c>
      <c r="F1233" s="22">
        <v>866795037156419</v>
      </c>
      <c r="M1233" s="2" t="s">
        <v>1858</v>
      </c>
      <c r="N1233" s="2" t="s">
        <v>1515</v>
      </c>
      <c r="O1233" s="18">
        <v>43987</v>
      </c>
    </row>
    <row r="1234" spans="1:19" hidden="1" outlineLevel="1">
      <c r="A1234" s="1">
        <v>15</v>
      </c>
      <c r="F1234" s="22">
        <v>866795037181052</v>
      </c>
      <c r="M1234" s="2" t="s">
        <v>1859</v>
      </c>
      <c r="N1234" s="2" t="s">
        <v>1147</v>
      </c>
      <c r="O1234" s="18">
        <v>44001</v>
      </c>
    </row>
    <row r="1235" spans="1:19" hidden="1" outlineLevel="1">
      <c r="A1235" s="8"/>
      <c r="B1235" s="58"/>
      <c r="C1235" s="159"/>
      <c r="D1235" s="8"/>
      <c r="E1235" s="8"/>
      <c r="F1235" s="9"/>
      <c r="G1235" s="8"/>
      <c r="H1235" s="8"/>
      <c r="I1235" s="8"/>
      <c r="J1235" s="58"/>
      <c r="K1235" s="8"/>
      <c r="L1235" s="58"/>
      <c r="M1235" s="8"/>
      <c r="N1235" s="8"/>
      <c r="O1235" s="58"/>
      <c r="P1235" s="8"/>
      <c r="Q1235" s="8"/>
      <c r="R1235" s="8"/>
      <c r="S1235" s="8"/>
    </row>
    <row r="1236" spans="1:19" hidden="1" outlineLevel="1">
      <c r="A1236" s="1">
        <v>1</v>
      </c>
      <c r="B1236" s="11">
        <v>43985</v>
      </c>
      <c r="C1236" s="160">
        <v>1937</v>
      </c>
      <c r="E1236" s="1" t="s">
        <v>608</v>
      </c>
      <c r="F1236" s="22">
        <v>866795037131255</v>
      </c>
      <c r="M1236" s="2" t="s">
        <v>1860</v>
      </c>
      <c r="N1236" s="2" t="s">
        <v>1861</v>
      </c>
    </row>
    <row r="1237" spans="1:19" hidden="1" outlineLevel="1">
      <c r="A1237" s="1">
        <v>2</v>
      </c>
      <c r="F1237" s="22">
        <v>866795037130901</v>
      </c>
      <c r="M1237" s="2" t="s">
        <v>1862</v>
      </c>
      <c r="N1237" s="2" t="s">
        <v>1863</v>
      </c>
    </row>
    <row r="1238" spans="1:19" hidden="1" outlineLevel="1">
      <c r="A1238" s="1">
        <v>3</v>
      </c>
      <c r="F1238" s="22">
        <v>866795037065131</v>
      </c>
      <c r="M1238" s="2" t="s">
        <v>1864</v>
      </c>
      <c r="N1238" s="2" t="s">
        <v>1719</v>
      </c>
      <c r="O1238" s="18">
        <v>43993</v>
      </c>
    </row>
    <row r="1239" spans="1:19" hidden="1" outlineLevel="1">
      <c r="A1239" s="1">
        <v>4</v>
      </c>
      <c r="F1239" s="22">
        <v>866795037130976</v>
      </c>
      <c r="M1239" s="2" t="s">
        <v>1865</v>
      </c>
      <c r="N1239" s="2" t="s">
        <v>1507</v>
      </c>
      <c r="O1239" s="18" t="s">
        <v>836</v>
      </c>
    </row>
    <row r="1240" spans="1:19" hidden="1" outlineLevel="1">
      <c r="A1240" s="1">
        <v>5</v>
      </c>
      <c r="F1240" s="22">
        <v>866795036985651</v>
      </c>
      <c r="M1240" s="2" t="s">
        <v>1866</v>
      </c>
      <c r="N1240" s="2" t="s">
        <v>1867</v>
      </c>
      <c r="O1240" s="18" t="s">
        <v>836</v>
      </c>
    </row>
    <row r="1241" spans="1:19" hidden="1" outlineLevel="1">
      <c r="A1241" s="1">
        <v>6</v>
      </c>
      <c r="F1241" s="22">
        <v>866795036982302</v>
      </c>
      <c r="M1241" s="2" t="s">
        <v>1229</v>
      </c>
    </row>
    <row r="1242" spans="1:19" hidden="1" outlineLevel="1">
      <c r="A1242" s="1">
        <v>7</v>
      </c>
      <c r="F1242" s="22">
        <v>866795037134242</v>
      </c>
      <c r="M1242" s="2" t="s">
        <v>1229</v>
      </c>
    </row>
    <row r="1243" spans="1:19" hidden="1" outlineLevel="1">
      <c r="A1243" s="1">
        <v>8</v>
      </c>
      <c r="F1243" s="22">
        <v>866795036936654</v>
      </c>
      <c r="M1243" s="2" t="s">
        <v>1229</v>
      </c>
    </row>
    <row r="1244" spans="1:19" hidden="1" outlineLevel="1">
      <c r="A1244" s="1">
        <v>9</v>
      </c>
      <c r="F1244" s="22">
        <v>866795036938320</v>
      </c>
      <c r="M1244" s="2" t="s">
        <v>1229</v>
      </c>
    </row>
    <row r="1245" spans="1:19" hidden="1" outlineLevel="1">
      <c r="A1245" s="1">
        <v>10</v>
      </c>
      <c r="F1245" s="22">
        <v>866795036923207</v>
      </c>
      <c r="M1245" s="2" t="s">
        <v>1229</v>
      </c>
    </row>
    <row r="1246" spans="1:19" hidden="1" outlineLevel="1">
      <c r="A1246" s="8"/>
      <c r="B1246" s="58"/>
      <c r="C1246" s="159"/>
      <c r="D1246" s="8"/>
      <c r="E1246" s="8"/>
      <c r="F1246" s="9"/>
      <c r="G1246" s="8"/>
      <c r="H1246" s="8"/>
      <c r="I1246" s="8"/>
      <c r="J1246" s="58"/>
      <c r="K1246" s="8"/>
      <c r="L1246" s="58"/>
      <c r="M1246" s="8"/>
      <c r="N1246" s="8"/>
      <c r="O1246" s="58"/>
      <c r="P1246" s="8"/>
      <c r="Q1246" s="8"/>
      <c r="R1246" s="8"/>
      <c r="S1246" s="8"/>
    </row>
    <row r="1247" spans="1:19" hidden="1" outlineLevel="1">
      <c r="A1247" s="1">
        <v>1</v>
      </c>
      <c r="B1247" s="11">
        <v>43990</v>
      </c>
      <c r="C1247" s="160">
        <v>1980</v>
      </c>
      <c r="E1247" s="1" t="s">
        <v>149</v>
      </c>
      <c r="F1247" s="22">
        <v>866795036096756</v>
      </c>
      <c r="M1247" s="2" t="s">
        <v>1868</v>
      </c>
      <c r="N1247" s="2" t="s">
        <v>860</v>
      </c>
      <c r="O1247" s="18">
        <v>43991</v>
      </c>
    </row>
    <row r="1248" spans="1:19" hidden="1" outlineLevel="1">
      <c r="A1248" s="1">
        <v>2</v>
      </c>
      <c r="F1248" s="22">
        <v>866795037057674</v>
      </c>
      <c r="M1248" s="2" t="s">
        <v>1869</v>
      </c>
      <c r="N1248" s="2" t="s">
        <v>1581</v>
      </c>
      <c r="O1248" s="18">
        <v>44006</v>
      </c>
    </row>
    <row r="1249" spans="1:19" hidden="1" outlineLevel="1">
      <c r="A1249" s="1">
        <v>3</v>
      </c>
      <c r="F1249" s="22">
        <v>866795037124110</v>
      </c>
      <c r="M1249" s="2" t="s">
        <v>1870</v>
      </c>
      <c r="N1249" s="2" t="s">
        <v>1628</v>
      </c>
      <c r="O1249" s="18" t="s">
        <v>836</v>
      </c>
    </row>
    <row r="1250" spans="1:19" hidden="1" outlineLevel="1">
      <c r="A1250" s="1">
        <v>4</v>
      </c>
      <c r="F1250" s="22">
        <v>866795037071915</v>
      </c>
      <c r="M1250" s="2" t="s">
        <v>1871</v>
      </c>
      <c r="N1250" s="2" t="s">
        <v>298</v>
      </c>
      <c r="O1250" s="18">
        <v>43992</v>
      </c>
    </row>
    <row r="1251" spans="1:19" hidden="1" outlineLevel="1">
      <c r="A1251" s="1">
        <v>5</v>
      </c>
      <c r="F1251" s="22">
        <v>866795036969002</v>
      </c>
      <c r="M1251" s="2" t="s">
        <v>1872</v>
      </c>
      <c r="N1251" s="2" t="s">
        <v>874</v>
      </c>
      <c r="O1251" s="18" t="s">
        <v>836</v>
      </c>
    </row>
    <row r="1252" spans="1:19" hidden="1" outlineLevel="1">
      <c r="A1252" s="1">
        <v>6</v>
      </c>
      <c r="F1252" s="22">
        <v>866795037181995</v>
      </c>
      <c r="M1252" s="2" t="s">
        <v>1873</v>
      </c>
      <c r="N1252" s="2" t="s">
        <v>1567</v>
      </c>
      <c r="O1252" s="18">
        <v>44005</v>
      </c>
    </row>
    <row r="1253" spans="1:19" hidden="1" outlineLevel="1">
      <c r="A1253" s="1">
        <v>7</v>
      </c>
      <c r="F1253" s="22">
        <v>866795037001482</v>
      </c>
      <c r="M1253" s="2" t="s">
        <v>1874</v>
      </c>
      <c r="N1253" s="2" t="s">
        <v>852</v>
      </c>
      <c r="O1253" s="18">
        <v>44004</v>
      </c>
    </row>
    <row r="1254" spans="1:19" hidden="1" outlineLevel="1">
      <c r="A1254" s="1">
        <v>8</v>
      </c>
      <c r="F1254" s="22">
        <v>866795036992947</v>
      </c>
      <c r="M1254" s="2" t="s">
        <v>1875</v>
      </c>
      <c r="N1254" s="2" t="s">
        <v>852</v>
      </c>
      <c r="O1254" s="18">
        <v>44004</v>
      </c>
    </row>
    <row r="1255" spans="1:19" hidden="1" outlineLevel="1">
      <c r="A1255" s="1">
        <v>9</v>
      </c>
      <c r="F1255" s="22">
        <v>866795036147997</v>
      </c>
      <c r="M1255" s="2" t="s">
        <v>1876</v>
      </c>
      <c r="N1255" s="2" t="s">
        <v>1877</v>
      </c>
      <c r="O1255" s="18">
        <v>44007</v>
      </c>
    </row>
    <row r="1256" spans="1:19" hidden="1" outlineLevel="1">
      <c r="A1256" s="1">
        <v>10</v>
      </c>
      <c r="F1256" s="22">
        <v>866795036230066</v>
      </c>
      <c r="M1256" s="2" t="s">
        <v>1878</v>
      </c>
      <c r="N1256" s="2" t="s">
        <v>1879</v>
      </c>
      <c r="O1256" s="18">
        <v>44007</v>
      </c>
    </row>
    <row r="1257" spans="1:19" hidden="1" outlineLevel="1">
      <c r="A1257" s="8"/>
      <c r="B1257" s="58"/>
      <c r="C1257" s="159"/>
      <c r="D1257" s="8"/>
      <c r="E1257" s="8"/>
      <c r="F1257" s="9"/>
      <c r="G1257" s="8"/>
      <c r="H1257" s="8"/>
      <c r="I1257" s="8"/>
      <c r="J1257" s="58"/>
      <c r="K1257" s="8"/>
      <c r="L1257" s="58"/>
      <c r="M1257" s="8"/>
      <c r="N1257" s="8"/>
      <c r="O1257" s="58"/>
      <c r="P1257" s="8"/>
      <c r="Q1257" s="8"/>
      <c r="R1257" s="8"/>
      <c r="S1257" s="8"/>
    </row>
    <row r="1258" spans="1:19" hidden="1" outlineLevel="1">
      <c r="A1258" s="1">
        <v>1</v>
      </c>
      <c r="B1258" s="11">
        <v>43991</v>
      </c>
      <c r="C1258" s="160">
        <v>2003</v>
      </c>
      <c r="E1258" s="1" t="s">
        <v>612</v>
      </c>
      <c r="F1258" s="22">
        <v>860922043100274</v>
      </c>
      <c r="M1258" s="2" t="s">
        <v>1880</v>
      </c>
      <c r="N1258" s="2" t="s">
        <v>1881</v>
      </c>
      <c r="O1258" s="18">
        <v>44014</v>
      </c>
    </row>
    <row r="1259" spans="1:19" hidden="1" outlineLevel="1">
      <c r="A1259" s="8"/>
      <c r="B1259" s="58"/>
      <c r="C1259" s="159"/>
      <c r="D1259" s="8"/>
      <c r="E1259" s="8"/>
      <c r="F1259" s="9"/>
      <c r="G1259" s="8"/>
      <c r="H1259" s="8"/>
      <c r="I1259" s="8"/>
      <c r="J1259" s="58"/>
      <c r="K1259" s="8"/>
      <c r="L1259" s="58"/>
      <c r="M1259" s="8"/>
      <c r="N1259" s="8"/>
      <c r="O1259" s="58"/>
      <c r="P1259" s="8"/>
      <c r="Q1259" s="8"/>
      <c r="R1259" s="8"/>
      <c r="S1259" s="8"/>
    </row>
    <row r="1260" spans="1:19" hidden="1" outlineLevel="1">
      <c r="A1260" s="1">
        <v>1</v>
      </c>
      <c r="B1260" s="11">
        <v>44000</v>
      </c>
      <c r="C1260" s="160">
        <v>2196</v>
      </c>
      <c r="E1260" s="1" t="s">
        <v>613</v>
      </c>
      <c r="F1260" s="22">
        <v>866795036998183</v>
      </c>
      <c r="M1260" s="2" t="s">
        <v>1882</v>
      </c>
      <c r="N1260" s="2" t="s">
        <v>942</v>
      </c>
      <c r="O1260" s="18">
        <v>44026</v>
      </c>
    </row>
    <row r="1261" spans="1:19" hidden="1" outlineLevel="1">
      <c r="A1261" s="1">
        <v>2</v>
      </c>
      <c r="F1261" s="22">
        <v>866795037001995</v>
      </c>
      <c r="M1261" s="2" t="s">
        <v>1883</v>
      </c>
      <c r="N1261" s="2" t="s">
        <v>942</v>
      </c>
      <c r="O1261" s="18">
        <v>44026</v>
      </c>
    </row>
    <row r="1262" spans="1:19" hidden="1" outlineLevel="1">
      <c r="A1262" s="1">
        <v>3</v>
      </c>
      <c r="F1262" s="22">
        <v>866795036988290</v>
      </c>
      <c r="M1262" s="2" t="s">
        <v>1229</v>
      </c>
    </row>
    <row r="1263" spans="1:19" hidden="1" outlineLevel="1">
      <c r="A1263" s="1">
        <v>4</v>
      </c>
      <c r="F1263" s="22">
        <v>866795037057658</v>
      </c>
      <c r="M1263" s="2" t="s">
        <v>1884</v>
      </c>
      <c r="N1263" s="2" t="s">
        <v>942</v>
      </c>
      <c r="O1263" s="18">
        <v>44026</v>
      </c>
    </row>
    <row r="1264" spans="1:19" hidden="1" outlineLevel="1">
      <c r="A1264" s="1">
        <v>5</v>
      </c>
      <c r="F1264" s="22">
        <v>866795037086988</v>
      </c>
      <c r="M1264" s="2" t="s">
        <v>1885</v>
      </c>
      <c r="N1264" s="2" t="s">
        <v>284</v>
      </c>
      <c r="O1264" s="18">
        <v>44014</v>
      </c>
    </row>
    <row r="1265" spans="1:19" hidden="1" outlineLevel="1">
      <c r="A1265" s="1">
        <v>6</v>
      </c>
      <c r="E1265" s="1" t="s">
        <v>608</v>
      </c>
      <c r="F1265" s="22">
        <v>866795037134663</v>
      </c>
      <c r="I1265" s="2" t="s">
        <v>561</v>
      </c>
      <c r="M1265" s="2" t="s">
        <v>1229</v>
      </c>
    </row>
    <row r="1266" spans="1:19" hidden="1" outlineLevel="1">
      <c r="A1266" s="1">
        <v>7</v>
      </c>
      <c r="F1266" s="22">
        <v>866795037134523</v>
      </c>
      <c r="M1266" s="2" t="s">
        <v>1886</v>
      </c>
      <c r="N1266" s="2" t="s">
        <v>1887</v>
      </c>
      <c r="O1266" s="18">
        <v>44006</v>
      </c>
    </row>
    <row r="1267" spans="1:19" hidden="1" outlineLevel="1">
      <c r="A1267" s="1">
        <v>8</v>
      </c>
      <c r="F1267" s="22">
        <v>866795037116785</v>
      </c>
      <c r="M1267" s="2" t="s">
        <v>1888</v>
      </c>
      <c r="N1267" s="2" t="s">
        <v>1887</v>
      </c>
      <c r="O1267" s="18">
        <v>44006</v>
      </c>
    </row>
    <row r="1268" spans="1:19" hidden="1" outlineLevel="1">
      <c r="A1268" s="1">
        <v>9</v>
      </c>
      <c r="F1268" s="22">
        <v>866795037039078</v>
      </c>
      <c r="M1268" s="2" t="s">
        <v>1229</v>
      </c>
    </row>
    <row r="1269" spans="1:19" hidden="1" outlineLevel="1">
      <c r="A1269" s="1">
        <v>10</v>
      </c>
      <c r="F1269" s="22">
        <v>866795037119722</v>
      </c>
      <c r="M1269" s="2" t="s">
        <v>1889</v>
      </c>
      <c r="N1269" s="2" t="s">
        <v>1765</v>
      </c>
      <c r="O1269" s="18">
        <v>44001</v>
      </c>
    </row>
    <row r="1270" spans="1:19" hidden="1" outlineLevel="1">
      <c r="A1270" s="1">
        <v>11</v>
      </c>
      <c r="E1270" s="1" t="s">
        <v>609</v>
      </c>
      <c r="F1270" s="22">
        <v>866795036242061</v>
      </c>
      <c r="M1270" s="2" t="s">
        <v>1890</v>
      </c>
      <c r="N1270" s="2" t="s">
        <v>293</v>
      </c>
      <c r="O1270" s="18">
        <v>44061</v>
      </c>
    </row>
    <row r="1271" spans="1:19" hidden="1" outlineLevel="1">
      <c r="A1271" s="1">
        <v>12</v>
      </c>
      <c r="F1271" s="22">
        <v>866795036253209</v>
      </c>
      <c r="M1271" s="2" t="s">
        <v>1891</v>
      </c>
      <c r="N1271" s="2" t="s">
        <v>1892</v>
      </c>
      <c r="O1271" s="18">
        <v>44054</v>
      </c>
    </row>
    <row r="1272" spans="1:19" hidden="1" outlineLevel="1">
      <c r="A1272" s="8"/>
      <c r="B1272" s="58"/>
      <c r="C1272" s="159"/>
      <c r="D1272" s="8"/>
      <c r="E1272" s="8"/>
      <c r="F1272" s="9"/>
      <c r="G1272" s="8"/>
      <c r="H1272" s="8"/>
      <c r="I1272" s="8"/>
      <c r="J1272" s="58"/>
      <c r="K1272" s="8"/>
      <c r="L1272" s="58"/>
      <c r="M1272" s="8"/>
      <c r="N1272" s="8"/>
      <c r="O1272" s="58"/>
      <c r="P1272" s="8"/>
      <c r="Q1272" s="8"/>
      <c r="R1272" s="8"/>
      <c r="S1272" s="8"/>
    </row>
    <row r="1273" spans="1:19" hidden="1" outlineLevel="1">
      <c r="A1273" s="1">
        <v>1</v>
      </c>
      <c r="B1273" s="11">
        <v>44007</v>
      </c>
      <c r="C1273" s="160">
        <v>2273</v>
      </c>
      <c r="E1273" s="1" t="s">
        <v>614</v>
      </c>
      <c r="F1273" s="22">
        <v>866795036017950</v>
      </c>
      <c r="M1273" s="2" t="s">
        <v>1893</v>
      </c>
      <c r="N1273" s="2" t="s">
        <v>1719</v>
      </c>
      <c r="O1273" s="18">
        <v>44012</v>
      </c>
    </row>
    <row r="1274" spans="1:19" hidden="1" outlineLevel="1">
      <c r="A1274" s="1">
        <v>2</v>
      </c>
      <c r="F1274" s="22">
        <v>866795036051264</v>
      </c>
      <c r="M1274" s="2" t="s">
        <v>1894</v>
      </c>
      <c r="N1274" s="2" t="s">
        <v>1623</v>
      </c>
      <c r="O1274" s="18">
        <v>44014</v>
      </c>
    </row>
    <row r="1275" spans="1:19" hidden="1" outlineLevel="1">
      <c r="A1275" s="1">
        <v>3</v>
      </c>
      <c r="F1275" s="22">
        <v>866795036118667</v>
      </c>
      <c r="I1275" s="2" t="s">
        <v>561</v>
      </c>
      <c r="M1275" s="2" t="s">
        <v>1229</v>
      </c>
    </row>
    <row r="1276" spans="1:19" hidden="1" outlineLevel="1">
      <c r="A1276" s="1">
        <v>4</v>
      </c>
      <c r="F1276" s="22">
        <v>866795036199436</v>
      </c>
      <c r="M1276" s="2" t="s">
        <v>1229</v>
      </c>
    </row>
    <row r="1277" spans="1:19" hidden="1" outlineLevel="1">
      <c r="A1277" s="1">
        <v>5</v>
      </c>
      <c r="F1277" s="22">
        <v>866795036123683</v>
      </c>
      <c r="M1277" s="2" t="s">
        <v>1895</v>
      </c>
      <c r="N1277" s="2" t="s">
        <v>916</v>
      </c>
      <c r="O1277" s="18">
        <v>44015</v>
      </c>
    </row>
    <row r="1278" spans="1:19" hidden="1" outlineLevel="1">
      <c r="A1278" s="1">
        <v>6</v>
      </c>
      <c r="F1278" s="22">
        <v>866795036156626</v>
      </c>
      <c r="M1278" s="2" t="s">
        <v>1229</v>
      </c>
      <c r="N1278" s="2" t="s">
        <v>855</v>
      </c>
      <c r="O1278" s="18">
        <v>44469</v>
      </c>
    </row>
    <row r="1279" spans="1:19" hidden="1" outlineLevel="1">
      <c r="A1279" s="1">
        <v>7</v>
      </c>
      <c r="F1279" s="22">
        <v>866795037010848</v>
      </c>
      <c r="M1279" s="2" t="s">
        <v>1229</v>
      </c>
    </row>
    <row r="1280" spans="1:19" hidden="1" outlineLevel="1">
      <c r="A1280" s="1">
        <v>8</v>
      </c>
      <c r="F1280" s="22">
        <v>866795036119772</v>
      </c>
      <c r="M1280" s="2" t="s">
        <v>1229</v>
      </c>
    </row>
    <row r="1281" spans="1:15" hidden="1" outlineLevel="1">
      <c r="A1281" s="1">
        <v>9</v>
      </c>
      <c r="F1281" s="22">
        <v>866795037133871</v>
      </c>
      <c r="M1281" s="2" t="s">
        <v>1229</v>
      </c>
    </row>
    <row r="1282" spans="1:15" hidden="1" outlineLevel="1">
      <c r="A1282" s="1">
        <v>10</v>
      </c>
      <c r="F1282" s="22">
        <v>866795036118733</v>
      </c>
      <c r="M1282" s="2" t="s">
        <v>1229</v>
      </c>
    </row>
    <row r="1283" spans="1:15" hidden="1" outlineLevel="1">
      <c r="A1283" s="1">
        <v>11</v>
      </c>
      <c r="F1283" s="22">
        <v>866795036060273</v>
      </c>
      <c r="M1283" s="2" t="s">
        <v>1229</v>
      </c>
    </row>
    <row r="1284" spans="1:15" hidden="1" outlineLevel="1">
      <c r="A1284" s="1">
        <v>12</v>
      </c>
      <c r="F1284" s="22">
        <v>866795036060844</v>
      </c>
      <c r="M1284" s="2" t="s">
        <v>1896</v>
      </c>
      <c r="N1284" s="2" t="s">
        <v>1432</v>
      </c>
      <c r="O1284" s="18" t="s">
        <v>836</v>
      </c>
    </row>
    <row r="1285" spans="1:15" hidden="1" outlineLevel="1">
      <c r="A1285" s="1">
        <v>13</v>
      </c>
      <c r="F1285" s="22">
        <v>866795037132048</v>
      </c>
      <c r="M1285" s="2" t="s">
        <v>1229</v>
      </c>
    </row>
    <row r="1286" spans="1:15" hidden="1" outlineLevel="1">
      <c r="A1286" s="1">
        <v>14</v>
      </c>
      <c r="F1286" s="22">
        <v>866795037065313</v>
      </c>
      <c r="M1286" s="2" t="s">
        <v>1897</v>
      </c>
      <c r="N1286" s="2" t="s">
        <v>1415</v>
      </c>
      <c r="O1286" s="18">
        <v>44012</v>
      </c>
    </row>
    <row r="1287" spans="1:15" hidden="1" outlineLevel="1">
      <c r="A1287" s="1">
        <v>15</v>
      </c>
      <c r="F1287" s="22">
        <v>866795036982229</v>
      </c>
      <c r="I1287" s="2" t="s">
        <v>562</v>
      </c>
      <c r="M1287" s="2" t="s">
        <v>1898</v>
      </c>
      <c r="N1287" s="2" t="s">
        <v>1276</v>
      </c>
      <c r="O1287" s="18">
        <v>44043</v>
      </c>
    </row>
    <row r="1288" spans="1:15" hidden="1" outlineLevel="1">
      <c r="A1288" s="1">
        <v>16</v>
      </c>
      <c r="E1288" s="1" t="s">
        <v>149</v>
      </c>
      <c r="F1288" s="22">
        <v>866795037086566</v>
      </c>
      <c r="M1288" s="2" t="s">
        <v>1229</v>
      </c>
    </row>
    <row r="1289" spans="1:15" hidden="1" outlineLevel="1">
      <c r="A1289" s="1">
        <v>17</v>
      </c>
      <c r="F1289" s="22">
        <v>866795037093877</v>
      </c>
      <c r="M1289" s="2" t="s">
        <v>1229</v>
      </c>
    </row>
    <row r="1290" spans="1:15" hidden="1" outlineLevel="1">
      <c r="A1290" s="1">
        <v>18</v>
      </c>
      <c r="F1290" s="22">
        <v>866795037155718</v>
      </c>
      <c r="M1290" s="2" t="s">
        <v>1899</v>
      </c>
      <c r="N1290" s="2" t="s">
        <v>1900</v>
      </c>
      <c r="O1290" s="18">
        <v>44008</v>
      </c>
    </row>
    <row r="1291" spans="1:15" hidden="1" outlineLevel="1">
      <c r="A1291" s="1">
        <v>19</v>
      </c>
      <c r="F1291" s="22">
        <v>866795037151444</v>
      </c>
      <c r="M1291" s="2" t="s">
        <v>1901</v>
      </c>
      <c r="N1291" s="2" t="s">
        <v>1900</v>
      </c>
      <c r="O1291" s="18">
        <v>44011</v>
      </c>
    </row>
    <row r="1292" spans="1:15" hidden="1" outlineLevel="1">
      <c r="A1292" s="1">
        <v>20</v>
      </c>
      <c r="F1292" s="22">
        <v>866795035994035</v>
      </c>
      <c r="M1292" s="2" t="s">
        <v>1902</v>
      </c>
      <c r="N1292" s="2" t="s">
        <v>1900</v>
      </c>
      <c r="O1292" s="18">
        <v>44011</v>
      </c>
    </row>
    <row r="1293" spans="1:15" hidden="1" outlineLevel="1">
      <c r="A1293" s="1">
        <v>21</v>
      </c>
      <c r="F1293" s="22">
        <v>866795036230207</v>
      </c>
      <c r="M1293" s="2" t="s">
        <v>1229</v>
      </c>
    </row>
    <row r="1294" spans="1:15" hidden="1" outlineLevel="1">
      <c r="A1294" s="1">
        <v>22</v>
      </c>
      <c r="F1294" s="22">
        <v>866795036145975</v>
      </c>
      <c r="M1294" s="2" t="s">
        <v>1903</v>
      </c>
      <c r="N1294" s="2" t="s">
        <v>852</v>
      </c>
      <c r="O1294" s="18">
        <v>44035</v>
      </c>
    </row>
    <row r="1295" spans="1:15" hidden="1" outlineLevel="1">
      <c r="A1295" s="1">
        <v>23</v>
      </c>
      <c r="F1295" s="22">
        <v>866795037093653</v>
      </c>
      <c r="M1295" s="2" t="s">
        <v>1904</v>
      </c>
      <c r="N1295" s="2" t="s">
        <v>1900</v>
      </c>
      <c r="O1295" s="18">
        <v>44012</v>
      </c>
    </row>
    <row r="1296" spans="1:15" hidden="1" outlineLevel="1">
      <c r="A1296" s="1">
        <v>24</v>
      </c>
      <c r="F1296" s="22">
        <v>866795037052774</v>
      </c>
      <c r="M1296" s="2" t="s">
        <v>1905</v>
      </c>
      <c r="N1296" s="2" t="s">
        <v>1628</v>
      </c>
      <c r="O1296" s="18">
        <v>43902</v>
      </c>
    </row>
    <row r="1297" spans="1:19" hidden="1" outlineLevel="1">
      <c r="A1297" s="1">
        <v>25</v>
      </c>
      <c r="F1297" s="22">
        <v>866795037059019</v>
      </c>
      <c r="M1297" s="2" t="s">
        <v>1906</v>
      </c>
      <c r="N1297" s="2" t="s">
        <v>1628</v>
      </c>
      <c r="O1297" s="18">
        <v>43902</v>
      </c>
    </row>
    <row r="1298" spans="1:19" hidden="1" outlineLevel="1">
      <c r="A1298" s="8"/>
      <c r="B1298" s="58"/>
      <c r="C1298" s="159"/>
      <c r="D1298" s="8"/>
      <c r="E1298" s="8"/>
      <c r="F1298" s="9"/>
      <c r="G1298" s="8"/>
      <c r="H1298" s="8"/>
      <c r="I1298" s="8"/>
      <c r="J1298" s="58"/>
      <c r="K1298" s="8"/>
      <c r="L1298" s="58"/>
      <c r="M1298" s="8"/>
      <c r="N1298" s="8"/>
      <c r="O1298" s="58"/>
      <c r="P1298" s="8"/>
      <c r="Q1298" s="8"/>
      <c r="R1298" s="8"/>
      <c r="S1298" s="8"/>
    </row>
    <row r="1299" spans="1:19" hidden="1" outlineLevel="1">
      <c r="A1299" s="1">
        <v>1</v>
      </c>
      <c r="B1299" s="11">
        <v>44012</v>
      </c>
      <c r="C1299" s="160">
        <v>2131</v>
      </c>
      <c r="E1299" s="1" t="s">
        <v>149</v>
      </c>
      <c r="F1299" s="22">
        <v>866795036150512</v>
      </c>
      <c r="M1299" s="2" t="s">
        <v>1907</v>
      </c>
      <c r="N1299" s="2" t="s">
        <v>1908</v>
      </c>
      <c r="O1299" s="18">
        <v>44015</v>
      </c>
    </row>
    <row r="1300" spans="1:19" hidden="1" outlineLevel="1">
      <c r="A1300" s="1">
        <v>2</v>
      </c>
      <c r="F1300" s="22">
        <v>866795037108337</v>
      </c>
      <c r="M1300" s="2" t="s">
        <v>1909</v>
      </c>
      <c r="N1300" s="2" t="s">
        <v>1881</v>
      </c>
      <c r="O1300" s="18">
        <v>44018</v>
      </c>
    </row>
    <row r="1301" spans="1:19" hidden="1" outlineLevel="1">
      <c r="A1301" s="1">
        <v>3</v>
      </c>
      <c r="F1301" s="22">
        <v>866795036096855</v>
      </c>
      <c r="M1301" s="2" t="s">
        <v>1910</v>
      </c>
      <c r="N1301" s="2" t="s">
        <v>1911</v>
      </c>
      <c r="O1301" s="18">
        <v>44014</v>
      </c>
    </row>
    <row r="1302" spans="1:19" hidden="1" outlineLevel="1">
      <c r="A1302" s="1">
        <v>4</v>
      </c>
      <c r="F1302" s="22">
        <v>866795036198180</v>
      </c>
      <c r="M1302" s="2" t="s">
        <v>1912</v>
      </c>
      <c r="N1302" s="2" t="s">
        <v>1815</v>
      </c>
      <c r="O1302" s="18">
        <v>44014</v>
      </c>
    </row>
    <row r="1303" spans="1:19" hidden="1" outlineLevel="1">
      <c r="A1303" s="1">
        <v>5</v>
      </c>
      <c r="F1303" s="22">
        <v>866795037108956</v>
      </c>
      <c r="M1303" s="2" t="s">
        <v>1913</v>
      </c>
      <c r="N1303" s="2" t="s">
        <v>1415</v>
      </c>
      <c r="O1303" s="18">
        <v>44014</v>
      </c>
    </row>
    <row r="1304" spans="1:19" hidden="1" outlineLevel="1">
      <c r="A1304" s="1">
        <v>6</v>
      </c>
      <c r="F1304" s="22">
        <v>866795036183091</v>
      </c>
      <c r="M1304" s="2" t="s">
        <v>1914</v>
      </c>
      <c r="N1304" s="2" t="s">
        <v>1415</v>
      </c>
      <c r="O1304" s="18">
        <v>44015</v>
      </c>
    </row>
    <row r="1305" spans="1:19" hidden="1" outlineLevel="1">
      <c r="A1305" s="1">
        <v>7</v>
      </c>
      <c r="F1305" s="22">
        <v>866795036255667</v>
      </c>
      <c r="M1305" s="2" t="s">
        <v>1915</v>
      </c>
      <c r="N1305" s="2" t="s">
        <v>267</v>
      </c>
      <c r="O1305" s="18">
        <v>44019</v>
      </c>
    </row>
    <row r="1306" spans="1:19" hidden="1" outlineLevel="1">
      <c r="A1306" s="1">
        <v>8</v>
      </c>
      <c r="F1306" s="22">
        <v>866795036236543</v>
      </c>
      <c r="M1306" s="2" t="s">
        <v>1916</v>
      </c>
      <c r="N1306" s="2" t="s">
        <v>1415</v>
      </c>
      <c r="O1306" s="18">
        <v>44015</v>
      </c>
    </row>
    <row r="1307" spans="1:19" hidden="1" outlineLevel="1">
      <c r="A1307" s="1">
        <v>9</v>
      </c>
      <c r="F1307" s="22">
        <v>866795037108402</v>
      </c>
      <c r="M1307" s="2" t="s">
        <v>1917</v>
      </c>
      <c r="N1307" s="2" t="s">
        <v>1900</v>
      </c>
      <c r="O1307" s="18">
        <v>44014</v>
      </c>
    </row>
    <row r="1308" spans="1:19" hidden="1" outlineLevel="1">
      <c r="A1308" s="1">
        <v>10</v>
      </c>
      <c r="F1308" s="22">
        <v>866795036226338</v>
      </c>
      <c r="M1308" s="2" t="s">
        <v>1918</v>
      </c>
      <c r="N1308" s="2" t="s">
        <v>1900</v>
      </c>
      <c r="O1308" s="18">
        <v>44014</v>
      </c>
    </row>
    <row r="1309" spans="1:19" hidden="1" outlineLevel="1">
      <c r="A1309" s="8"/>
      <c r="B1309" s="58"/>
      <c r="C1309" s="159"/>
      <c r="D1309" s="8"/>
      <c r="E1309" s="8"/>
      <c r="F1309" s="9"/>
      <c r="G1309" s="8"/>
      <c r="H1309" s="8"/>
      <c r="I1309" s="8"/>
      <c r="J1309" s="58"/>
      <c r="K1309" s="8"/>
      <c r="L1309" s="58"/>
      <c r="M1309" s="8"/>
      <c r="N1309" s="8"/>
      <c r="O1309" s="58"/>
      <c r="P1309" s="8"/>
      <c r="Q1309" s="8"/>
      <c r="R1309" s="8"/>
      <c r="S1309" s="8"/>
    </row>
    <row r="1310" spans="1:19" hidden="1" outlineLevel="1">
      <c r="A1310" s="1">
        <v>1</v>
      </c>
      <c r="B1310" s="11">
        <v>44015</v>
      </c>
      <c r="C1310" s="160">
        <v>2353</v>
      </c>
      <c r="E1310" s="1" t="s">
        <v>149</v>
      </c>
      <c r="F1310" s="22">
        <v>866795037186200</v>
      </c>
      <c r="M1310" s="2" t="s">
        <v>1229</v>
      </c>
    </row>
    <row r="1311" spans="1:19" hidden="1" outlineLevel="1">
      <c r="A1311" s="1">
        <v>2</v>
      </c>
      <c r="F1311" s="22">
        <v>866795037003124</v>
      </c>
      <c r="M1311" s="2" t="s">
        <v>1919</v>
      </c>
      <c r="N1311" s="2" t="s">
        <v>1920</v>
      </c>
      <c r="O1311" s="18">
        <v>44018</v>
      </c>
    </row>
    <row r="1312" spans="1:19" hidden="1" outlineLevel="1">
      <c r="A1312" s="1">
        <v>3</v>
      </c>
      <c r="F1312" s="22">
        <v>866795036217642</v>
      </c>
      <c r="M1312" s="2" t="s">
        <v>1921</v>
      </c>
      <c r="N1312" s="2" t="s">
        <v>1922</v>
      </c>
      <c r="O1312" s="18">
        <v>44022</v>
      </c>
    </row>
    <row r="1313" spans="1:19" hidden="1" outlineLevel="1">
      <c r="A1313" s="1">
        <v>4</v>
      </c>
      <c r="F1313" s="22">
        <v>866795036256699</v>
      </c>
      <c r="M1313" s="2" t="s">
        <v>1229</v>
      </c>
    </row>
    <row r="1314" spans="1:19" hidden="1" outlineLevel="1">
      <c r="A1314" s="1">
        <v>5</v>
      </c>
      <c r="F1314" s="22">
        <v>866795036248100</v>
      </c>
      <c r="M1314" s="2" t="s">
        <v>1923</v>
      </c>
      <c r="N1314" s="2" t="s">
        <v>276</v>
      </c>
      <c r="O1314" s="18" t="s">
        <v>836</v>
      </c>
    </row>
    <row r="1315" spans="1:19" hidden="1" outlineLevel="1">
      <c r="A1315" s="1">
        <v>6</v>
      </c>
      <c r="F1315" s="22">
        <v>866795037000237</v>
      </c>
      <c r="M1315" s="2" t="s">
        <v>1924</v>
      </c>
      <c r="N1315" s="2" t="s">
        <v>1922</v>
      </c>
      <c r="O1315" s="18">
        <v>44022</v>
      </c>
    </row>
    <row r="1316" spans="1:19" hidden="1" outlineLevel="1">
      <c r="A1316" s="1">
        <v>7</v>
      </c>
      <c r="F1316" s="22">
        <v>866795036169587</v>
      </c>
      <c r="M1316" s="2" t="s">
        <v>1925</v>
      </c>
      <c r="N1316" s="2" t="s">
        <v>1926</v>
      </c>
      <c r="O1316" s="18">
        <v>44023</v>
      </c>
    </row>
    <row r="1317" spans="1:19" hidden="1" outlineLevel="1">
      <c r="A1317" s="1">
        <v>8</v>
      </c>
      <c r="F1317" s="22">
        <v>866795036183653</v>
      </c>
      <c r="M1317" s="2" t="s">
        <v>1927</v>
      </c>
      <c r="N1317" s="2" t="s">
        <v>1922</v>
      </c>
      <c r="O1317" s="18">
        <v>44022</v>
      </c>
    </row>
    <row r="1318" spans="1:19" hidden="1" outlineLevel="1">
      <c r="A1318" s="1">
        <v>9</v>
      </c>
      <c r="F1318" s="22">
        <v>866795036150447</v>
      </c>
      <c r="M1318" s="2" t="s">
        <v>1928</v>
      </c>
      <c r="N1318" s="2" t="s">
        <v>1929</v>
      </c>
      <c r="O1318" s="18">
        <v>44020</v>
      </c>
    </row>
    <row r="1319" spans="1:19" hidden="1" outlineLevel="1">
      <c r="A1319" s="1">
        <v>10</v>
      </c>
      <c r="F1319" s="22">
        <v>866795036249660</v>
      </c>
      <c r="M1319" s="2" t="s">
        <v>1930</v>
      </c>
      <c r="N1319" s="2" t="s">
        <v>1931</v>
      </c>
      <c r="O1319" s="18">
        <v>44021</v>
      </c>
    </row>
    <row r="1320" spans="1:19" hidden="1" outlineLevel="1">
      <c r="A1320" s="1">
        <v>11</v>
      </c>
      <c r="E1320" s="1" t="s">
        <v>612</v>
      </c>
      <c r="F1320" s="22">
        <v>860922043018377</v>
      </c>
      <c r="M1320" s="2" t="s">
        <v>1932</v>
      </c>
      <c r="N1320" s="2" t="s">
        <v>314</v>
      </c>
      <c r="O1320" s="18">
        <v>44037</v>
      </c>
    </row>
    <row r="1321" spans="1:19" hidden="1" outlineLevel="1">
      <c r="A1321" s="1">
        <v>12</v>
      </c>
      <c r="F1321" s="22">
        <v>860922043051451</v>
      </c>
      <c r="M1321" s="2" t="s">
        <v>1933</v>
      </c>
      <c r="N1321" s="2" t="s">
        <v>1881</v>
      </c>
      <c r="O1321" s="18">
        <v>44021</v>
      </c>
    </row>
    <row r="1322" spans="1:19" hidden="1" outlineLevel="1">
      <c r="A1322" s="1">
        <v>13</v>
      </c>
      <c r="F1322" s="22">
        <v>860922043051873</v>
      </c>
      <c r="M1322" s="2" t="s">
        <v>1934</v>
      </c>
      <c r="N1322" s="2" t="s">
        <v>1881</v>
      </c>
      <c r="O1322" s="18">
        <v>44036</v>
      </c>
    </row>
    <row r="1323" spans="1:19" hidden="1" outlineLevel="1">
      <c r="A1323" s="8"/>
      <c r="B1323" s="58"/>
      <c r="C1323" s="159"/>
      <c r="D1323" s="8"/>
      <c r="E1323" s="8"/>
      <c r="F1323" s="9"/>
      <c r="G1323" s="8"/>
      <c r="H1323" s="8"/>
      <c r="I1323" s="8"/>
      <c r="J1323" s="58"/>
      <c r="K1323" s="8"/>
      <c r="L1323" s="58"/>
      <c r="M1323" s="8"/>
      <c r="N1323" s="8"/>
      <c r="O1323" s="58"/>
      <c r="P1323" s="8"/>
      <c r="Q1323" s="8"/>
      <c r="R1323" s="8"/>
      <c r="S1323" s="8"/>
    </row>
    <row r="1324" spans="1:19" hidden="1" outlineLevel="1">
      <c r="A1324" s="1">
        <v>1</v>
      </c>
      <c r="B1324" s="11">
        <v>44022</v>
      </c>
      <c r="C1324" s="160">
        <v>2416</v>
      </c>
      <c r="E1324" s="1" t="s">
        <v>608</v>
      </c>
      <c r="F1324" s="22">
        <v>866795037025150</v>
      </c>
      <c r="M1324" s="2" t="s">
        <v>1935</v>
      </c>
      <c r="N1324" s="2" t="s">
        <v>1936</v>
      </c>
      <c r="O1324" s="18">
        <v>44022</v>
      </c>
    </row>
    <row r="1325" spans="1:19" hidden="1" outlineLevel="1">
      <c r="A1325" s="1">
        <v>2</v>
      </c>
      <c r="F1325" s="22">
        <v>866795037131164</v>
      </c>
      <c r="M1325" s="2" t="s">
        <v>1937</v>
      </c>
      <c r="N1325" s="2" t="s">
        <v>1938</v>
      </c>
    </row>
    <row r="1326" spans="1:19" hidden="1" outlineLevel="1">
      <c r="A1326" s="1">
        <v>3</v>
      </c>
      <c r="F1326" s="22">
        <v>866795037131560</v>
      </c>
      <c r="M1326" s="2" t="s">
        <v>1939</v>
      </c>
      <c r="N1326" s="2" t="s">
        <v>1940</v>
      </c>
    </row>
    <row r="1327" spans="1:19" hidden="1" outlineLevel="1">
      <c r="A1327" s="1">
        <v>4</v>
      </c>
      <c r="F1327" s="22">
        <v>866795037129424</v>
      </c>
      <c r="M1327" s="2" t="s">
        <v>1941</v>
      </c>
      <c r="N1327" s="2" t="s">
        <v>1942</v>
      </c>
      <c r="O1327" s="18">
        <v>44048</v>
      </c>
    </row>
    <row r="1328" spans="1:19" hidden="1" outlineLevel="1">
      <c r="A1328" s="1">
        <v>5</v>
      </c>
      <c r="F1328" s="22">
        <v>866795036072054</v>
      </c>
      <c r="M1328" s="2" t="s">
        <v>1943</v>
      </c>
      <c r="N1328" s="2" t="s">
        <v>1944</v>
      </c>
      <c r="O1328" s="18">
        <v>44048</v>
      </c>
    </row>
    <row r="1329" spans="1:19" hidden="1" outlineLevel="1">
      <c r="A1329" s="1">
        <v>6</v>
      </c>
      <c r="F1329" s="22">
        <v>866795036060091</v>
      </c>
      <c r="M1329" s="2" t="s">
        <v>1945</v>
      </c>
      <c r="N1329" s="2" t="s">
        <v>1681</v>
      </c>
      <c r="O1329" s="18">
        <v>44023</v>
      </c>
    </row>
    <row r="1330" spans="1:19" hidden="1" outlineLevel="1">
      <c r="A1330" s="1">
        <v>7</v>
      </c>
      <c r="F1330" s="22">
        <v>866795037166038</v>
      </c>
      <c r="M1330" s="2" t="s">
        <v>1946</v>
      </c>
      <c r="N1330" s="2" t="s">
        <v>1719</v>
      </c>
      <c r="O1330" s="18">
        <v>44034</v>
      </c>
    </row>
    <row r="1331" spans="1:19" hidden="1" outlineLevel="1">
      <c r="A1331" s="1">
        <v>8</v>
      </c>
      <c r="F1331" s="22">
        <v>866795036122982</v>
      </c>
      <c r="M1331" s="2" t="s">
        <v>1947</v>
      </c>
      <c r="N1331" s="2" t="s">
        <v>1948</v>
      </c>
      <c r="O1331" s="18">
        <v>44041</v>
      </c>
    </row>
    <row r="1332" spans="1:19" hidden="1" outlineLevel="1">
      <c r="A1332" s="1">
        <v>9</v>
      </c>
      <c r="F1332" s="22">
        <v>866795036118980</v>
      </c>
      <c r="M1332" s="2" t="s">
        <v>1949</v>
      </c>
      <c r="N1332" s="2" t="s">
        <v>1942</v>
      </c>
      <c r="O1332" s="18">
        <v>44048</v>
      </c>
    </row>
    <row r="1333" spans="1:19" hidden="1" outlineLevel="1">
      <c r="A1333" s="1">
        <v>10</v>
      </c>
      <c r="F1333" s="22">
        <v>866795037126081</v>
      </c>
      <c r="M1333" s="2" t="s">
        <v>1950</v>
      </c>
      <c r="N1333" s="2" t="s">
        <v>1951</v>
      </c>
      <c r="O1333" s="18">
        <v>44044</v>
      </c>
    </row>
    <row r="1334" spans="1:19" hidden="1" outlineLevel="1">
      <c r="A1334" s="1">
        <v>11</v>
      </c>
      <c r="E1334" s="1" t="s">
        <v>149</v>
      </c>
      <c r="F1334" s="22">
        <v>866795037181573</v>
      </c>
      <c r="M1334" s="2" t="s">
        <v>1952</v>
      </c>
      <c r="N1334" s="2" t="s">
        <v>1922</v>
      </c>
      <c r="O1334" s="18">
        <v>44027</v>
      </c>
    </row>
    <row r="1335" spans="1:19" hidden="1" outlineLevel="1">
      <c r="A1335" s="1">
        <v>12</v>
      </c>
      <c r="F1335" s="22">
        <v>866795036989752</v>
      </c>
      <c r="M1335" s="2" t="s">
        <v>1953</v>
      </c>
      <c r="N1335" s="2" t="s">
        <v>1922</v>
      </c>
      <c r="O1335" s="18">
        <v>44027</v>
      </c>
    </row>
    <row r="1336" spans="1:19" hidden="1" outlineLevel="1">
      <c r="A1336" s="1">
        <v>13</v>
      </c>
      <c r="F1336" s="22">
        <v>866795036999611</v>
      </c>
      <c r="M1336" s="2" t="s">
        <v>1229</v>
      </c>
    </row>
    <row r="1337" spans="1:19" hidden="1" outlineLevel="1">
      <c r="A1337" s="1">
        <v>14</v>
      </c>
      <c r="F1337" s="22">
        <v>866795037114038</v>
      </c>
      <c r="M1337" s="2" t="s">
        <v>1954</v>
      </c>
      <c r="N1337" s="2" t="s">
        <v>942</v>
      </c>
      <c r="O1337" s="18">
        <v>44027</v>
      </c>
    </row>
    <row r="1338" spans="1:19" hidden="1" outlineLevel="1">
      <c r="A1338" s="1">
        <v>15</v>
      </c>
      <c r="F1338" s="22">
        <v>866795037084462</v>
      </c>
      <c r="M1338" s="2" t="s">
        <v>1955</v>
      </c>
      <c r="N1338" s="2" t="s">
        <v>1922</v>
      </c>
      <c r="O1338" s="18">
        <v>44027</v>
      </c>
    </row>
    <row r="1339" spans="1:19" hidden="1" outlineLevel="1">
      <c r="A1339" s="1">
        <v>16</v>
      </c>
      <c r="F1339" s="22">
        <v>866795037000393</v>
      </c>
      <c r="M1339" s="2" t="s">
        <v>1956</v>
      </c>
      <c r="N1339" s="2" t="s">
        <v>1922</v>
      </c>
      <c r="O1339" s="18">
        <v>44028</v>
      </c>
    </row>
    <row r="1340" spans="1:19" hidden="1" outlineLevel="1">
      <c r="A1340" s="1">
        <v>17</v>
      </c>
      <c r="F1340" s="22">
        <v>866795037087879</v>
      </c>
      <c r="M1340" s="2" t="s">
        <v>1957</v>
      </c>
      <c r="N1340" s="2" t="s">
        <v>1153</v>
      </c>
      <c r="O1340" s="18">
        <v>44029</v>
      </c>
    </row>
    <row r="1341" spans="1:19" hidden="1" outlineLevel="1">
      <c r="A1341" s="1">
        <v>18</v>
      </c>
      <c r="F1341" s="22">
        <v>866795036932992</v>
      </c>
      <c r="M1341" s="2" t="s">
        <v>1229</v>
      </c>
    </row>
    <row r="1342" spans="1:19" hidden="1" outlineLevel="1">
      <c r="A1342" s="1">
        <v>19</v>
      </c>
      <c r="F1342" s="22">
        <v>866795037007398</v>
      </c>
      <c r="M1342" s="2" t="s">
        <v>1958</v>
      </c>
      <c r="N1342" s="2" t="s">
        <v>1922</v>
      </c>
      <c r="O1342" s="18">
        <v>44027</v>
      </c>
    </row>
    <row r="1343" spans="1:19" hidden="1" outlineLevel="1">
      <c r="A1343" s="1">
        <v>20</v>
      </c>
      <c r="F1343" s="22">
        <v>866795037057617</v>
      </c>
      <c r="M1343" s="2" t="s">
        <v>1959</v>
      </c>
      <c r="N1343" s="2" t="s">
        <v>905</v>
      </c>
      <c r="O1343" s="18">
        <v>44025</v>
      </c>
    </row>
    <row r="1344" spans="1:19" hidden="1" outlineLevel="1">
      <c r="A1344" s="8"/>
      <c r="B1344" s="58"/>
      <c r="C1344" s="159"/>
      <c r="D1344" s="8"/>
      <c r="E1344" s="8"/>
      <c r="F1344" s="9"/>
      <c r="G1344" s="8"/>
      <c r="H1344" s="8"/>
      <c r="I1344" s="8"/>
      <c r="J1344" s="58"/>
      <c r="K1344" s="8"/>
      <c r="L1344" s="58"/>
      <c r="M1344" s="8"/>
      <c r="N1344" s="8"/>
      <c r="O1344" s="58"/>
      <c r="P1344" s="8"/>
      <c r="Q1344" s="8"/>
      <c r="R1344" s="8"/>
      <c r="S1344" s="8"/>
    </row>
    <row r="1345" spans="1:19" hidden="1" outlineLevel="1">
      <c r="A1345" s="1">
        <v>1</v>
      </c>
      <c r="B1345" s="11">
        <v>44027</v>
      </c>
      <c r="C1345" s="160">
        <v>2581</v>
      </c>
      <c r="E1345" s="1" t="s">
        <v>149</v>
      </c>
      <c r="F1345" s="22">
        <v>866795036998316</v>
      </c>
      <c r="M1345" s="2" t="s">
        <v>1960</v>
      </c>
      <c r="N1345" s="2" t="s">
        <v>1922</v>
      </c>
      <c r="O1345" s="18">
        <v>44034</v>
      </c>
    </row>
    <row r="1346" spans="1:19" hidden="1" outlineLevel="1">
      <c r="A1346" s="1">
        <v>2</v>
      </c>
      <c r="F1346" s="22">
        <v>866795037175005</v>
      </c>
      <c r="M1346" s="2" t="s">
        <v>1961</v>
      </c>
      <c r="N1346" s="2" t="s">
        <v>1472</v>
      </c>
      <c r="O1346" s="18">
        <v>44032</v>
      </c>
    </row>
    <row r="1347" spans="1:19" hidden="1" outlineLevel="1">
      <c r="A1347" s="1">
        <v>3</v>
      </c>
      <c r="F1347" s="22">
        <v>866795037164231</v>
      </c>
      <c r="M1347" s="2" t="s">
        <v>1962</v>
      </c>
      <c r="N1347" s="2" t="s">
        <v>1922</v>
      </c>
      <c r="O1347" s="18">
        <v>44036</v>
      </c>
    </row>
    <row r="1348" spans="1:19" hidden="1" outlineLevel="1">
      <c r="A1348" s="1">
        <v>4</v>
      </c>
      <c r="F1348" s="22">
        <v>866795036968459</v>
      </c>
      <c r="M1348" s="2" t="s">
        <v>1963</v>
      </c>
      <c r="N1348" s="2" t="s">
        <v>1922</v>
      </c>
      <c r="O1348" s="18">
        <v>44035</v>
      </c>
    </row>
    <row r="1349" spans="1:19" hidden="1" outlineLevel="1">
      <c r="A1349" s="1">
        <v>5</v>
      </c>
      <c r="F1349" s="22">
        <v>866795036990750</v>
      </c>
      <c r="M1349" s="2" t="s">
        <v>1964</v>
      </c>
      <c r="N1349" s="2" t="s">
        <v>1922</v>
      </c>
      <c r="O1349" s="18">
        <v>44033</v>
      </c>
    </row>
    <row r="1350" spans="1:19" hidden="1" outlineLevel="1">
      <c r="A1350" s="1">
        <v>6</v>
      </c>
      <c r="F1350" s="22">
        <v>866795036997821</v>
      </c>
      <c r="M1350" s="2" t="s">
        <v>1965</v>
      </c>
      <c r="N1350" s="2" t="s">
        <v>1922</v>
      </c>
      <c r="O1350" s="18">
        <v>44034</v>
      </c>
    </row>
    <row r="1351" spans="1:19" hidden="1" outlineLevel="1">
      <c r="A1351" s="1">
        <v>7</v>
      </c>
      <c r="F1351" s="22">
        <v>866795036936464</v>
      </c>
      <c r="M1351" s="2" t="s">
        <v>1966</v>
      </c>
      <c r="N1351" s="2" t="s">
        <v>1967</v>
      </c>
      <c r="O1351" s="18">
        <v>44029</v>
      </c>
    </row>
    <row r="1352" spans="1:19" hidden="1" outlineLevel="1">
      <c r="A1352" s="1">
        <v>8</v>
      </c>
      <c r="F1352" s="22">
        <v>866795037123450</v>
      </c>
      <c r="M1352" s="2" t="s">
        <v>1968</v>
      </c>
      <c r="N1352" s="2" t="s">
        <v>1922</v>
      </c>
      <c r="O1352" s="18">
        <v>44036</v>
      </c>
    </row>
    <row r="1353" spans="1:19" hidden="1" outlineLevel="1">
      <c r="A1353" s="1">
        <v>9</v>
      </c>
      <c r="F1353" s="22">
        <v>866795036990776</v>
      </c>
      <c r="M1353" s="2" t="s">
        <v>1969</v>
      </c>
      <c r="N1353" s="2" t="s">
        <v>1922</v>
      </c>
      <c r="O1353" s="18">
        <v>44033</v>
      </c>
    </row>
    <row r="1354" spans="1:19" hidden="1" outlineLevel="1">
      <c r="A1354" s="1">
        <v>10</v>
      </c>
      <c r="F1354" s="22">
        <v>866795036998423</v>
      </c>
      <c r="M1354" s="2" t="s">
        <v>1970</v>
      </c>
      <c r="N1354" s="2" t="s">
        <v>1922</v>
      </c>
      <c r="O1354" s="18">
        <v>44036</v>
      </c>
    </row>
    <row r="1355" spans="1:19" hidden="1" outlineLevel="1">
      <c r="A1355" s="8"/>
      <c r="B1355" s="58"/>
      <c r="C1355" s="159"/>
      <c r="D1355" s="8"/>
      <c r="E1355" s="8"/>
      <c r="F1355" s="9"/>
      <c r="G1355" s="8"/>
      <c r="H1355" s="8"/>
      <c r="I1355" s="8"/>
      <c r="J1355" s="58"/>
      <c r="K1355" s="8"/>
      <c r="L1355" s="58"/>
      <c r="M1355" s="8"/>
      <c r="N1355" s="8"/>
      <c r="O1355" s="58"/>
      <c r="P1355" s="8"/>
      <c r="Q1355" s="8"/>
      <c r="R1355" s="8"/>
      <c r="S1355" s="8"/>
    </row>
    <row r="1356" spans="1:19" hidden="1" outlineLevel="1">
      <c r="A1356" s="1">
        <v>1</v>
      </c>
      <c r="B1356" s="11">
        <v>44032</v>
      </c>
      <c r="C1356" s="160">
        <v>2628</v>
      </c>
      <c r="E1356" s="1" t="s">
        <v>149</v>
      </c>
      <c r="F1356" s="22">
        <v>866795036997664</v>
      </c>
      <c r="M1356" s="2" t="s">
        <v>1971</v>
      </c>
      <c r="N1356" s="2" t="s">
        <v>1922</v>
      </c>
      <c r="O1356" s="18">
        <v>44036</v>
      </c>
    </row>
    <row r="1357" spans="1:19" hidden="1" outlineLevel="1">
      <c r="A1357" s="1">
        <v>2</v>
      </c>
      <c r="F1357" s="22">
        <v>866795036992939</v>
      </c>
      <c r="M1357" s="2" t="s">
        <v>1972</v>
      </c>
      <c r="N1357" s="2" t="s">
        <v>1922</v>
      </c>
      <c r="O1357" s="18">
        <v>44036</v>
      </c>
    </row>
    <row r="1358" spans="1:19" hidden="1" outlineLevel="1">
      <c r="A1358" s="1">
        <v>3</v>
      </c>
      <c r="F1358" s="22">
        <v>866795036997649</v>
      </c>
      <c r="M1358" s="2" t="s">
        <v>1973</v>
      </c>
      <c r="N1358" s="2" t="s">
        <v>1922</v>
      </c>
      <c r="O1358" s="18">
        <v>44039</v>
      </c>
    </row>
    <row r="1359" spans="1:19" hidden="1" outlineLevel="1">
      <c r="A1359" s="1">
        <v>4</v>
      </c>
      <c r="F1359" s="22">
        <v>866795036990784</v>
      </c>
      <c r="M1359" s="2" t="s">
        <v>1974</v>
      </c>
      <c r="N1359" s="2" t="s">
        <v>968</v>
      </c>
    </row>
    <row r="1360" spans="1:19" hidden="1" outlineLevel="1">
      <c r="A1360" s="1">
        <v>5</v>
      </c>
      <c r="F1360" s="22">
        <v>866795036989562</v>
      </c>
      <c r="M1360" s="2" t="s">
        <v>1229</v>
      </c>
    </row>
    <row r="1361" spans="1:19" hidden="1" outlineLevel="1">
      <c r="A1361" s="1">
        <v>6</v>
      </c>
      <c r="F1361" s="22">
        <v>866795036990875</v>
      </c>
      <c r="M1361" s="2" t="s">
        <v>1975</v>
      </c>
      <c r="N1361" s="2" t="s">
        <v>1920</v>
      </c>
      <c r="O1361" s="18">
        <v>44042</v>
      </c>
    </row>
    <row r="1362" spans="1:19" hidden="1" outlineLevel="1">
      <c r="A1362" s="1">
        <v>7</v>
      </c>
      <c r="F1362" s="22">
        <v>866795036993283</v>
      </c>
      <c r="M1362" s="2" t="s">
        <v>1976</v>
      </c>
      <c r="N1362" s="2" t="s">
        <v>1534</v>
      </c>
      <c r="O1362" s="18">
        <v>44035</v>
      </c>
    </row>
    <row r="1363" spans="1:19" hidden="1" outlineLevel="1">
      <c r="A1363" s="1">
        <v>8</v>
      </c>
      <c r="F1363" s="22">
        <v>866795037061296</v>
      </c>
      <c r="M1363" s="2" t="s">
        <v>1977</v>
      </c>
      <c r="N1363" s="2" t="s">
        <v>1978</v>
      </c>
      <c r="O1363" s="18">
        <v>44039</v>
      </c>
    </row>
    <row r="1364" spans="1:19" hidden="1" outlineLevel="1">
      <c r="A1364" s="1">
        <v>9</v>
      </c>
      <c r="F1364" s="22">
        <v>866795037100946</v>
      </c>
      <c r="M1364" s="2" t="s">
        <v>1229</v>
      </c>
    </row>
    <row r="1365" spans="1:19" hidden="1" outlineLevel="1">
      <c r="A1365" s="1">
        <v>10</v>
      </c>
      <c r="F1365" s="22">
        <v>866795037149653</v>
      </c>
      <c r="M1365" s="2" t="s">
        <v>1979</v>
      </c>
      <c r="N1365" s="2" t="s">
        <v>1922</v>
      </c>
      <c r="O1365" s="18">
        <v>44039</v>
      </c>
    </row>
    <row r="1366" spans="1:19" hidden="1" outlineLevel="1">
      <c r="A1366" s="1">
        <v>11</v>
      </c>
      <c r="F1366" s="22">
        <v>866795036930632</v>
      </c>
      <c r="M1366" s="2" t="s">
        <v>1980</v>
      </c>
      <c r="N1366" s="2" t="s">
        <v>1920</v>
      </c>
      <c r="O1366" s="18">
        <v>44036</v>
      </c>
    </row>
    <row r="1367" spans="1:19" hidden="1" outlineLevel="1">
      <c r="A1367" s="1">
        <v>12</v>
      </c>
      <c r="F1367" s="22">
        <v>866795036998563</v>
      </c>
      <c r="M1367" s="2" t="s">
        <v>1981</v>
      </c>
      <c r="N1367" s="2" t="s">
        <v>1982</v>
      </c>
      <c r="O1367" s="18">
        <v>44062</v>
      </c>
    </row>
    <row r="1368" spans="1:19" hidden="1" outlineLevel="1">
      <c r="A1368" s="1">
        <v>13</v>
      </c>
      <c r="F1368" s="22">
        <v>866795036997730</v>
      </c>
      <c r="M1368" s="2" t="s">
        <v>1983</v>
      </c>
      <c r="N1368" s="2" t="s">
        <v>1922</v>
      </c>
      <c r="O1368" s="18">
        <v>44040</v>
      </c>
    </row>
    <row r="1369" spans="1:19" hidden="1" outlineLevel="1">
      <c r="A1369" s="1">
        <v>14</v>
      </c>
      <c r="F1369" s="22">
        <v>866795036999157</v>
      </c>
      <c r="M1369" s="2" t="s">
        <v>1229</v>
      </c>
    </row>
    <row r="1370" spans="1:19" hidden="1" outlineLevel="1">
      <c r="A1370" s="1">
        <v>15</v>
      </c>
      <c r="F1370" s="22">
        <v>866795036992970</v>
      </c>
      <c r="M1370" s="2" t="s">
        <v>1984</v>
      </c>
      <c r="N1370" s="2" t="s">
        <v>1534</v>
      </c>
      <c r="O1370" s="18">
        <v>44035</v>
      </c>
    </row>
    <row r="1371" spans="1:19" hidden="1" outlineLevel="1">
      <c r="A1371" s="8"/>
      <c r="B1371" s="58"/>
      <c r="C1371" s="159"/>
      <c r="D1371" s="8"/>
      <c r="E1371" s="8"/>
      <c r="F1371" s="9"/>
      <c r="G1371" s="8"/>
      <c r="H1371" s="8"/>
      <c r="I1371" s="8"/>
      <c r="J1371" s="58"/>
      <c r="K1371" s="8"/>
      <c r="L1371" s="58"/>
      <c r="M1371" s="8"/>
      <c r="N1371" s="8"/>
      <c r="O1371" s="58"/>
      <c r="P1371" s="8"/>
      <c r="Q1371" s="8"/>
      <c r="R1371" s="8"/>
      <c r="S1371" s="8"/>
    </row>
    <row r="1372" spans="1:19" hidden="1" outlineLevel="1">
      <c r="A1372" s="1">
        <v>1</v>
      </c>
      <c r="B1372" s="11">
        <v>44039</v>
      </c>
      <c r="C1372" s="160">
        <v>2730</v>
      </c>
      <c r="E1372" s="1" t="s">
        <v>149</v>
      </c>
      <c r="F1372" s="22">
        <v>866795037155627</v>
      </c>
      <c r="M1372" s="2" t="s">
        <v>1985</v>
      </c>
      <c r="N1372" s="2" t="s">
        <v>1922</v>
      </c>
      <c r="O1372" s="18">
        <v>44040</v>
      </c>
    </row>
    <row r="1373" spans="1:19" hidden="1" outlineLevel="1">
      <c r="A1373" s="1">
        <v>2</v>
      </c>
      <c r="F1373" s="22">
        <v>866795036997987</v>
      </c>
      <c r="M1373" s="2" t="s">
        <v>1986</v>
      </c>
      <c r="N1373" s="2" t="s">
        <v>1922</v>
      </c>
      <c r="O1373" s="18">
        <v>44041</v>
      </c>
    </row>
    <row r="1374" spans="1:19" hidden="1" outlineLevel="1">
      <c r="A1374" s="1">
        <v>3</v>
      </c>
      <c r="F1374" s="22">
        <v>866795037120829</v>
      </c>
      <c r="M1374" s="2" t="s">
        <v>1987</v>
      </c>
      <c r="N1374" s="2" t="s">
        <v>1922</v>
      </c>
      <c r="O1374" s="18">
        <v>44040</v>
      </c>
    </row>
    <row r="1375" spans="1:19" hidden="1" outlineLevel="1">
      <c r="A1375" s="1">
        <v>4</v>
      </c>
      <c r="F1375" s="22">
        <v>866795036997938</v>
      </c>
      <c r="M1375" s="2" t="s">
        <v>1988</v>
      </c>
      <c r="N1375" s="2" t="s">
        <v>1989</v>
      </c>
      <c r="O1375" s="18">
        <v>44046</v>
      </c>
    </row>
    <row r="1376" spans="1:19" hidden="1" outlineLevel="1">
      <c r="A1376" s="1">
        <v>5</v>
      </c>
      <c r="F1376" s="22">
        <v>866795036954848</v>
      </c>
      <c r="M1376" s="2" t="s">
        <v>1990</v>
      </c>
      <c r="N1376" s="2" t="s">
        <v>1153</v>
      </c>
      <c r="O1376" s="18">
        <v>44044</v>
      </c>
    </row>
    <row r="1377" spans="1:19" hidden="1" outlineLevel="1">
      <c r="A1377" s="1">
        <v>6</v>
      </c>
      <c r="F1377" s="22">
        <v>866795037111679</v>
      </c>
      <c r="M1377" s="2" t="s">
        <v>1991</v>
      </c>
      <c r="N1377" s="2" t="s">
        <v>1922</v>
      </c>
      <c r="O1377" s="18">
        <v>44041</v>
      </c>
    </row>
    <row r="1378" spans="1:19" hidden="1" outlineLevel="1">
      <c r="A1378" s="1">
        <v>7</v>
      </c>
      <c r="F1378" s="22">
        <v>866795037061494</v>
      </c>
      <c r="M1378" s="2" t="s">
        <v>1229</v>
      </c>
    </row>
    <row r="1379" spans="1:19" hidden="1" outlineLevel="1">
      <c r="A1379" s="1">
        <v>8</v>
      </c>
      <c r="F1379" s="22">
        <v>866795037071618</v>
      </c>
      <c r="M1379" s="2" t="s">
        <v>1992</v>
      </c>
      <c r="N1379" s="2" t="s">
        <v>1993</v>
      </c>
      <c r="O1379" s="18">
        <v>44047</v>
      </c>
    </row>
    <row r="1380" spans="1:19" hidden="1" outlineLevel="1">
      <c r="A1380" s="1">
        <v>9</v>
      </c>
      <c r="F1380" s="22">
        <v>866795037140868</v>
      </c>
      <c r="M1380" s="2" t="s">
        <v>1994</v>
      </c>
      <c r="N1380" s="2" t="s">
        <v>860</v>
      </c>
      <c r="O1380" s="18">
        <v>44043</v>
      </c>
    </row>
    <row r="1381" spans="1:19" hidden="1" outlineLevel="1">
      <c r="A1381" s="1">
        <v>10</v>
      </c>
      <c r="F1381" s="22">
        <v>866795037000559</v>
      </c>
      <c r="M1381" s="2" t="s">
        <v>1995</v>
      </c>
      <c r="N1381" s="2" t="s">
        <v>1996</v>
      </c>
      <c r="O1381" s="18">
        <v>44043</v>
      </c>
    </row>
    <row r="1382" spans="1:19" hidden="1" outlineLevel="1">
      <c r="A1382" s="1">
        <v>11</v>
      </c>
      <c r="E1382" s="1" t="s">
        <v>615</v>
      </c>
      <c r="F1382" s="22">
        <v>861230043930644</v>
      </c>
      <c r="M1382" s="2" t="s">
        <v>1997</v>
      </c>
      <c r="N1382" s="2" t="s">
        <v>1569</v>
      </c>
      <c r="O1382" s="18">
        <v>42039</v>
      </c>
    </row>
    <row r="1383" spans="1:19" hidden="1" outlineLevel="1">
      <c r="A1383" s="1">
        <v>12</v>
      </c>
      <c r="F1383" s="22">
        <v>861230043916460</v>
      </c>
      <c r="M1383" s="2" t="s">
        <v>1998</v>
      </c>
      <c r="N1383" s="2" t="s">
        <v>1569</v>
      </c>
      <c r="O1383" s="18">
        <v>42410</v>
      </c>
    </row>
    <row r="1384" spans="1:19" hidden="1" outlineLevel="1">
      <c r="A1384" s="1">
        <v>13</v>
      </c>
      <c r="E1384" s="1" t="s">
        <v>612</v>
      </c>
      <c r="F1384" s="22">
        <v>860922043112204</v>
      </c>
      <c r="M1384" s="2" t="s">
        <v>1229</v>
      </c>
    </row>
    <row r="1385" spans="1:19" hidden="1" outlineLevel="1">
      <c r="A1385" s="8"/>
      <c r="B1385" s="58"/>
      <c r="C1385" s="159"/>
      <c r="D1385" s="8"/>
      <c r="E1385" s="8"/>
      <c r="F1385" s="9"/>
      <c r="G1385" s="8"/>
      <c r="H1385" s="8"/>
      <c r="I1385" s="8"/>
      <c r="J1385" s="58"/>
      <c r="K1385" s="8"/>
      <c r="L1385" s="58"/>
      <c r="M1385" s="8"/>
      <c r="N1385" s="8"/>
      <c r="O1385" s="58"/>
      <c r="P1385" s="8"/>
      <c r="Q1385" s="8"/>
      <c r="R1385" s="8"/>
      <c r="S1385" s="8"/>
    </row>
    <row r="1386" spans="1:19" hidden="1" outlineLevel="1">
      <c r="A1386" s="1">
        <v>1</v>
      </c>
      <c r="B1386" s="11">
        <v>44046</v>
      </c>
      <c r="C1386" s="160">
        <v>2797</v>
      </c>
      <c r="E1386" s="1" t="s">
        <v>608</v>
      </c>
      <c r="F1386" s="22">
        <v>866795036098653</v>
      </c>
      <c r="M1386" s="2" t="s">
        <v>1999</v>
      </c>
      <c r="N1386" s="2" t="s">
        <v>1311</v>
      </c>
      <c r="O1386" s="18">
        <v>42398</v>
      </c>
    </row>
    <row r="1387" spans="1:19" hidden="1" outlineLevel="1">
      <c r="A1387" s="1">
        <v>2</v>
      </c>
      <c r="F1387" s="22">
        <v>866795036122826</v>
      </c>
      <c r="M1387" s="2" t="s">
        <v>2000</v>
      </c>
      <c r="N1387" s="2" t="s">
        <v>1311</v>
      </c>
      <c r="O1387" s="18">
        <v>42410</v>
      </c>
    </row>
    <row r="1388" spans="1:19" hidden="1" outlineLevel="1">
      <c r="A1388" s="1">
        <v>3</v>
      </c>
      <c r="F1388" s="22">
        <v>866795036156634</v>
      </c>
    </row>
    <row r="1389" spans="1:19" hidden="1" outlineLevel="1">
      <c r="A1389" s="1">
        <v>4</v>
      </c>
      <c r="F1389" s="22">
        <v>866795036122842</v>
      </c>
      <c r="M1389" s="2" t="s">
        <v>2001</v>
      </c>
      <c r="N1389" s="2" t="s">
        <v>1311</v>
      </c>
      <c r="O1389" s="18">
        <v>44047</v>
      </c>
    </row>
    <row r="1390" spans="1:19" hidden="1" outlineLevel="1">
      <c r="A1390" s="1">
        <v>5</v>
      </c>
      <c r="F1390" s="22">
        <v>866795036923686</v>
      </c>
      <c r="M1390" s="2" t="s">
        <v>2002</v>
      </c>
      <c r="N1390" s="2" t="s">
        <v>1311</v>
      </c>
      <c r="O1390" s="18">
        <v>42398</v>
      </c>
    </row>
    <row r="1391" spans="1:19" hidden="1" outlineLevel="1">
      <c r="A1391" s="1">
        <v>6</v>
      </c>
      <c r="F1391" s="22">
        <v>866795036991790</v>
      </c>
    </row>
    <row r="1392" spans="1:19" hidden="1" outlineLevel="1">
      <c r="A1392" s="1">
        <v>7</v>
      </c>
      <c r="F1392" s="22">
        <v>866795036992384</v>
      </c>
      <c r="M1392" s="2" t="s">
        <v>2003</v>
      </c>
      <c r="N1392" s="2" t="s">
        <v>1311</v>
      </c>
      <c r="O1392" s="18">
        <v>44091</v>
      </c>
    </row>
    <row r="1393" spans="1:15" hidden="1" outlineLevel="1">
      <c r="A1393" s="1">
        <v>8</v>
      </c>
      <c r="F1393" s="22">
        <v>866795037120308</v>
      </c>
      <c r="M1393" s="2" t="s">
        <v>2004</v>
      </c>
      <c r="N1393" s="2" t="s">
        <v>1311</v>
      </c>
      <c r="O1393" s="18">
        <v>42412</v>
      </c>
    </row>
    <row r="1394" spans="1:15" hidden="1" outlineLevel="1">
      <c r="A1394" s="1">
        <v>9</v>
      </c>
      <c r="F1394" s="22">
        <v>866795036923603</v>
      </c>
      <c r="M1394" s="2" t="s">
        <v>2005</v>
      </c>
      <c r="N1394" s="2" t="s">
        <v>1311</v>
      </c>
      <c r="O1394" s="18">
        <v>43446</v>
      </c>
    </row>
    <row r="1395" spans="1:15" hidden="1" outlineLevel="1">
      <c r="A1395" s="1">
        <v>10</v>
      </c>
      <c r="F1395" s="22">
        <v>866795036964003</v>
      </c>
      <c r="M1395" s="2" t="s">
        <v>2006</v>
      </c>
      <c r="N1395" s="2" t="s">
        <v>1311</v>
      </c>
      <c r="O1395" s="18">
        <v>42404</v>
      </c>
    </row>
    <row r="1396" spans="1:15" hidden="1" outlineLevel="1">
      <c r="A1396" s="1">
        <v>11</v>
      </c>
      <c r="F1396" s="22">
        <v>866795036098877</v>
      </c>
    </row>
    <row r="1397" spans="1:15" hidden="1" outlineLevel="1">
      <c r="A1397" s="1">
        <v>12</v>
      </c>
      <c r="F1397" s="22">
        <v>866795036985834</v>
      </c>
      <c r="M1397" s="2" t="s">
        <v>2007</v>
      </c>
      <c r="N1397" s="2" t="s">
        <v>1311</v>
      </c>
      <c r="O1397" s="18">
        <v>42398</v>
      </c>
    </row>
    <row r="1398" spans="1:15" hidden="1" outlineLevel="1">
      <c r="A1398" s="1">
        <v>13</v>
      </c>
      <c r="F1398" s="22">
        <v>866795036101408</v>
      </c>
      <c r="M1398" s="2" t="s">
        <v>2008</v>
      </c>
      <c r="N1398" s="2" t="s">
        <v>1311</v>
      </c>
      <c r="O1398" s="18">
        <v>43581</v>
      </c>
    </row>
    <row r="1399" spans="1:15" hidden="1" outlineLevel="1">
      <c r="A1399" s="1">
        <v>14</v>
      </c>
      <c r="F1399" s="22">
        <v>866795036059143</v>
      </c>
      <c r="M1399" s="2" t="s">
        <v>2009</v>
      </c>
      <c r="N1399" s="2" t="s">
        <v>1311</v>
      </c>
      <c r="O1399" s="18">
        <v>44047</v>
      </c>
    </row>
    <row r="1400" spans="1:15" hidden="1" outlineLevel="1">
      <c r="A1400" s="1">
        <v>15</v>
      </c>
      <c r="F1400" s="22">
        <v>866795037063086</v>
      </c>
      <c r="M1400" s="2" t="s">
        <v>2010</v>
      </c>
      <c r="N1400" s="2" t="s">
        <v>1311</v>
      </c>
      <c r="O1400" s="18">
        <v>44047</v>
      </c>
    </row>
    <row r="1401" spans="1:15" hidden="1" outlineLevel="1">
      <c r="A1401" s="1">
        <v>16</v>
      </c>
      <c r="E1401" s="1" t="s">
        <v>149</v>
      </c>
      <c r="F1401" s="22">
        <v>862531040096258</v>
      </c>
      <c r="M1401" s="2" t="s">
        <v>2011</v>
      </c>
      <c r="N1401" s="2" t="s">
        <v>919</v>
      </c>
      <c r="O1401" s="18">
        <v>44056</v>
      </c>
    </row>
    <row r="1402" spans="1:15" hidden="1" outlineLevel="1">
      <c r="A1402" s="1">
        <v>17</v>
      </c>
      <c r="F1402" s="22">
        <v>862531040097884</v>
      </c>
      <c r="M1402" s="2" t="s">
        <v>2012</v>
      </c>
      <c r="N1402" s="2" t="s">
        <v>298</v>
      </c>
      <c r="O1402" s="18">
        <v>44062</v>
      </c>
    </row>
    <row r="1403" spans="1:15" hidden="1" outlineLevel="1">
      <c r="A1403" s="1">
        <v>18</v>
      </c>
      <c r="F1403" s="22">
        <v>866795039963911</v>
      </c>
      <c r="M1403" s="2" t="s">
        <v>2013</v>
      </c>
      <c r="N1403" s="2" t="s">
        <v>2014</v>
      </c>
      <c r="O1403" s="18">
        <v>44064</v>
      </c>
    </row>
    <row r="1404" spans="1:15" hidden="1" outlineLevel="1">
      <c r="A1404" s="1">
        <v>19</v>
      </c>
      <c r="F1404" s="22">
        <v>862531040095557</v>
      </c>
      <c r="M1404" s="2" t="s">
        <v>2015</v>
      </c>
      <c r="N1404" s="2" t="s">
        <v>1412</v>
      </c>
      <c r="O1404" s="18">
        <v>44063</v>
      </c>
    </row>
    <row r="1405" spans="1:15" hidden="1" outlineLevel="1">
      <c r="A1405" s="1">
        <v>20</v>
      </c>
      <c r="F1405" s="22">
        <v>862531040086713</v>
      </c>
      <c r="M1405" s="2" t="s">
        <v>2016</v>
      </c>
      <c r="N1405" s="2" t="s">
        <v>963</v>
      </c>
      <c r="O1405" s="18">
        <v>44057</v>
      </c>
    </row>
    <row r="1406" spans="1:15" hidden="1" outlineLevel="1">
      <c r="A1406" s="1">
        <v>21</v>
      </c>
      <c r="F1406" s="22">
        <v>866795039933781</v>
      </c>
      <c r="M1406" s="2" t="s">
        <v>2017</v>
      </c>
      <c r="N1406" s="2" t="s">
        <v>963</v>
      </c>
      <c r="O1406" s="18">
        <v>44057</v>
      </c>
    </row>
    <row r="1407" spans="1:15" hidden="1" outlineLevel="1">
      <c r="A1407" s="1">
        <v>22</v>
      </c>
      <c r="F1407" s="22">
        <v>866795039867153</v>
      </c>
      <c r="M1407" s="2" t="s">
        <v>2018</v>
      </c>
      <c r="N1407" s="2" t="s">
        <v>919</v>
      </c>
      <c r="O1407" s="18">
        <v>42846</v>
      </c>
    </row>
    <row r="1408" spans="1:15" hidden="1" outlineLevel="1">
      <c r="A1408" s="1">
        <v>23</v>
      </c>
      <c r="F1408" s="22">
        <v>862531040095573</v>
      </c>
      <c r="M1408" s="2" t="s">
        <v>2019</v>
      </c>
      <c r="N1408" s="2" t="s">
        <v>1138</v>
      </c>
      <c r="O1408" s="18">
        <v>41765</v>
      </c>
    </row>
    <row r="1409" spans="1:19" hidden="1" outlineLevel="1">
      <c r="A1409" s="1">
        <v>24</v>
      </c>
      <c r="F1409" s="22">
        <v>862531040100670</v>
      </c>
      <c r="M1409" s="2" t="s">
        <v>2020</v>
      </c>
      <c r="N1409" s="2" t="s">
        <v>963</v>
      </c>
      <c r="O1409" s="18">
        <v>44057</v>
      </c>
    </row>
    <row r="1410" spans="1:19" hidden="1" outlineLevel="1">
      <c r="A1410" s="1">
        <v>25</v>
      </c>
      <c r="F1410" s="22">
        <v>862531040097124</v>
      </c>
      <c r="M1410" s="2" t="s">
        <v>2021</v>
      </c>
      <c r="N1410" s="2" t="s">
        <v>874</v>
      </c>
      <c r="O1410" s="18">
        <v>42759</v>
      </c>
    </row>
    <row r="1411" spans="1:19" hidden="1" outlineLevel="1">
      <c r="A1411" s="8"/>
      <c r="B1411" s="58"/>
      <c r="C1411" s="159"/>
      <c r="D1411" s="8"/>
      <c r="E1411" s="8"/>
      <c r="F1411" s="9"/>
      <c r="G1411" s="8"/>
      <c r="H1411" s="8"/>
      <c r="I1411" s="8"/>
      <c r="J1411" s="58"/>
      <c r="K1411" s="8"/>
      <c r="L1411" s="58"/>
      <c r="M1411" s="8"/>
      <c r="N1411" s="8"/>
      <c r="O1411" s="58"/>
      <c r="P1411" s="8"/>
      <c r="Q1411" s="8"/>
      <c r="R1411" s="8"/>
      <c r="S1411" s="8"/>
    </row>
    <row r="1412" spans="1:19" hidden="1" outlineLevel="1">
      <c r="A1412" s="1">
        <v>1</v>
      </c>
      <c r="B1412" s="11">
        <v>44048</v>
      </c>
      <c r="C1412" s="160">
        <v>2808</v>
      </c>
      <c r="E1412" s="1" t="s">
        <v>608</v>
      </c>
      <c r="F1412" s="22">
        <v>866795037131529</v>
      </c>
      <c r="M1412" s="2" t="s">
        <v>2022</v>
      </c>
      <c r="N1412" s="2" t="s">
        <v>1944</v>
      </c>
      <c r="O1412" s="18">
        <v>44053</v>
      </c>
    </row>
    <row r="1413" spans="1:19" hidden="1" outlineLevel="1">
      <c r="A1413" s="1">
        <v>2</v>
      </c>
      <c r="F1413" s="22">
        <v>866795037135355</v>
      </c>
      <c r="M1413" s="2" t="s">
        <v>2023</v>
      </c>
      <c r="N1413" s="2" t="s">
        <v>2024</v>
      </c>
      <c r="O1413" s="18">
        <v>44050</v>
      </c>
    </row>
    <row r="1414" spans="1:19" hidden="1" outlineLevel="1">
      <c r="A1414" s="1">
        <v>3</v>
      </c>
      <c r="F1414" s="22">
        <v>866795037088042</v>
      </c>
      <c r="M1414" s="2" t="s">
        <v>2025</v>
      </c>
      <c r="N1414" s="2" t="s">
        <v>2024</v>
      </c>
      <c r="O1414" s="18">
        <v>44050</v>
      </c>
    </row>
    <row r="1415" spans="1:19" hidden="1" outlineLevel="1">
      <c r="A1415" s="1">
        <v>4</v>
      </c>
      <c r="F1415" s="22">
        <v>866795036964151</v>
      </c>
      <c r="M1415" s="2" t="s">
        <v>2026</v>
      </c>
      <c r="N1415" s="2" t="s">
        <v>1944</v>
      </c>
      <c r="O1415" s="18">
        <v>44049</v>
      </c>
    </row>
    <row r="1416" spans="1:19" hidden="1" outlineLevel="1">
      <c r="A1416" s="1">
        <v>5</v>
      </c>
      <c r="F1416" s="22">
        <v>866795037120118</v>
      </c>
      <c r="M1416" s="2" t="s">
        <v>2027</v>
      </c>
      <c r="N1416" s="2" t="s">
        <v>2024</v>
      </c>
      <c r="O1416" s="18">
        <v>44050</v>
      </c>
    </row>
    <row r="1417" spans="1:19" hidden="1" outlineLevel="1">
      <c r="A1417" s="8"/>
      <c r="B1417" s="58"/>
      <c r="C1417" s="159"/>
      <c r="D1417" s="8"/>
      <c r="E1417" s="8"/>
      <c r="F1417" s="9"/>
      <c r="G1417" s="8"/>
      <c r="H1417" s="8"/>
      <c r="I1417" s="8"/>
      <c r="J1417" s="58"/>
      <c r="K1417" s="8"/>
      <c r="L1417" s="58"/>
      <c r="M1417" s="8"/>
      <c r="N1417" s="8"/>
      <c r="O1417" s="58"/>
      <c r="P1417" s="8"/>
      <c r="Q1417" s="8"/>
      <c r="R1417" s="8"/>
      <c r="S1417" s="8"/>
    </row>
    <row r="1418" spans="1:19" hidden="1" outlineLevel="1">
      <c r="A1418" s="1">
        <v>1</v>
      </c>
      <c r="B1418" s="11">
        <v>44050</v>
      </c>
      <c r="C1418" s="160">
        <v>2829</v>
      </c>
      <c r="E1418" s="1" t="s">
        <v>608</v>
      </c>
      <c r="F1418" s="22">
        <v>866795037075031</v>
      </c>
      <c r="M1418" s="2" t="s">
        <v>2028</v>
      </c>
      <c r="N1418" s="2" t="s">
        <v>2029</v>
      </c>
      <c r="O1418" s="18">
        <v>44061</v>
      </c>
    </row>
    <row r="1419" spans="1:19" hidden="1" outlineLevel="1">
      <c r="A1419" s="1">
        <v>2</v>
      </c>
      <c r="F1419" s="22">
        <v>866795037056312</v>
      </c>
      <c r="M1419" s="2" t="s">
        <v>2030</v>
      </c>
      <c r="N1419" s="2" t="s">
        <v>1942</v>
      </c>
      <c r="O1419" s="18">
        <v>43928</v>
      </c>
    </row>
    <row r="1420" spans="1:19" hidden="1" outlineLevel="1">
      <c r="A1420" s="1">
        <v>3</v>
      </c>
      <c r="F1420" s="22">
        <v>866795037020920</v>
      </c>
      <c r="M1420" s="2" t="s">
        <v>2031</v>
      </c>
      <c r="N1420" s="2" t="s">
        <v>1942</v>
      </c>
      <c r="O1420" s="18">
        <v>43938</v>
      </c>
    </row>
    <row r="1421" spans="1:19" hidden="1" outlineLevel="1">
      <c r="A1421" s="1">
        <v>4</v>
      </c>
      <c r="F1421" s="22">
        <v>866795036120705</v>
      </c>
      <c r="M1421" s="2" t="s">
        <v>2032</v>
      </c>
      <c r="N1421" s="2" t="s">
        <v>916</v>
      </c>
      <c r="O1421" s="18">
        <v>44060</v>
      </c>
    </row>
    <row r="1422" spans="1:19" hidden="1" outlineLevel="1">
      <c r="A1422" s="1">
        <v>5</v>
      </c>
      <c r="F1422" s="22">
        <v>866795036923884</v>
      </c>
      <c r="M1422" s="2" t="s">
        <v>2033</v>
      </c>
      <c r="N1422" s="2" t="s">
        <v>1765</v>
      </c>
      <c r="O1422" s="18">
        <v>43919</v>
      </c>
    </row>
    <row r="1423" spans="1:19" hidden="1" outlineLevel="1">
      <c r="A1423" s="1">
        <v>6</v>
      </c>
      <c r="F1423" s="22">
        <v>866795036065850</v>
      </c>
      <c r="M1423" s="2" t="s">
        <v>2034</v>
      </c>
      <c r="N1423" s="2" t="s">
        <v>1942</v>
      </c>
      <c r="O1423" s="18">
        <v>43938</v>
      </c>
    </row>
    <row r="1424" spans="1:19" hidden="1" outlineLevel="1">
      <c r="A1424" s="1">
        <v>7</v>
      </c>
      <c r="F1424" s="22">
        <v>866795037130430</v>
      </c>
      <c r="M1424" s="2" t="s">
        <v>2035</v>
      </c>
      <c r="N1424" s="2" t="s">
        <v>1942</v>
      </c>
      <c r="O1424" s="18">
        <v>43942</v>
      </c>
    </row>
    <row r="1425" spans="1:19" hidden="1" outlineLevel="1">
      <c r="A1425" s="1">
        <v>8</v>
      </c>
      <c r="F1425" s="22">
        <v>866795036015400</v>
      </c>
      <c r="M1425" s="2" t="s">
        <v>2036</v>
      </c>
      <c r="N1425" s="2" t="s">
        <v>1942</v>
      </c>
      <c r="O1425" s="18">
        <v>43908</v>
      </c>
    </row>
    <row r="1426" spans="1:19" hidden="1" outlineLevel="1">
      <c r="A1426" s="1">
        <v>9</v>
      </c>
      <c r="F1426" s="22">
        <v>866795037131495</v>
      </c>
      <c r="M1426" s="2" t="s">
        <v>2037</v>
      </c>
      <c r="N1426" s="2" t="s">
        <v>1942</v>
      </c>
      <c r="O1426" s="18">
        <v>43909</v>
      </c>
    </row>
    <row r="1427" spans="1:19" hidden="1" outlineLevel="1">
      <c r="A1427" s="1">
        <v>10</v>
      </c>
      <c r="F1427" s="22">
        <v>866795037107016</v>
      </c>
      <c r="M1427" s="2" t="s">
        <v>2038</v>
      </c>
      <c r="N1427" s="2" t="s">
        <v>1942</v>
      </c>
      <c r="O1427" s="18">
        <v>43936</v>
      </c>
    </row>
    <row r="1428" spans="1:19" hidden="1" outlineLevel="1">
      <c r="A1428" s="1">
        <v>11</v>
      </c>
      <c r="F1428" s="22">
        <v>866795036100269</v>
      </c>
      <c r="M1428" s="2" t="s">
        <v>2039</v>
      </c>
      <c r="N1428" s="2" t="s">
        <v>1942</v>
      </c>
      <c r="O1428" s="18">
        <v>43938</v>
      </c>
    </row>
    <row r="1429" spans="1:19" hidden="1" outlineLevel="1">
      <c r="A1429" s="1">
        <v>12</v>
      </c>
      <c r="F1429" s="22">
        <v>866795037058003</v>
      </c>
      <c r="M1429" s="2" t="s">
        <v>2040</v>
      </c>
      <c r="N1429" s="2" t="s">
        <v>1942</v>
      </c>
      <c r="O1429" s="18">
        <v>43928</v>
      </c>
    </row>
    <row r="1430" spans="1:19" hidden="1" outlineLevel="1">
      <c r="A1430" s="1">
        <v>13</v>
      </c>
      <c r="F1430" s="22">
        <v>866795036062022</v>
      </c>
      <c r="M1430" s="2" t="s">
        <v>2041</v>
      </c>
      <c r="N1430" s="2" t="s">
        <v>1668</v>
      </c>
      <c r="O1430" s="18">
        <v>44062</v>
      </c>
    </row>
    <row r="1431" spans="1:19" hidden="1" outlineLevel="1">
      <c r="A1431" s="1">
        <v>14</v>
      </c>
      <c r="F1431" s="22">
        <v>866795037056973</v>
      </c>
      <c r="M1431" s="2" t="s">
        <v>2042</v>
      </c>
      <c r="N1431" s="2" t="s">
        <v>1942</v>
      </c>
      <c r="O1431" s="18">
        <v>44057</v>
      </c>
    </row>
    <row r="1432" spans="1:19" hidden="1" outlineLevel="1">
      <c r="A1432" s="1">
        <v>15</v>
      </c>
      <c r="F1432" s="22">
        <v>866795036066023</v>
      </c>
      <c r="M1432" s="2" t="s">
        <v>2043</v>
      </c>
      <c r="N1432" s="2" t="s">
        <v>1892</v>
      </c>
      <c r="O1432" s="18">
        <v>44055</v>
      </c>
    </row>
    <row r="1433" spans="1:19" hidden="1" outlineLevel="1">
      <c r="A1433" s="1">
        <v>16</v>
      </c>
      <c r="F1433" s="22">
        <v>866795036058913</v>
      </c>
      <c r="M1433" s="2" t="s">
        <v>2044</v>
      </c>
      <c r="N1433" s="2" t="s">
        <v>1942</v>
      </c>
      <c r="O1433" s="18">
        <v>43937</v>
      </c>
    </row>
    <row r="1434" spans="1:19" hidden="1" outlineLevel="1">
      <c r="A1434" s="1">
        <v>17</v>
      </c>
      <c r="F1434" s="22">
        <v>866795036120770</v>
      </c>
      <c r="M1434" s="2" t="s">
        <v>2045</v>
      </c>
      <c r="N1434" s="2" t="s">
        <v>1942</v>
      </c>
      <c r="O1434" s="18">
        <v>43936</v>
      </c>
    </row>
    <row r="1435" spans="1:19" hidden="1" outlineLevel="1">
      <c r="A1435" s="1">
        <v>18</v>
      </c>
      <c r="F1435" s="22">
        <v>866795036057642</v>
      </c>
      <c r="M1435" s="2" t="s">
        <v>2046</v>
      </c>
      <c r="N1435" s="2" t="s">
        <v>1942</v>
      </c>
      <c r="O1435" s="18">
        <v>43941</v>
      </c>
    </row>
    <row r="1436" spans="1:19" hidden="1" outlineLevel="1">
      <c r="A1436" s="1">
        <v>19</v>
      </c>
      <c r="F1436" s="22">
        <v>866795036985362</v>
      </c>
      <c r="M1436" s="2" t="s">
        <v>2047</v>
      </c>
      <c r="N1436" s="2" t="s">
        <v>1942</v>
      </c>
      <c r="O1436" s="18">
        <v>43908</v>
      </c>
    </row>
    <row r="1437" spans="1:19" hidden="1" outlineLevel="1">
      <c r="A1437" s="1">
        <v>20</v>
      </c>
      <c r="F1437" s="22">
        <v>866795036059028</v>
      </c>
      <c r="M1437" s="2" t="s">
        <v>2048</v>
      </c>
      <c r="N1437" s="2" t="s">
        <v>916</v>
      </c>
      <c r="O1437" s="18">
        <v>44060</v>
      </c>
    </row>
    <row r="1438" spans="1:19" hidden="1" outlineLevel="1">
      <c r="A1438" s="8"/>
      <c r="B1438" s="58"/>
      <c r="C1438" s="159"/>
      <c r="D1438" s="8"/>
      <c r="E1438" s="8"/>
      <c r="F1438" s="9"/>
      <c r="G1438" s="8"/>
      <c r="H1438" s="8"/>
      <c r="I1438" s="8"/>
      <c r="J1438" s="58"/>
      <c r="K1438" s="8"/>
      <c r="L1438" s="58"/>
      <c r="M1438" s="8"/>
      <c r="N1438" s="8"/>
      <c r="O1438" s="58"/>
      <c r="P1438" s="8"/>
      <c r="Q1438" s="8"/>
      <c r="R1438" s="8"/>
      <c r="S1438" s="8"/>
    </row>
    <row r="1439" spans="1:19" hidden="1" outlineLevel="1">
      <c r="A1439" s="1">
        <v>1</v>
      </c>
      <c r="B1439" s="11">
        <v>44061</v>
      </c>
      <c r="C1439" s="160">
        <v>3054</v>
      </c>
      <c r="E1439" s="1" t="s">
        <v>616</v>
      </c>
      <c r="F1439" s="22">
        <v>866795037153820</v>
      </c>
      <c r="M1439" s="2" t="s">
        <v>2049</v>
      </c>
      <c r="N1439" s="2" t="s">
        <v>1668</v>
      </c>
      <c r="O1439" s="18">
        <v>44071</v>
      </c>
    </row>
    <row r="1440" spans="1:19" hidden="1" outlineLevel="1">
      <c r="A1440" s="1">
        <v>2</v>
      </c>
      <c r="F1440" s="22">
        <v>866795037044615</v>
      </c>
      <c r="M1440" s="2" t="s">
        <v>2050</v>
      </c>
      <c r="N1440" s="2" t="s">
        <v>2051</v>
      </c>
      <c r="O1440" s="18">
        <v>44067</v>
      </c>
    </row>
    <row r="1441" spans="1:19" hidden="1" outlineLevel="1">
      <c r="A1441" s="1">
        <v>3</v>
      </c>
      <c r="F1441" s="22">
        <v>866795037021936</v>
      </c>
      <c r="M1441" s="2" t="s">
        <v>2052</v>
      </c>
      <c r="N1441" s="2" t="s">
        <v>1527</v>
      </c>
      <c r="O1441" s="18">
        <v>42097</v>
      </c>
    </row>
    <row r="1442" spans="1:19" hidden="1" outlineLevel="1">
      <c r="A1442" s="1">
        <v>4</v>
      </c>
      <c r="F1442" s="22">
        <v>866795037022587</v>
      </c>
      <c r="M1442" s="2" t="s">
        <v>2053</v>
      </c>
      <c r="N1442" s="2" t="s">
        <v>1527</v>
      </c>
      <c r="O1442" s="18">
        <v>42097</v>
      </c>
    </row>
    <row r="1443" spans="1:19" hidden="1" outlineLevel="1">
      <c r="A1443" s="1">
        <v>5</v>
      </c>
      <c r="F1443" s="22">
        <v>866795036964185</v>
      </c>
      <c r="M1443" s="2" t="s">
        <v>2054</v>
      </c>
      <c r="N1443" s="2" t="s">
        <v>1668</v>
      </c>
      <c r="O1443" s="18">
        <v>44068</v>
      </c>
    </row>
    <row r="1444" spans="1:19" hidden="1" outlineLevel="1">
      <c r="A1444" s="8"/>
      <c r="B1444" s="58"/>
      <c r="C1444" s="159"/>
      <c r="D1444" s="8"/>
      <c r="E1444" s="8"/>
      <c r="F1444" s="9"/>
      <c r="G1444" s="8"/>
      <c r="H1444" s="8"/>
      <c r="I1444" s="8"/>
      <c r="J1444" s="58"/>
      <c r="K1444" s="8"/>
      <c r="L1444" s="58"/>
      <c r="M1444" s="8"/>
      <c r="N1444" s="8"/>
      <c r="O1444" s="58"/>
      <c r="P1444" s="8"/>
      <c r="Q1444" s="8"/>
      <c r="R1444" s="8"/>
      <c r="S1444" s="8"/>
    </row>
    <row r="1445" spans="1:19" hidden="1" outlineLevel="1">
      <c r="A1445" s="1">
        <v>1</v>
      </c>
      <c r="B1445" s="11">
        <v>44064</v>
      </c>
      <c r="C1445" s="160">
        <v>3096</v>
      </c>
      <c r="E1445" s="1" t="s">
        <v>617</v>
      </c>
      <c r="F1445" s="22">
        <v>866795037135108</v>
      </c>
      <c r="M1445" s="2" t="s">
        <v>2055</v>
      </c>
      <c r="N1445" s="2" t="s">
        <v>2056</v>
      </c>
      <c r="O1445" s="18">
        <v>40872</v>
      </c>
    </row>
    <row r="1446" spans="1:19" hidden="1" outlineLevel="1">
      <c r="A1446" s="1">
        <v>2</v>
      </c>
      <c r="F1446" s="22">
        <v>866795037048061</v>
      </c>
      <c r="M1446" s="2" t="s">
        <v>2057</v>
      </c>
      <c r="N1446" s="2" t="s">
        <v>2058</v>
      </c>
      <c r="O1446" s="18">
        <v>44069</v>
      </c>
    </row>
    <row r="1447" spans="1:19" hidden="1" outlineLevel="1">
      <c r="A1447" s="1">
        <v>3</v>
      </c>
      <c r="F1447" s="22">
        <v>866795037009295</v>
      </c>
      <c r="M1447" s="2" t="s">
        <v>2059</v>
      </c>
      <c r="N1447" s="2" t="s">
        <v>2058</v>
      </c>
      <c r="O1447" s="18">
        <v>44069</v>
      </c>
    </row>
    <row r="1448" spans="1:19" hidden="1" outlineLevel="1">
      <c r="A1448" s="1">
        <v>4</v>
      </c>
      <c r="F1448" s="22">
        <v>866795037088091</v>
      </c>
      <c r="M1448" s="2" t="s">
        <v>2060</v>
      </c>
      <c r="N1448" s="2" t="s">
        <v>1942</v>
      </c>
      <c r="O1448" s="18">
        <v>43944</v>
      </c>
    </row>
    <row r="1449" spans="1:19" hidden="1" outlineLevel="1">
      <c r="A1449" s="1">
        <v>5</v>
      </c>
      <c r="F1449" s="22">
        <v>866795037047147</v>
      </c>
      <c r="M1449" s="2" t="s">
        <v>2061</v>
      </c>
      <c r="N1449" s="2" t="s">
        <v>1668</v>
      </c>
      <c r="O1449" s="18">
        <v>44070</v>
      </c>
    </row>
    <row r="1450" spans="1:19" hidden="1" outlineLevel="1">
      <c r="A1450" s="1">
        <v>6</v>
      </c>
      <c r="E1450" s="1" t="s">
        <v>618</v>
      </c>
      <c r="F1450" s="22">
        <v>862531040076482</v>
      </c>
      <c r="M1450" s="2" t="s">
        <v>2062</v>
      </c>
      <c r="N1450" s="2" t="s">
        <v>2063</v>
      </c>
      <c r="O1450" s="18">
        <v>44075</v>
      </c>
    </row>
    <row r="1451" spans="1:19" hidden="1" outlineLevel="1">
      <c r="A1451" s="1">
        <v>7</v>
      </c>
      <c r="F1451" s="22">
        <v>862531040071749</v>
      </c>
      <c r="M1451" s="2" t="s">
        <v>2064</v>
      </c>
      <c r="N1451" s="2" t="s">
        <v>947</v>
      </c>
      <c r="O1451" s="18">
        <v>42835</v>
      </c>
    </row>
    <row r="1452" spans="1:19" hidden="1" outlineLevel="1">
      <c r="A1452" s="1">
        <v>8</v>
      </c>
      <c r="F1452" s="22">
        <v>866795039963861</v>
      </c>
      <c r="M1452" s="2" t="s">
        <v>2065</v>
      </c>
      <c r="N1452" s="2" t="s">
        <v>2066</v>
      </c>
      <c r="O1452" s="18">
        <v>42082</v>
      </c>
    </row>
    <row r="1453" spans="1:19" hidden="1" outlineLevel="1">
      <c r="A1453" s="1">
        <v>9</v>
      </c>
      <c r="F1453" s="22">
        <v>866795039963853</v>
      </c>
      <c r="M1453" s="2" t="s">
        <v>2067</v>
      </c>
      <c r="N1453" s="2" t="s">
        <v>852</v>
      </c>
      <c r="O1453" s="18">
        <v>44080</v>
      </c>
    </row>
    <row r="1454" spans="1:19" hidden="1" outlineLevel="1">
      <c r="A1454" s="1">
        <v>10</v>
      </c>
      <c r="F1454" s="22">
        <v>862531040044829</v>
      </c>
      <c r="M1454" s="2" t="s">
        <v>2068</v>
      </c>
      <c r="N1454" s="2" t="s">
        <v>1418</v>
      </c>
      <c r="O1454" s="18">
        <v>44075</v>
      </c>
    </row>
    <row r="1455" spans="1:19" hidden="1" outlineLevel="1">
      <c r="A1455" s="1">
        <v>11</v>
      </c>
      <c r="F1455" s="22">
        <v>866795039914237</v>
      </c>
      <c r="M1455" s="2" t="s">
        <v>2069</v>
      </c>
      <c r="N1455" s="2" t="s">
        <v>1534</v>
      </c>
      <c r="O1455" s="18">
        <v>44089</v>
      </c>
    </row>
    <row r="1456" spans="1:19" hidden="1" outlineLevel="1">
      <c r="A1456" s="1">
        <v>12</v>
      </c>
      <c r="F1456" s="22">
        <v>862531040109671</v>
      </c>
      <c r="M1456" s="2" t="s">
        <v>2070</v>
      </c>
      <c r="N1456" s="2" t="s">
        <v>1534</v>
      </c>
      <c r="O1456" s="18">
        <v>44089</v>
      </c>
    </row>
    <row r="1457" spans="1:19" hidden="1" outlineLevel="1">
      <c r="A1457" s="1">
        <v>13</v>
      </c>
      <c r="F1457" s="22">
        <v>862531040059223</v>
      </c>
      <c r="M1457" s="2" t="s">
        <v>2071</v>
      </c>
      <c r="N1457" s="2" t="s">
        <v>931</v>
      </c>
      <c r="O1457" s="18">
        <v>41465</v>
      </c>
    </row>
    <row r="1458" spans="1:19" hidden="1" outlineLevel="1">
      <c r="A1458" s="1">
        <v>14</v>
      </c>
      <c r="F1458" s="22">
        <v>866795039921257</v>
      </c>
      <c r="M1458" s="2" t="s">
        <v>2072</v>
      </c>
      <c r="N1458" s="2" t="s">
        <v>852</v>
      </c>
      <c r="O1458" s="18">
        <v>44103</v>
      </c>
    </row>
    <row r="1459" spans="1:19" hidden="1" outlineLevel="1">
      <c r="A1459" s="1">
        <v>15</v>
      </c>
      <c r="F1459" s="22">
        <v>866795039921398</v>
      </c>
      <c r="M1459" s="2" t="s">
        <v>2073</v>
      </c>
      <c r="N1459" s="2" t="s">
        <v>2074</v>
      </c>
      <c r="O1459" s="18">
        <v>44102</v>
      </c>
    </row>
    <row r="1460" spans="1:19" hidden="1" outlineLevel="1">
      <c r="A1460" s="8"/>
      <c r="B1460" s="58"/>
      <c r="C1460" s="159"/>
      <c r="D1460" s="8"/>
      <c r="E1460" s="8"/>
      <c r="F1460" s="9"/>
      <c r="G1460" s="8"/>
      <c r="H1460" s="8"/>
      <c r="I1460" s="8"/>
      <c r="J1460" s="58"/>
      <c r="K1460" s="8"/>
      <c r="L1460" s="58"/>
      <c r="M1460" s="8"/>
      <c r="N1460" s="8"/>
      <c r="O1460" s="58"/>
      <c r="P1460" s="8"/>
      <c r="Q1460" s="8"/>
      <c r="R1460" s="8"/>
      <c r="S1460" s="8"/>
    </row>
    <row r="1461" spans="1:19" hidden="1" outlineLevel="1">
      <c r="A1461" s="1">
        <v>1</v>
      </c>
      <c r="B1461" s="11">
        <v>44068</v>
      </c>
      <c r="C1461" s="160">
        <v>657</v>
      </c>
      <c r="E1461" s="1" t="s">
        <v>619</v>
      </c>
      <c r="F1461" s="22">
        <v>1444882</v>
      </c>
      <c r="N1461" s="2" t="s">
        <v>2075</v>
      </c>
    </row>
    <row r="1462" spans="1:19" hidden="1" outlineLevel="1">
      <c r="A1462" s="1">
        <v>2</v>
      </c>
      <c r="F1462" s="22">
        <v>1444883</v>
      </c>
      <c r="N1462" s="2" t="s">
        <v>2075</v>
      </c>
    </row>
    <row r="1463" spans="1:19" hidden="1" outlineLevel="1">
      <c r="A1463" s="1">
        <v>3</v>
      </c>
      <c r="F1463" s="22">
        <v>1444884</v>
      </c>
      <c r="N1463" s="2" t="s">
        <v>2075</v>
      </c>
    </row>
    <row r="1464" spans="1:19" hidden="1" outlineLevel="1">
      <c r="A1464" s="1">
        <v>4</v>
      </c>
      <c r="F1464" s="22">
        <v>1444885</v>
      </c>
      <c r="N1464" s="2" t="s">
        <v>2075</v>
      </c>
    </row>
    <row r="1465" spans="1:19" hidden="1" outlineLevel="1">
      <c r="A1465" s="1">
        <v>5</v>
      </c>
      <c r="F1465" s="22">
        <v>1444886</v>
      </c>
      <c r="N1465" s="2" t="s">
        <v>2075</v>
      </c>
    </row>
    <row r="1466" spans="1:19" hidden="1" outlineLevel="1">
      <c r="A1466" s="1">
        <v>6</v>
      </c>
      <c r="F1466" s="22">
        <v>1444887</v>
      </c>
      <c r="N1466" s="2" t="s">
        <v>2075</v>
      </c>
    </row>
    <row r="1467" spans="1:19" hidden="1" outlineLevel="1">
      <c r="A1467" s="1">
        <v>7</v>
      </c>
      <c r="F1467" s="22">
        <v>1444888</v>
      </c>
      <c r="N1467" s="2" t="s">
        <v>2075</v>
      </c>
    </row>
    <row r="1468" spans="1:19" hidden="1" outlineLevel="1">
      <c r="A1468" s="1">
        <v>8</v>
      </c>
      <c r="F1468" s="22">
        <v>1444889</v>
      </c>
      <c r="N1468" s="2" t="s">
        <v>2075</v>
      </c>
    </row>
    <row r="1469" spans="1:19" hidden="1" outlineLevel="1">
      <c r="A1469" s="1">
        <v>9</v>
      </c>
      <c r="F1469" s="22">
        <v>1444890</v>
      </c>
      <c r="N1469" s="2" t="s">
        <v>2075</v>
      </c>
    </row>
    <row r="1470" spans="1:19" hidden="1" outlineLevel="1">
      <c r="A1470" s="1">
        <v>10</v>
      </c>
      <c r="F1470" s="22">
        <v>1444891</v>
      </c>
      <c r="N1470" s="2" t="s">
        <v>2075</v>
      </c>
    </row>
    <row r="1471" spans="1:19" hidden="1" outlineLevel="1">
      <c r="A1471" s="1">
        <v>11</v>
      </c>
      <c r="F1471" s="22">
        <v>1444892</v>
      </c>
      <c r="N1471" s="2" t="s">
        <v>2075</v>
      </c>
    </row>
    <row r="1472" spans="1:19" hidden="1" outlineLevel="1">
      <c r="A1472" s="1">
        <v>12</v>
      </c>
      <c r="F1472" s="22">
        <v>1444893</v>
      </c>
      <c r="N1472" s="2" t="s">
        <v>2075</v>
      </c>
    </row>
    <row r="1473" spans="1:14" hidden="1" outlineLevel="1">
      <c r="A1473" s="1">
        <v>13</v>
      </c>
      <c r="F1473" s="22">
        <v>1444894</v>
      </c>
      <c r="N1473" s="2" t="s">
        <v>2075</v>
      </c>
    </row>
    <row r="1474" spans="1:14" hidden="1" outlineLevel="1">
      <c r="A1474" s="1">
        <v>14</v>
      </c>
      <c r="F1474" s="22">
        <v>1444895</v>
      </c>
      <c r="N1474" s="2" t="s">
        <v>2075</v>
      </c>
    </row>
    <row r="1475" spans="1:14" hidden="1" outlineLevel="1">
      <c r="A1475" s="1">
        <v>15</v>
      </c>
      <c r="F1475" s="22">
        <v>1444896</v>
      </c>
      <c r="N1475" s="2" t="s">
        <v>2075</v>
      </c>
    </row>
    <row r="1476" spans="1:14" hidden="1" outlineLevel="1">
      <c r="A1476" s="1">
        <v>16</v>
      </c>
      <c r="F1476" s="22">
        <v>1444897</v>
      </c>
      <c r="N1476" s="2" t="s">
        <v>2075</v>
      </c>
    </row>
    <row r="1477" spans="1:14" hidden="1" outlineLevel="1">
      <c r="A1477" s="1">
        <v>17</v>
      </c>
      <c r="F1477" s="22">
        <v>1444898</v>
      </c>
      <c r="N1477" s="2" t="s">
        <v>2075</v>
      </c>
    </row>
    <row r="1478" spans="1:14" hidden="1" outlineLevel="1">
      <c r="A1478" s="1">
        <v>18</v>
      </c>
      <c r="F1478" s="22">
        <v>1444899</v>
      </c>
      <c r="N1478" s="2" t="s">
        <v>2075</v>
      </c>
    </row>
    <row r="1479" spans="1:14" hidden="1" outlineLevel="1">
      <c r="A1479" s="1">
        <v>19</v>
      </c>
      <c r="F1479" s="22">
        <v>1444900</v>
      </c>
      <c r="N1479" s="2" t="s">
        <v>2075</v>
      </c>
    </row>
    <row r="1480" spans="1:14" hidden="1" outlineLevel="1">
      <c r="A1480" s="1">
        <v>20</v>
      </c>
      <c r="F1480" s="22">
        <v>1444901</v>
      </c>
      <c r="N1480" s="2" t="s">
        <v>2075</v>
      </c>
    </row>
    <row r="1481" spans="1:14" hidden="1" outlineLevel="1">
      <c r="A1481" s="1">
        <v>21</v>
      </c>
      <c r="F1481" s="22">
        <v>1444902</v>
      </c>
      <c r="N1481" s="2" t="s">
        <v>2075</v>
      </c>
    </row>
    <row r="1482" spans="1:14" hidden="1" outlineLevel="1">
      <c r="A1482" s="1">
        <v>22</v>
      </c>
      <c r="F1482" s="22">
        <v>1444903</v>
      </c>
      <c r="N1482" s="2" t="s">
        <v>2075</v>
      </c>
    </row>
    <row r="1483" spans="1:14" hidden="1" outlineLevel="1">
      <c r="A1483" s="1">
        <v>23</v>
      </c>
      <c r="F1483" s="22">
        <v>1444904</v>
      </c>
      <c r="N1483" s="2" t="s">
        <v>2075</v>
      </c>
    </row>
    <row r="1484" spans="1:14" hidden="1" outlineLevel="1">
      <c r="A1484" s="1">
        <v>24</v>
      </c>
      <c r="F1484" s="22">
        <v>1444905</v>
      </c>
      <c r="N1484" s="2" t="s">
        <v>2075</v>
      </c>
    </row>
    <row r="1485" spans="1:14" hidden="1" outlineLevel="1">
      <c r="A1485" s="1">
        <v>25</v>
      </c>
      <c r="F1485" s="22">
        <v>1444906</v>
      </c>
      <c r="N1485" s="2" t="s">
        <v>2075</v>
      </c>
    </row>
    <row r="1486" spans="1:14" hidden="1" outlineLevel="1">
      <c r="A1486" s="1">
        <v>26</v>
      </c>
      <c r="F1486" s="22">
        <v>1444907</v>
      </c>
      <c r="N1486" s="2" t="s">
        <v>2075</v>
      </c>
    </row>
    <row r="1487" spans="1:14" hidden="1" outlineLevel="1">
      <c r="A1487" s="1">
        <v>27</v>
      </c>
      <c r="F1487" s="22">
        <v>1444908</v>
      </c>
      <c r="N1487" s="2" t="s">
        <v>2075</v>
      </c>
    </row>
    <row r="1488" spans="1:14" hidden="1" outlineLevel="1">
      <c r="A1488" s="1">
        <v>28</v>
      </c>
      <c r="F1488" s="22">
        <v>1444909</v>
      </c>
      <c r="N1488" s="2" t="s">
        <v>2075</v>
      </c>
    </row>
    <row r="1489" spans="1:19" hidden="1" outlineLevel="1">
      <c r="A1489" s="1">
        <v>29</v>
      </c>
      <c r="F1489" s="22">
        <v>1444910</v>
      </c>
      <c r="N1489" s="2" t="s">
        <v>2075</v>
      </c>
    </row>
    <row r="1490" spans="1:19" hidden="1" outlineLevel="1">
      <c r="A1490" s="8"/>
      <c r="B1490" s="58"/>
      <c r="C1490" s="159"/>
      <c r="D1490" s="8"/>
      <c r="E1490" s="8"/>
      <c r="F1490" s="9"/>
      <c r="G1490" s="8"/>
      <c r="H1490" s="8"/>
      <c r="I1490" s="8"/>
      <c r="J1490" s="58"/>
      <c r="K1490" s="8"/>
      <c r="L1490" s="58"/>
      <c r="M1490" s="8"/>
      <c r="N1490" s="8"/>
      <c r="O1490" s="58"/>
      <c r="P1490" s="8"/>
      <c r="Q1490" s="8"/>
      <c r="R1490" s="8"/>
      <c r="S1490" s="8"/>
    </row>
    <row r="1491" spans="1:19" hidden="1" outlineLevel="1">
      <c r="A1491" s="1">
        <v>1</v>
      </c>
      <c r="B1491" s="11">
        <v>44070</v>
      </c>
      <c r="C1491" s="160">
        <v>3173</v>
      </c>
      <c r="E1491" s="1" t="s">
        <v>608</v>
      </c>
      <c r="F1491" s="22">
        <v>866795037001672</v>
      </c>
      <c r="M1491" s="2" t="s">
        <v>2076</v>
      </c>
      <c r="N1491" s="2" t="s">
        <v>891</v>
      </c>
      <c r="O1491" s="18">
        <v>41891</v>
      </c>
    </row>
    <row r="1492" spans="1:19" hidden="1" outlineLevel="1">
      <c r="A1492" s="1">
        <v>2</v>
      </c>
      <c r="F1492" s="22">
        <v>866795037021688</v>
      </c>
      <c r="M1492" s="2" t="s">
        <v>2077</v>
      </c>
      <c r="N1492" s="2" t="s">
        <v>1942</v>
      </c>
      <c r="O1492" s="18">
        <v>43936</v>
      </c>
    </row>
    <row r="1493" spans="1:19" hidden="1" outlineLevel="1">
      <c r="A1493" s="1">
        <v>3</v>
      </c>
      <c r="F1493" s="22">
        <v>866795037012646</v>
      </c>
      <c r="M1493" s="2" t="s">
        <v>2078</v>
      </c>
      <c r="N1493" s="2" t="s">
        <v>1610</v>
      </c>
      <c r="O1493" s="18">
        <v>44075</v>
      </c>
    </row>
    <row r="1494" spans="1:19" hidden="1" outlineLevel="1">
      <c r="A1494" s="1">
        <v>4</v>
      </c>
      <c r="F1494" s="22">
        <v>866795037049663</v>
      </c>
      <c r="M1494" s="2" t="s">
        <v>2079</v>
      </c>
      <c r="N1494" s="2" t="s">
        <v>1668</v>
      </c>
      <c r="O1494" s="18">
        <v>44082</v>
      </c>
    </row>
    <row r="1495" spans="1:19" hidden="1" outlineLevel="1">
      <c r="A1495" s="1">
        <v>5</v>
      </c>
      <c r="F1495" s="22">
        <v>866795037047360</v>
      </c>
      <c r="M1495" s="2" t="s">
        <v>2080</v>
      </c>
      <c r="N1495" s="2" t="s">
        <v>2081</v>
      </c>
      <c r="O1495" s="18">
        <v>44048</v>
      </c>
    </row>
    <row r="1496" spans="1:19" hidden="1" outlineLevel="1">
      <c r="A1496" s="8"/>
      <c r="B1496" s="58"/>
      <c r="C1496" s="159"/>
      <c r="D1496" s="8"/>
      <c r="E1496" s="8"/>
      <c r="F1496" s="9"/>
      <c r="G1496" s="8"/>
      <c r="H1496" s="8"/>
      <c r="I1496" s="8"/>
      <c r="J1496" s="58"/>
      <c r="K1496" s="8"/>
      <c r="L1496" s="58"/>
      <c r="M1496" s="8"/>
      <c r="N1496" s="8"/>
      <c r="O1496" s="58"/>
      <c r="P1496" s="8"/>
      <c r="Q1496" s="8"/>
      <c r="R1496" s="8"/>
      <c r="S1496" s="8"/>
    </row>
    <row r="1497" spans="1:19" hidden="1" outlineLevel="1">
      <c r="A1497" s="1">
        <v>1</v>
      </c>
      <c r="B1497" s="11">
        <v>44076</v>
      </c>
      <c r="C1497" s="160">
        <v>3228</v>
      </c>
      <c r="E1497" s="1" t="s">
        <v>615</v>
      </c>
      <c r="F1497" s="22">
        <v>860922043049802</v>
      </c>
      <c r="M1497" s="2" t="s">
        <v>2082</v>
      </c>
      <c r="N1497" s="2" t="s">
        <v>314</v>
      </c>
      <c r="O1497" s="18">
        <v>44105</v>
      </c>
    </row>
    <row r="1498" spans="1:19" hidden="1" outlineLevel="1">
      <c r="A1498" s="1">
        <v>2</v>
      </c>
      <c r="B1498" s="11">
        <v>44076</v>
      </c>
      <c r="C1498" s="160">
        <v>3225</v>
      </c>
      <c r="E1498" s="1" t="s">
        <v>608</v>
      </c>
      <c r="F1498" s="22">
        <v>866795036997433</v>
      </c>
      <c r="M1498" s="2" t="s">
        <v>2083</v>
      </c>
      <c r="N1498" s="2" t="s">
        <v>1719</v>
      </c>
      <c r="O1498" s="18">
        <v>44084</v>
      </c>
    </row>
    <row r="1499" spans="1:19" hidden="1" outlineLevel="1">
      <c r="A1499" s="1">
        <v>3</v>
      </c>
      <c r="F1499" s="22">
        <v>866795037035662</v>
      </c>
      <c r="M1499" s="2" t="s">
        <v>2084</v>
      </c>
      <c r="N1499" s="2" t="s">
        <v>847</v>
      </c>
      <c r="O1499" s="18">
        <v>44099</v>
      </c>
    </row>
    <row r="1500" spans="1:19" hidden="1" outlineLevel="1">
      <c r="A1500" s="1">
        <v>4</v>
      </c>
      <c r="F1500" s="22">
        <v>866795037010939</v>
      </c>
      <c r="M1500" s="2" t="s">
        <v>2085</v>
      </c>
      <c r="N1500" s="2" t="s">
        <v>1668</v>
      </c>
      <c r="O1500" s="18">
        <v>44082</v>
      </c>
    </row>
    <row r="1501" spans="1:19" hidden="1" outlineLevel="1">
      <c r="A1501" s="1">
        <v>5</v>
      </c>
      <c r="F1501" s="22">
        <v>866795037011077</v>
      </c>
      <c r="M1501" s="2" t="s">
        <v>2086</v>
      </c>
      <c r="N1501" s="2" t="s">
        <v>852</v>
      </c>
      <c r="O1501" s="18">
        <v>44102</v>
      </c>
    </row>
    <row r="1502" spans="1:19" hidden="1" outlineLevel="1">
      <c r="A1502" s="1">
        <v>6</v>
      </c>
      <c r="F1502" s="22">
        <v>866795036996989</v>
      </c>
      <c r="M1502" s="2" t="s">
        <v>2087</v>
      </c>
      <c r="N1502" s="2" t="s">
        <v>852</v>
      </c>
      <c r="O1502" s="18">
        <v>44161</v>
      </c>
      <c r="S1502" s="1" t="s">
        <v>644</v>
      </c>
    </row>
    <row r="1503" spans="1:19" hidden="1" outlineLevel="1">
      <c r="A1503" s="1">
        <v>7</v>
      </c>
      <c r="E1503" s="1" t="s">
        <v>149</v>
      </c>
      <c r="F1503" s="22">
        <v>866795037186622</v>
      </c>
      <c r="M1503" s="2" t="s">
        <v>2088</v>
      </c>
      <c r="N1503" s="2" t="s">
        <v>2089</v>
      </c>
      <c r="O1503" s="18">
        <v>44081</v>
      </c>
    </row>
    <row r="1504" spans="1:19" hidden="1" outlineLevel="1">
      <c r="A1504" s="1">
        <v>8</v>
      </c>
      <c r="F1504" s="22">
        <v>866795037167192</v>
      </c>
      <c r="M1504" s="2" t="s">
        <v>2090</v>
      </c>
      <c r="N1504" s="2" t="s">
        <v>852</v>
      </c>
      <c r="O1504" s="18">
        <v>42681</v>
      </c>
    </row>
    <row r="1505" spans="1:19" hidden="1" outlineLevel="1">
      <c r="A1505" s="1">
        <v>9</v>
      </c>
      <c r="F1505" s="22">
        <v>866795037175468</v>
      </c>
      <c r="M1505" s="2" t="s">
        <v>2091</v>
      </c>
      <c r="N1505" s="2" t="s">
        <v>852</v>
      </c>
      <c r="O1505" s="18">
        <v>44099</v>
      </c>
    </row>
    <row r="1506" spans="1:19" hidden="1" outlineLevel="1">
      <c r="A1506" s="1">
        <v>10</v>
      </c>
      <c r="F1506" s="22">
        <v>866795037123815</v>
      </c>
      <c r="M1506" s="2" t="s">
        <v>2092</v>
      </c>
      <c r="N1506" s="2" t="s">
        <v>947</v>
      </c>
      <c r="O1506" s="18">
        <v>43570</v>
      </c>
    </row>
    <row r="1507" spans="1:19" hidden="1" outlineLevel="1">
      <c r="A1507" s="1">
        <v>11</v>
      </c>
      <c r="F1507" s="22">
        <v>866795037176037</v>
      </c>
      <c r="M1507" s="2" t="s">
        <v>2093</v>
      </c>
      <c r="N1507" s="2" t="s">
        <v>960</v>
      </c>
      <c r="O1507" s="18">
        <v>44081</v>
      </c>
    </row>
    <row r="1508" spans="1:19" hidden="1" outlineLevel="1">
      <c r="A1508" s="1">
        <v>12</v>
      </c>
      <c r="F1508" s="22">
        <v>866795037007281</v>
      </c>
      <c r="M1508" s="2" t="s">
        <v>2094</v>
      </c>
      <c r="N1508" s="2" t="s">
        <v>2095</v>
      </c>
      <c r="O1508" s="18">
        <v>41253</v>
      </c>
    </row>
    <row r="1509" spans="1:19" hidden="1" outlineLevel="1">
      <c r="A1509" s="1">
        <v>13</v>
      </c>
      <c r="F1509" s="22">
        <v>866795037124839</v>
      </c>
      <c r="M1509" s="2" t="s">
        <v>1587</v>
      </c>
      <c r="N1509" s="2" t="s">
        <v>1588</v>
      </c>
      <c r="O1509" s="18">
        <v>42685</v>
      </c>
    </row>
    <row r="1510" spans="1:19" hidden="1" outlineLevel="1">
      <c r="A1510" s="1">
        <v>14</v>
      </c>
      <c r="F1510" s="22">
        <v>866795037166640</v>
      </c>
      <c r="M1510" s="2" t="s">
        <v>2096</v>
      </c>
      <c r="N1510" s="2" t="s">
        <v>960</v>
      </c>
      <c r="O1510" s="18">
        <v>44077</v>
      </c>
    </row>
    <row r="1511" spans="1:19" hidden="1" outlineLevel="1">
      <c r="A1511" s="1">
        <v>15</v>
      </c>
      <c r="F1511" s="22">
        <v>866795037110226</v>
      </c>
      <c r="M1511" s="2" t="s">
        <v>2097</v>
      </c>
      <c r="N1511" s="2" t="s">
        <v>947</v>
      </c>
      <c r="O1511" s="18">
        <v>44012</v>
      </c>
    </row>
    <row r="1512" spans="1:19" hidden="1" outlineLevel="1">
      <c r="A1512" s="1">
        <v>16</v>
      </c>
      <c r="F1512" s="22">
        <v>866795037134283</v>
      </c>
      <c r="M1512" s="2" t="s">
        <v>2098</v>
      </c>
      <c r="N1512" s="2" t="s">
        <v>2099</v>
      </c>
      <c r="O1512" s="18">
        <v>44078</v>
      </c>
    </row>
    <row r="1513" spans="1:19" hidden="1" outlineLevel="1">
      <c r="A1513" s="8"/>
      <c r="B1513" s="58"/>
      <c r="C1513" s="159"/>
      <c r="D1513" s="8"/>
      <c r="E1513" s="8"/>
      <c r="F1513" s="9"/>
      <c r="G1513" s="8"/>
      <c r="H1513" s="8"/>
      <c r="I1513" s="8"/>
      <c r="J1513" s="58"/>
      <c r="K1513" s="8"/>
      <c r="L1513" s="58"/>
      <c r="M1513" s="8"/>
      <c r="N1513" s="8"/>
      <c r="O1513" s="58"/>
      <c r="P1513" s="8"/>
      <c r="Q1513" s="8"/>
      <c r="R1513" s="8"/>
      <c r="S1513" s="8"/>
    </row>
    <row r="1514" spans="1:19" hidden="1" outlineLevel="1">
      <c r="A1514" s="1">
        <v>1</v>
      </c>
      <c r="B1514" s="11">
        <v>44081</v>
      </c>
      <c r="C1514" s="160">
        <v>3279</v>
      </c>
      <c r="E1514" s="1" t="s">
        <v>608</v>
      </c>
      <c r="F1514" s="22">
        <v>866795037045703</v>
      </c>
      <c r="M1514" s="2" t="s">
        <v>2100</v>
      </c>
      <c r="N1514" s="2" t="s">
        <v>910</v>
      </c>
      <c r="O1514" s="18">
        <v>44097</v>
      </c>
    </row>
    <row r="1515" spans="1:19" hidden="1" outlineLevel="1">
      <c r="A1515" s="1">
        <v>2</v>
      </c>
      <c r="F1515" s="22">
        <v>866795036969226</v>
      </c>
      <c r="M1515" s="2">
        <v>866795036969226</v>
      </c>
      <c r="N1515" s="2" t="s">
        <v>1813</v>
      </c>
      <c r="O1515" s="18">
        <v>44098</v>
      </c>
    </row>
    <row r="1516" spans="1:19" hidden="1" outlineLevel="1">
      <c r="A1516" s="1">
        <v>3</v>
      </c>
      <c r="F1516" s="22">
        <v>866795037049572</v>
      </c>
      <c r="M1516" s="2" t="s">
        <v>2101</v>
      </c>
      <c r="N1516" s="2" t="s">
        <v>1942</v>
      </c>
      <c r="O1516" s="18">
        <v>43942</v>
      </c>
    </row>
    <row r="1517" spans="1:19" hidden="1" outlineLevel="1">
      <c r="A1517" s="1">
        <v>4</v>
      </c>
      <c r="F1517" s="22">
        <v>866795036985511</v>
      </c>
      <c r="M1517" s="2" t="s">
        <v>2102</v>
      </c>
      <c r="N1517" s="2" t="s">
        <v>2103</v>
      </c>
      <c r="O1517" s="18">
        <v>44084</v>
      </c>
    </row>
    <row r="1518" spans="1:19" hidden="1" outlineLevel="1">
      <c r="A1518" s="1">
        <v>5</v>
      </c>
      <c r="F1518" s="22">
        <v>866795036922233</v>
      </c>
      <c r="M1518" s="2" t="s">
        <v>2104</v>
      </c>
      <c r="N1518" s="2" t="s">
        <v>2074</v>
      </c>
      <c r="O1518" s="18">
        <v>44092</v>
      </c>
    </row>
    <row r="1519" spans="1:19" hidden="1" outlineLevel="1">
      <c r="A1519" s="1">
        <v>6</v>
      </c>
      <c r="E1519" s="1" t="s">
        <v>149</v>
      </c>
      <c r="F1519" s="22">
        <v>866795037182092</v>
      </c>
      <c r="M1519" s="2" t="s">
        <v>2105</v>
      </c>
      <c r="N1519" s="2" t="s">
        <v>2106</v>
      </c>
      <c r="O1519" s="18">
        <v>43977</v>
      </c>
    </row>
    <row r="1520" spans="1:19" hidden="1" outlineLevel="1">
      <c r="A1520" s="1">
        <v>7</v>
      </c>
      <c r="F1520" s="22">
        <v>866795037184700</v>
      </c>
      <c r="M1520" s="2" t="s">
        <v>2107</v>
      </c>
      <c r="N1520" s="2" t="s">
        <v>1920</v>
      </c>
      <c r="O1520" s="18">
        <v>44110</v>
      </c>
    </row>
    <row r="1521" spans="1:19" hidden="1" outlineLevel="1">
      <c r="A1521" s="1">
        <v>8</v>
      </c>
      <c r="F1521" s="22">
        <v>866795037156161</v>
      </c>
      <c r="M1521" s="2" t="s">
        <v>2108</v>
      </c>
      <c r="N1521" s="2" t="s">
        <v>1195</v>
      </c>
      <c r="O1521" s="18">
        <v>44088</v>
      </c>
    </row>
    <row r="1522" spans="1:19" hidden="1" outlineLevel="1">
      <c r="A1522" s="1">
        <v>9</v>
      </c>
      <c r="F1522" s="22">
        <v>866795037108881</v>
      </c>
    </row>
    <row r="1523" spans="1:19" hidden="1" outlineLevel="1">
      <c r="A1523" s="1">
        <v>10</v>
      </c>
      <c r="F1523" s="22">
        <v>866795037169875</v>
      </c>
      <c r="M1523" s="2" t="s">
        <v>2109</v>
      </c>
      <c r="N1523" s="2" t="s">
        <v>1195</v>
      </c>
      <c r="O1523" s="18">
        <v>44088</v>
      </c>
    </row>
    <row r="1524" spans="1:19" hidden="1" outlineLevel="1">
      <c r="A1524" s="1">
        <v>11</v>
      </c>
      <c r="F1524" s="22">
        <v>866795037121413</v>
      </c>
      <c r="M1524" s="2" t="s">
        <v>2110</v>
      </c>
      <c r="N1524" s="2" t="s">
        <v>2111</v>
      </c>
      <c r="O1524" s="18">
        <v>44091</v>
      </c>
    </row>
    <row r="1525" spans="1:19" hidden="1" outlineLevel="1">
      <c r="A1525" s="1">
        <v>12</v>
      </c>
      <c r="F1525" s="22">
        <v>866795037171210</v>
      </c>
      <c r="M1525" s="2" t="s">
        <v>2112</v>
      </c>
      <c r="N1525" s="2" t="s">
        <v>874</v>
      </c>
      <c r="O1525" s="18">
        <v>42912</v>
      </c>
    </row>
    <row r="1526" spans="1:19" hidden="1" outlineLevel="1">
      <c r="A1526" s="1">
        <v>13</v>
      </c>
      <c r="F1526" s="22">
        <v>866795037054754</v>
      </c>
      <c r="M1526" s="2" t="s">
        <v>2113</v>
      </c>
      <c r="N1526" s="2" t="s">
        <v>1195</v>
      </c>
      <c r="O1526" s="18">
        <v>44088</v>
      </c>
    </row>
    <row r="1527" spans="1:19" hidden="1" outlineLevel="1">
      <c r="A1527" s="1">
        <v>14</v>
      </c>
      <c r="F1527" s="22">
        <v>866795037128194</v>
      </c>
      <c r="M1527" s="2" t="s">
        <v>2114</v>
      </c>
      <c r="N1527" s="2" t="s">
        <v>852</v>
      </c>
      <c r="O1527" s="18">
        <v>43161</v>
      </c>
    </row>
    <row r="1528" spans="1:19" hidden="1" outlineLevel="1">
      <c r="A1528" s="1">
        <v>15</v>
      </c>
      <c r="F1528" s="22">
        <v>866795037164595</v>
      </c>
      <c r="M1528" s="2" t="s">
        <v>2115</v>
      </c>
      <c r="N1528" s="2" t="s">
        <v>1920</v>
      </c>
      <c r="O1528" s="18">
        <v>44110</v>
      </c>
    </row>
    <row r="1529" spans="1:19" hidden="1" outlineLevel="1">
      <c r="A1529" s="8"/>
      <c r="B1529" s="58"/>
      <c r="C1529" s="159"/>
      <c r="D1529" s="8"/>
      <c r="E1529" s="8"/>
      <c r="F1529" s="9"/>
      <c r="G1529" s="8"/>
      <c r="H1529" s="8"/>
      <c r="I1529" s="8"/>
      <c r="J1529" s="58"/>
      <c r="K1529" s="8"/>
      <c r="L1529" s="58"/>
      <c r="M1529" s="8"/>
      <c r="N1529" s="8"/>
      <c r="O1529" s="58"/>
      <c r="P1529" s="8"/>
      <c r="Q1529" s="8"/>
      <c r="R1529" s="8"/>
      <c r="S1529" s="8"/>
    </row>
    <row r="1530" spans="1:19" hidden="1" outlineLevel="1">
      <c r="A1530" s="1">
        <v>1</v>
      </c>
      <c r="B1530" s="11">
        <v>44091</v>
      </c>
      <c r="C1530" s="160">
        <v>3502</v>
      </c>
      <c r="E1530" s="1" t="s">
        <v>608</v>
      </c>
      <c r="F1530" s="22">
        <v>866795037035795</v>
      </c>
      <c r="M1530" s="2" t="s">
        <v>2116</v>
      </c>
      <c r="N1530" s="2" t="s">
        <v>267</v>
      </c>
      <c r="O1530" s="18">
        <v>44095</v>
      </c>
    </row>
    <row r="1531" spans="1:19" hidden="1" outlineLevel="1">
      <c r="A1531" s="1">
        <v>2</v>
      </c>
      <c r="F1531" s="22">
        <v>866795037108154</v>
      </c>
      <c r="M1531" s="2">
        <v>866795037108154</v>
      </c>
      <c r="N1531" s="2" t="s">
        <v>1813</v>
      </c>
      <c r="O1531" s="18">
        <v>44092</v>
      </c>
    </row>
    <row r="1532" spans="1:19" hidden="1" outlineLevel="1">
      <c r="A1532" s="1">
        <v>3</v>
      </c>
      <c r="F1532" s="22">
        <v>866795037044623</v>
      </c>
      <c r="M1532" s="2">
        <v>866795037044623</v>
      </c>
      <c r="N1532" s="2" t="s">
        <v>1813</v>
      </c>
      <c r="O1532" s="18">
        <v>44092</v>
      </c>
    </row>
    <row r="1533" spans="1:19" hidden="1" outlineLevel="1">
      <c r="A1533" s="1">
        <v>4</v>
      </c>
      <c r="F1533" s="22">
        <v>866795037137633</v>
      </c>
      <c r="M1533" s="2">
        <v>866795037137633</v>
      </c>
      <c r="N1533" s="2" t="s">
        <v>1813</v>
      </c>
      <c r="O1533" s="18">
        <v>44092</v>
      </c>
    </row>
    <row r="1534" spans="1:19" hidden="1" outlineLevel="1">
      <c r="A1534" s="1">
        <v>5</v>
      </c>
      <c r="F1534" s="22">
        <v>866795036945663</v>
      </c>
      <c r="M1534" s="2">
        <v>866795036945663</v>
      </c>
      <c r="N1534" s="2" t="s">
        <v>1813</v>
      </c>
      <c r="O1534" s="18">
        <v>44092</v>
      </c>
    </row>
    <row r="1535" spans="1:19" hidden="1" outlineLevel="1">
      <c r="A1535" s="1">
        <v>6</v>
      </c>
      <c r="F1535" s="22">
        <v>866795037044557</v>
      </c>
      <c r="M1535" s="2">
        <v>866795037044557</v>
      </c>
      <c r="N1535" s="2" t="s">
        <v>1813</v>
      </c>
      <c r="O1535" s="18">
        <v>44092</v>
      </c>
    </row>
    <row r="1536" spans="1:19" hidden="1" outlineLevel="1">
      <c r="A1536" s="1">
        <v>7</v>
      </c>
      <c r="F1536" s="22">
        <v>866795037135546</v>
      </c>
      <c r="M1536" s="2">
        <v>866795037135546</v>
      </c>
      <c r="N1536" s="2" t="s">
        <v>1813</v>
      </c>
      <c r="O1536" s="18">
        <v>44092</v>
      </c>
    </row>
    <row r="1537" spans="1:19" hidden="1" outlineLevel="1">
      <c r="A1537" s="1">
        <v>8</v>
      </c>
      <c r="F1537" s="22">
        <v>866795036982450</v>
      </c>
      <c r="M1537" s="2">
        <v>866795036982450</v>
      </c>
      <c r="N1537" s="2" t="s">
        <v>1813</v>
      </c>
      <c r="O1537" s="18">
        <v>44092</v>
      </c>
    </row>
    <row r="1538" spans="1:19" hidden="1" outlineLevel="1">
      <c r="A1538" s="1">
        <v>9</v>
      </c>
      <c r="F1538" s="22">
        <v>866795037137534</v>
      </c>
      <c r="M1538" s="2">
        <v>866795037137534</v>
      </c>
      <c r="N1538" s="2" t="s">
        <v>1813</v>
      </c>
      <c r="O1538" s="18">
        <v>44092</v>
      </c>
    </row>
    <row r="1539" spans="1:19" hidden="1" outlineLevel="1">
      <c r="A1539" s="1">
        <v>10</v>
      </c>
      <c r="F1539" s="22">
        <v>866795037161559</v>
      </c>
      <c r="M1539" s="2">
        <v>866795037161559</v>
      </c>
      <c r="N1539" s="2" t="s">
        <v>1813</v>
      </c>
      <c r="O1539" s="18">
        <v>44092</v>
      </c>
    </row>
    <row r="1540" spans="1:19" hidden="1" outlineLevel="1">
      <c r="A1540" s="1">
        <v>11</v>
      </c>
      <c r="E1540" s="1" t="s">
        <v>149</v>
      </c>
      <c r="F1540" s="22">
        <v>862531040096035</v>
      </c>
      <c r="M1540" s="2" t="s">
        <v>2117</v>
      </c>
      <c r="N1540" s="2" t="s">
        <v>293</v>
      </c>
      <c r="O1540" s="18">
        <v>44104</v>
      </c>
    </row>
    <row r="1541" spans="1:19" hidden="1" outlineLevel="1">
      <c r="A1541" s="1">
        <v>12</v>
      </c>
      <c r="F1541" s="22">
        <v>862531040029689</v>
      </c>
      <c r="M1541" s="2" t="s">
        <v>2118</v>
      </c>
      <c r="N1541" s="2" t="s">
        <v>2119</v>
      </c>
      <c r="O1541" s="18">
        <v>44106</v>
      </c>
    </row>
    <row r="1542" spans="1:19" hidden="1" outlineLevel="1">
      <c r="A1542" s="1">
        <v>13</v>
      </c>
      <c r="F1542" s="22">
        <v>866795037100268</v>
      </c>
      <c r="M1542" s="2" t="s">
        <v>2120</v>
      </c>
      <c r="N1542" s="2" t="s">
        <v>1534</v>
      </c>
      <c r="O1542" s="18">
        <v>44110</v>
      </c>
    </row>
    <row r="1543" spans="1:19" hidden="1" outlineLevel="1">
      <c r="A1543" s="1">
        <v>14</v>
      </c>
      <c r="F1543" s="22">
        <v>862531040030695</v>
      </c>
      <c r="M1543" s="2" t="s">
        <v>2121</v>
      </c>
      <c r="N1543" s="2" t="s">
        <v>1534</v>
      </c>
      <c r="O1543" s="18">
        <v>44110</v>
      </c>
    </row>
    <row r="1544" spans="1:19" hidden="1" outlineLevel="1">
      <c r="A1544" s="1">
        <v>15</v>
      </c>
      <c r="F1544" s="22">
        <v>862531040029473</v>
      </c>
      <c r="M1544" s="2" t="s">
        <v>2122</v>
      </c>
      <c r="N1544" s="2" t="s">
        <v>2123</v>
      </c>
      <c r="O1544" s="18">
        <v>44098</v>
      </c>
    </row>
    <row r="1545" spans="1:19" hidden="1" outlineLevel="1">
      <c r="A1545" s="1">
        <v>16</v>
      </c>
      <c r="F1545" s="22">
        <v>862531040055882</v>
      </c>
      <c r="M1545" s="2" t="s">
        <v>1622</v>
      </c>
      <c r="N1545" s="2" t="s">
        <v>1623</v>
      </c>
      <c r="O1545" s="18">
        <v>40857</v>
      </c>
    </row>
    <row r="1546" spans="1:19" hidden="1" outlineLevel="1">
      <c r="A1546" s="1">
        <v>17</v>
      </c>
      <c r="F1546" s="22">
        <v>862531040057854</v>
      </c>
      <c r="M1546" s="2" t="s">
        <v>2124</v>
      </c>
      <c r="N1546" s="2" t="s">
        <v>1450</v>
      </c>
      <c r="O1546" s="18">
        <v>44103</v>
      </c>
    </row>
    <row r="1547" spans="1:19" hidden="1" outlineLevel="1">
      <c r="A1547" s="1">
        <v>18</v>
      </c>
      <c r="F1547" s="22">
        <v>866795037121892</v>
      </c>
      <c r="M1547" s="2" t="s">
        <v>2125</v>
      </c>
      <c r="N1547" s="2" t="s">
        <v>1450</v>
      </c>
      <c r="O1547" s="18">
        <v>44103</v>
      </c>
    </row>
    <row r="1548" spans="1:19" hidden="1" outlineLevel="1">
      <c r="A1548" s="1">
        <v>19</v>
      </c>
      <c r="F1548" s="22">
        <v>862531040100068</v>
      </c>
      <c r="M1548" s="2" t="s">
        <v>2126</v>
      </c>
      <c r="N1548" s="2" t="s">
        <v>2127</v>
      </c>
      <c r="O1548" s="18">
        <v>44138</v>
      </c>
    </row>
    <row r="1549" spans="1:19" hidden="1" outlineLevel="1">
      <c r="A1549" s="1">
        <v>20</v>
      </c>
      <c r="F1549" s="22">
        <v>866795037073150</v>
      </c>
      <c r="M1549" s="2" t="s">
        <v>2128</v>
      </c>
      <c r="N1549" s="2" t="s">
        <v>874</v>
      </c>
      <c r="O1549" s="18">
        <v>41600</v>
      </c>
    </row>
    <row r="1550" spans="1:19" hidden="1" outlineLevel="1">
      <c r="A1550" s="8"/>
      <c r="B1550" s="58"/>
      <c r="C1550" s="159"/>
      <c r="D1550" s="8"/>
      <c r="E1550" s="8"/>
      <c r="F1550" s="9"/>
      <c r="G1550" s="8"/>
      <c r="H1550" s="8"/>
      <c r="I1550" s="8"/>
      <c r="J1550" s="58"/>
      <c r="K1550" s="8"/>
      <c r="L1550" s="58"/>
      <c r="M1550" s="8"/>
      <c r="N1550" s="8"/>
      <c r="O1550" s="58"/>
      <c r="P1550" s="8"/>
      <c r="Q1550" s="8"/>
      <c r="R1550" s="8"/>
      <c r="S1550" s="8"/>
    </row>
    <row r="1551" spans="1:19" hidden="1" outlineLevel="1">
      <c r="A1551" s="1">
        <v>1</v>
      </c>
      <c r="B1551" s="11">
        <v>44097</v>
      </c>
      <c r="C1551" s="160">
        <v>3580</v>
      </c>
      <c r="E1551" s="1" t="s">
        <v>608</v>
      </c>
      <c r="F1551" s="22">
        <v>866795037137534</v>
      </c>
      <c r="M1551" s="2">
        <v>866795037137534</v>
      </c>
      <c r="N1551" s="2" t="s">
        <v>1813</v>
      </c>
      <c r="O1551" s="18">
        <v>44092</v>
      </c>
    </row>
    <row r="1552" spans="1:19" hidden="1" outlineLevel="1">
      <c r="A1552" s="1">
        <v>2</v>
      </c>
      <c r="F1552" s="22">
        <v>866795037137633</v>
      </c>
      <c r="M1552" s="2">
        <v>866795037137633</v>
      </c>
      <c r="N1552" s="2" t="s">
        <v>1813</v>
      </c>
      <c r="O1552" s="18">
        <v>44092</v>
      </c>
    </row>
    <row r="1553" spans="1:19" hidden="1" outlineLevel="1">
      <c r="A1553" s="1">
        <v>3</v>
      </c>
      <c r="F1553" s="22">
        <v>866795037108154</v>
      </c>
      <c r="M1553" s="2">
        <v>866795037108154</v>
      </c>
      <c r="N1553" s="2" t="s">
        <v>1813</v>
      </c>
      <c r="O1553" s="18">
        <v>44092</v>
      </c>
    </row>
    <row r="1554" spans="1:19" hidden="1" outlineLevel="1">
      <c r="A1554" s="1">
        <v>4</v>
      </c>
      <c r="F1554" s="22">
        <v>866795037135546</v>
      </c>
      <c r="M1554" s="2">
        <v>866795037135546</v>
      </c>
      <c r="N1554" s="2" t="s">
        <v>1813</v>
      </c>
      <c r="O1554" s="18">
        <v>44092</v>
      </c>
    </row>
    <row r="1555" spans="1:19" hidden="1" outlineLevel="1">
      <c r="A1555" s="1">
        <v>5</v>
      </c>
      <c r="F1555" s="22">
        <v>866795037044623</v>
      </c>
      <c r="M1555" s="2">
        <v>866795037044623</v>
      </c>
      <c r="N1555" s="2" t="s">
        <v>1813</v>
      </c>
      <c r="O1555" s="18">
        <v>44092</v>
      </c>
    </row>
    <row r="1556" spans="1:19" hidden="1" outlineLevel="1">
      <c r="A1556" s="1">
        <v>6</v>
      </c>
      <c r="F1556" s="22">
        <v>866795037161559</v>
      </c>
      <c r="M1556" s="2">
        <v>866795037161559</v>
      </c>
      <c r="N1556" s="2" t="s">
        <v>1813</v>
      </c>
      <c r="O1556" s="18">
        <v>44092</v>
      </c>
    </row>
    <row r="1557" spans="1:19" hidden="1" outlineLevel="1">
      <c r="A1557" s="1">
        <v>7</v>
      </c>
      <c r="F1557" s="22">
        <v>866795036982450</v>
      </c>
      <c r="M1557" s="2">
        <v>866795036982450</v>
      </c>
      <c r="N1557" s="2" t="s">
        <v>1813</v>
      </c>
      <c r="O1557" s="18">
        <v>44092</v>
      </c>
    </row>
    <row r="1558" spans="1:19" hidden="1" outlineLevel="1">
      <c r="A1558" s="1">
        <v>8</v>
      </c>
      <c r="F1558" s="22">
        <v>866795037044557</v>
      </c>
      <c r="M1558" s="2">
        <v>866795037044557</v>
      </c>
      <c r="N1558" s="2" t="s">
        <v>1813</v>
      </c>
      <c r="O1558" s="18">
        <v>44092</v>
      </c>
    </row>
    <row r="1559" spans="1:19" hidden="1" outlineLevel="1">
      <c r="A1559" s="1">
        <v>9</v>
      </c>
      <c r="F1559" s="22">
        <v>866795037035662</v>
      </c>
      <c r="M1559" s="2" t="s">
        <v>2084</v>
      </c>
      <c r="N1559" s="2" t="s">
        <v>847</v>
      </c>
      <c r="O1559" s="18">
        <v>44099</v>
      </c>
    </row>
    <row r="1560" spans="1:19" hidden="1" outlineLevel="1">
      <c r="A1560" s="1">
        <v>10</v>
      </c>
      <c r="F1560" s="22">
        <v>866795037045703</v>
      </c>
      <c r="M1560" s="2" t="s">
        <v>2100</v>
      </c>
      <c r="N1560" s="2" t="s">
        <v>910</v>
      </c>
      <c r="O1560" s="18">
        <v>44097</v>
      </c>
    </row>
    <row r="1561" spans="1:19" hidden="1" outlineLevel="1">
      <c r="A1561" s="8"/>
      <c r="B1561" s="58"/>
      <c r="C1561" s="159"/>
      <c r="D1561" s="8"/>
      <c r="E1561" s="8"/>
      <c r="F1561" s="9"/>
      <c r="G1561" s="8"/>
      <c r="H1561" s="8"/>
      <c r="I1561" s="8"/>
      <c r="J1561" s="58"/>
      <c r="K1561" s="8"/>
      <c r="L1561" s="58"/>
      <c r="M1561" s="8"/>
      <c r="N1561" s="8"/>
      <c r="O1561" s="58"/>
      <c r="P1561" s="8"/>
      <c r="Q1561" s="8"/>
      <c r="R1561" s="8"/>
      <c r="S1561" s="8"/>
    </row>
    <row r="1562" spans="1:19" hidden="1" outlineLevel="1">
      <c r="A1562" s="1">
        <v>1</v>
      </c>
      <c r="B1562" s="11">
        <v>44102</v>
      </c>
      <c r="C1562" s="160">
        <v>3620</v>
      </c>
      <c r="E1562" s="1" t="s">
        <v>608</v>
      </c>
      <c r="F1562" s="22">
        <v>866795037107487</v>
      </c>
      <c r="M1562" s="2">
        <v>866795037107487</v>
      </c>
      <c r="N1562" s="2" t="s">
        <v>2129</v>
      </c>
      <c r="O1562" s="18">
        <v>44106</v>
      </c>
    </row>
    <row r="1563" spans="1:19" hidden="1" outlineLevel="1">
      <c r="A1563" s="1">
        <v>2</v>
      </c>
      <c r="F1563" s="22">
        <v>866795036923694</v>
      </c>
      <c r="M1563" s="2">
        <v>866795036923694</v>
      </c>
      <c r="N1563" s="2" t="s">
        <v>2129</v>
      </c>
      <c r="O1563" s="18">
        <v>44106</v>
      </c>
    </row>
    <row r="1564" spans="1:19" hidden="1" outlineLevel="1">
      <c r="A1564" s="1">
        <v>3</v>
      </c>
      <c r="F1564" s="22">
        <v>866795037046248</v>
      </c>
      <c r="M1564" s="2">
        <v>866795037046248</v>
      </c>
      <c r="N1564" s="2" t="s">
        <v>2129</v>
      </c>
      <c r="O1564" s="18">
        <v>44106</v>
      </c>
    </row>
    <row r="1565" spans="1:19" hidden="1" outlineLevel="1">
      <c r="A1565" s="1">
        <v>4</v>
      </c>
      <c r="F1565" s="22">
        <v>866795037161641</v>
      </c>
      <c r="M1565" s="2">
        <v>866795037161641</v>
      </c>
      <c r="N1565" s="2" t="s">
        <v>2129</v>
      </c>
      <c r="O1565" s="18">
        <v>44106</v>
      </c>
    </row>
    <row r="1566" spans="1:19" hidden="1" outlineLevel="1">
      <c r="A1566" s="1">
        <v>5</v>
      </c>
      <c r="F1566" s="22">
        <v>866795037010558</v>
      </c>
      <c r="M1566" s="2">
        <v>866795037010558</v>
      </c>
      <c r="N1566" s="2" t="s">
        <v>2129</v>
      </c>
      <c r="O1566" s="18">
        <v>44106</v>
      </c>
    </row>
    <row r="1567" spans="1:19" hidden="1" outlineLevel="1">
      <c r="A1567" s="8"/>
      <c r="B1567" s="58"/>
      <c r="C1567" s="159"/>
      <c r="D1567" s="8"/>
      <c r="E1567" s="8"/>
      <c r="F1567" s="9"/>
      <c r="G1567" s="8"/>
      <c r="H1567" s="8"/>
      <c r="I1567" s="8"/>
      <c r="J1567" s="58"/>
      <c r="K1567" s="8"/>
      <c r="L1567" s="58"/>
      <c r="M1567" s="8"/>
      <c r="N1567" s="8"/>
      <c r="O1567" s="58"/>
      <c r="P1567" s="8"/>
      <c r="Q1567" s="8"/>
      <c r="R1567" s="8"/>
      <c r="S1567" s="8"/>
    </row>
    <row r="1568" spans="1:19" hidden="1" outlineLevel="1">
      <c r="A1568" s="1">
        <v>1</v>
      </c>
      <c r="B1568" s="11">
        <v>44103</v>
      </c>
      <c r="C1568" s="160">
        <v>3642</v>
      </c>
      <c r="E1568" s="1" t="s">
        <v>608</v>
      </c>
      <c r="F1568" s="22">
        <v>866795037043039</v>
      </c>
      <c r="M1568" s="2" t="s">
        <v>2130</v>
      </c>
      <c r="N1568" s="2" t="s">
        <v>1719</v>
      </c>
      <c r="O1568" s="18">
        <v>44109</v>
      </c>
    </row>
    <row r="1569" spans="1:19" hidden="1" outlineLevel="1">
      <c r="A1569" s="1">
        <v>2</v>
      </c>
      <c r="F1569" s="22">
        <v>866795036918652</v>
      </c>
      <c r="M1569" s="2" t="s">
        <v>2131</v>
      </c>
      <c r="N1569" s="2" t="s">
        <v>2132</v>
      </c>
      <c r="O1569" s="18">
        <v>44106</v>
      </c>
    </row>
    <row r="1570" spans="1:19" hidden="1" outlineLevel="1">
      <c r="A1570" s="1">
        <v>3</v>
      </c>
      <c r="F1570" s="22">
        <v>866795036939104</v>
      </c>
      <c r="M1570" s="2" t="s">
        <v>2133</v>
      </c>
      <c r="N1570" s="2" t="s">
        <v>1147</v>
      </c>
      <c r="O1570" s="18">
        <v>44119</v>
      </c>
    </row>
    <row r="1571" spans="1:19" hidden="1" outlineLevel="1">
      <c r="A1571" s="1">
        <v>4</v>
      </c>
      <c r="F1571" s="22">
        <v>866795037131222</v>
      </c>
      <c r="M1571" s="2" t="s">
        <v>2134</v>
      </c>
      <c r="N1571" s="2" t="s">
        <v>2132</v>
      </c>
      <c r="O1571" s="18">
        <v>44106</v>
      </c>
    </row>
    <row r="1572" spans="1:19" hidden="1" outlineLevel="1">
      <c r="A1572" s="1">
        <v>5</v>
      </c>
      <c r="F1572" s="22">
        <v>866795037119078</v>
      </c>
      <c r="M1572" s="2" t="s">
        <v>2135</v>
      </c>
      <c r="N1572" s="2" t="s">
        <v>2136</v>
      </c>
      <c r="O1572" s="18">
        <v>44119</v>
      </c>
    </row>
    <row r="1573" spans="1:19" hidden="1" outlineLevel="1">
      <c r="A1573" s="8"/>
      <c r="B1573" s="58"/>
      <c r="C1573" s="159"/>
      <c r="D1573" s="8"/>
      <c r="E1573" s="8"/>
      <c r="F1573" s="9"/>
      <c r="G1573" s="8"/>
      <c r="H1573" s="8"/>
      <c r="I1573" s="8"/>
      <c r="J1573" s="58"/>
      <c r="K1573" s="8"/>
      <c r="L1573" s="58"/>
      <c r="M1573" s="8"/>
      <c r="N1573" s="8"/>
      <c r="O1573" s="58"/>
      <c r="P1573" s="8"/>
      <c r="Q1573" s="8"/>
      <c r="R1573" s="8"/>
      <c r="S1573" s="8"/>
    </row>
    <row r="1574" spans="1:19" hidden="1" outlineLevel="1">
      <c r="A1574" s="1">
        <v>1</v>
      </c>
      <c r="B1574" s="11">
        <v>44111</v>
      </c>
      <c r="C1574" s="160">
        <v>3714</v>
      </c>
      <c r="E1574" s="1" t="s">
        <v>149</v>
      </c>
      <c r="F1574" s="22">
        <v>866795037128665</v>
      </c>
      <c r="M1574" s="2" t="s">
        <v>2137</v>
      </c>
      <c r="N1574" s="2" t="s">
        <v>1534</v>
      </c>
      <c r="O1574" s="18">
        <v>44111</v>
      </c>
    </row>
    <row r="1575" spans="1:19" hidden="1" outlineLevel="1">
      <c r="A1575" s="1">
        <v>2</v>
      </c>
      <c r="F1575" s="22">
        <v>866795037123609</v>
      </c>
      <c r="M1575" s="2" t="s">
        <v>2138</v>
      </c>
      <c r="N1575" s="2" t="s">
        <v>1534</v>
      </c>
      <c r="O1575" s="18">
        <v>44111</v>
      </c>
    </row>
    <row r="1576" spans="1:19" hidden="1" outlineLevel="1">
      <c r="A1576" s="1">
        <v>3</v>
      </c>
      <c r="F1576" s="22">
        <v>866795037108972</v>
      </c>
      <c r="M1576" s="2" t="s">
        <v>2139</v>
      </c>
      <c r="N1576" s="2" t="s">
        <v>1920</v>
      </c>
      <c r="O1576" s="18">
        <v>44113</v>
      </c>
    </row>
    <row r="1577" spans="1:19" hidden="1" outlineLevel="1">
      <c r="A1577" s="1">
        <v>4</v>
      </c>
      <c r="F1577" s="22">
        <v>866795037113469</v>
      </c>
      <c r="M1577" s="2" t="s">
        <v>2140</v>
      </c>
      <c r="N1577" s="2" t="s">
        <v>2063</v>
      </c>
      <c r="O1577" s="18">
        <v>44123</v>
      </c>
    </row>
    <row r="1578" spans="1:19" hidden="1" outlineLevel="1">
      <c r="A1578" s="1">
        <v>5</v>
      </c>
      <c r="F1578" s="22">
        <v>866795037156138</v>
      </c>
      <c r="M1578" s="2" t="s">
        <v>2141</v>
      </c>
      <c r="N1578" s="2" t="s">
        <v>968</v>
      </c>
      <c r="O1578" s="18">
        <v>44049</v>
      </c>
    </row>
    <row r="1579" spans="1:19" hidden="1" outlineLevel="1">
      <c r="A1579" s="1">
        <v>6</v>
      </c>
      <c r="F1579" s="22">
        <v>866795036967741</v>
      </c>
      <c r="M1579" s="2" t="s">
        <v>2142</v>
      </c>
      <c r="N1579" s="2" t="s">
        <v>2143</v>
      </c>
      <c r="O1579" s="18">
        <v>44125</v>
      </c>
    </row>
    <row r="1580" spans="1:19" hidden="1" outlineLevel="1">
      <c r="A1580" s="1">
        <v>7</v>
      </c>
      <c r="F1580" s="22">
        <v>866795037003314</v>
      </c>
      <c r="M1580" s="2" t="s">
        <v>2144</v>
      </c>
      <c r="N1580" s="2" t="s">
        <v>919</v>
      </c>
      <c r="O1580" s="18">
        <v>43664</v>
      </c>
    </row>
    <row r="1581" spans="1:19" hidden="1" outlineLevel="1">
      <c r="A1581" s="1">
        <v>8</v>
      </c>
      <c r="F1581" s="22">
        <v>866795037149083</v>
      </c>
      <c r="M1581" s="2" t="s">
        <v>2145</v>
      </c>
      <c r="N1581" s="2" t="s">
        <v>2063</v>
      </c>
      <c r="O1581" s="18">
        <v>44123</v>
      </c>
    </row>
    <row r="1582" spans="1:19" hidden="1" outlineLevel="1">
      <c r="A1582" s="1">
        <v>9</v>
      </c>
      <c r="F1582" s="22">
        <v>866795037093760</v>
      </c>
      <c r="M1582" s="2" t="s">
        <v>2146</v>
      </c>
      <c r="N1582" s="2" t="s">
        <v>2147</v>
      </c>
      <c r="O1582" s="18">
        <v>44116</v>
      </c>
    </row>
    <row r="1583" spans="1:19" hidden="1" outlineLevel="1">
      <c r="A1583" s="1">
        <v>10</v>
      </c>
      <c r="F1583" s="22">
        <v>866795037093141</v>
      </c>
      <c r="M1583" s="2" t="s">
        <v>2148</v>
      </c>
      <c r="N1583" s="2" t="s">
        <v>931</v>
      </c>
      <c r="O1583" s="18">
        <v>44114</v>
      </c>
    </row>
    <row r="1584" spans="1:19" hidden="1" outlineLevel="1">
      <c r="A1584" s="8"/>
      <c r="B1584" s="58"/>
      <c r="C1584" s="159"/>
      <c r="D1584" s="8"/>
      <c r="E1584" s="8"/>
      <c r="F1584" s="9"/>
      <c r="G1584" s="8"/>
      <c r="H1584" s="8"/>
      <c r="I1584" s="8"/>
      <c r="J1584" s="58"/>
      <c r="K1584" s="8"/>
      <c r="L1584" s="58"/>
      <c r="M1584" s="8"/>
      <c r="N1584" s="8"/>
      <c r="O1584" s="58"/>
      <c r="P1584" s="8"/>
      <c r="Q1584" s="8"/>
      <c r="R1584" s="8"/>
      <c r="S1584" s="8"/>
    </row>
    <row r="1585" spans="1:19" hidden="1" outlineLevel="1">
      <c r="A1585" s="1">
        <v>1</v>
      </c>
      <c r="B1585" s="11">
        <v>44112</v>
      </c>
      <c r="C1585" s="160">
        <v>3726</v>
      </c>
      <c r="E1585" s="1" t="s">
        <v>149</v>
      </c>
      <c r="F1585" s="22">
        <v>866795036998332</v>
      </c>
      <c r="M1585" s="2" t="s">
        <v>2149</v>
      </c>
      <c r="N1585" s="2" t="s">
        <v>923</v>
      </c>
      <c r="O1585" s="18">
        <v>44145</v>
      </c>
    </row>
    <row r="1586" spans="1:19" hidden="1" outlineLevel="1">
      <c r="A1586" s="1">
        <v>2</v>
      </c>
      <c r="F1586" s="22">
        <v>866795038240188</v>
      </c>
      <c r="M1586" s="2" t="s">
        <v>2150</v>
      </c>
      <c r="N1586" s="2" t="s">
        <v>852</v>
      </c>
      <c r="O1586" s="18">
        <v>44154</v>
      </c>
    </row>
    <row r="1587" spans="1:19" hidden="1" outlineLevel="1">
      <c r="A1587" s="1">
        <v>3</v>
      </c>
      <c r="F1587" s="22">
        <v>866795038350854</v>
      </c>
      <c r="M1587" s="2" t="s">
        <v>2151</v>
      </c>
      <c r="N1587" s="2" t="s">
        <v>2152</v>
      </c>
      <c r="O1587" s="18">
        <v>44099</v>
      </c>
    </row>
    <row r="1588" spans="1:19" hidden="1" outlineLevel="1">
      <c r="A1588" s="1">
        <v>4</v>
      </c>
      <c r="F1588" s="22">
        <v>866795038359251</v>
      </c>
      <c r="M1588" s="2" t="s">
        <v>2153</v>
      </c>
      <c r="N1588" s="2" t="s">
        <v>1929</v>
      </c>
      <c r="O1588" s="18">
        <v>44168</v>
      </c>
    </row>
    <row r="1589" spans="1:19" hidden="1" outlineLevel="1">
      <c r="A1589" s="1">
        <v>5</v>
      </c>
      <c r="F1589" s="22">
        <v>866795038121925</v>
      </c>
      <c r="M1589" s="2" t="s">
        <v>2154</v>
      </c>
      <c r="N1589" s="2" t="s">
        <v>1341</v>
      </c>
      <c r="O1589" s="18">
        <v>43878</v>
      </c>
    </row>
    <row r="1590" spans="1:19" hidden="1" outlineLevel="1">
      <c r="A1590" s="1">
        <v>6</v>
      </c>
      <c r="F1590" s="22">
        <v>866795038368401</v>
      </c>
      <c r="M1590" s="2" t="s">
        <v>2155</v>
      </c>
      <c r="N1590" s="2" t="s">
        <v>1149</v>
      </c>
      <c r="O1590" s="18">
        <v>44126</v>
      </c>
    </row>
    <row r="1591" spans="1:19" hidden="1" outlineLevel="1">
      <c r="A1591" s="1">
        <v>7</v>
      </c>
      <c r="F1591" s="22">
        <v>866795037156971</v>
      </c>
      <c r="M1591" s="2" t="s">
        <v>2156</v>
      </c>
      <c r="N1591" s="2" t="s">
        <v>852</v>
      </c>
      <c r="O1591" s="18">
        <v>44154</v>
      </c>
    </row>
    <row r="1592" spans="1:19" hidden="1" outlineLevel="1">
      <c r="A1592" s="1">
        <v>8</v>
      </c>
      <c r="F1592" s="22">
        <v>866795038128045</v>
      </c>
      <c r="M1592" s="2" t="s">
        <v>2157</v>
      </c>
      <c r="N1592" s="2" t="s">
        <v>2127</v>
      </c>
      <c r="O1592" s="18">
        <v>44159</v>
      </c>
    </row>
    <row r="1593" spans="1:19" hidden="1" outlineLevel="1">
      <c r="A1593" s="1">
        <v>9</v>
      </c>
      <c r="F1593" s="22">
        <v>866795038127583</v>
      </c>
      <c r="M1593" s="2" t="s">
        <v>2158</v>
      </c>
      <c r="N1593" s="2" t="s">
        <v>852</v>
      </c>
      <c r="O1593" s="18">
        <v>44165</v>
      </c>
    </row>
    <row r="1594" spans="1:19" hidden="1" outlineLevel="1">
      <c r="A1594" s="1">
        <v>10</v>
      </c>
      <c r="F1594" s="22">
        <v>866795038205496</v>
      </c>
      <c r="M1594" s="2" t="s">
        <v>2159</v>
      </c>
      <c r="N1594" s="2" t="s">
        <v>1210</v>
      </c>
      <c r="O1594" s="18">
        <v>44127</v>
      </c>
    </row>
    <row r="1595" spans="1:19" hidden="1" outlineLevel="1">
      <c r="A1595" s="1">
        <v>11</v>
      </c>
      <c r="E1595" s="1" t="s">
        <v>608</v>
      </c>
      <c r="F1595" s="22">
        <v>866795039945025</v>
      </c>
      <c r="M1595" s="2" t="s">
        <v>2160</v>
      </c>
      <c r="N1595" s="2" t="s">
        <v>2161</v>
      </c>
      <c r="O1595" s="18">
        <v>41933</v>
      </c>
    </row>
    <row r="1596" spans="1:19" hidden="1" outlineLevel="1">
      <c r="A1596" s="1">
        <v>12</v>
      </c>
      <c r="F1596" s="22">
        <v>866795039948599</v>
      </c>
      <c r="M1596" s="2" t="s">
        <v>2162</v>
      </c>
      <c r="N1596" s="2" t="s">
        <v>2161</v>
      </c>
      <c r="O1596" s="18">
        <v>41921</v>
      </c>
    </row>
    <row r="1597" spans="1:19" hidden="1" outlineLevel="1">
      <c r="A1597" s="1">
        <v>13</v>
      </c>
      <c r="F1597" s="22">
        <v>866795039859036</v>
      </c>
      <c r="M1597" s="2" t="s">
        <v>2163</v>
      </c>
      <c r="N1597" s="2" t="s">
        <v>2161</v>
      </c>
      <c r="O1597" s="18">
        <v>44102</v>
      </c>
    </row>
    <row r="1598" spans="1:19" hidden="1" outlineLevel="1">
      <c r="A1598" s="1">
        <v>14</v>
      </c>
      <c r="F1598" s="22">
        <v>866795039864333</v>
      </c>
      <c r="M1598" s="2" t="s">
        <v>2164</v>
      </c>
      <c r="N1598" s="2" t="s">
        <v>1210</v>
      </c>
      <c r="O1598" s="18">
        <v>44127</v>
      </c>
    </row>
    <row r="1599" spans="1:19" hidden="1" outlineLevel="1">
      <c r="A1599" s="1">
        <v>15</v>
      </c>
      <c r="F1599" s="22">
        <v>866795039833775</v>
      </c>
      <c r="M1599" s="2" t="s">
        <v>2165</v>
      </c>
      <c r="N1599" s="2" t="s">
        <v>2166</v>
      </c>
      <c r="O1599" s="18">
        <v>44127</v>
      </c>
    </row>
    <row r="1600" spans="1:19" hidden="1" outlineLevel="1">
      <c r="A1600" s="8"/>
      <c r="B1600" s="58"/>
      <c r="C1600" s="159"/>
      <c r="D1600" s="8"/>
      <c r="E1600" s="8"/>
      <c r="F1600" s="9"/>
      <c r="G1600" s="8"/>
      <c r="H1600" s="8"/>
      <c r="I1600" s="8"/>
      <c r="J1600" s="58"/>
      <c r="K1600" s="8"/>
      <c r="L1600" s="58"/>
      <c r="M1600" s="8"/>
      <c r="N1600" s="8"/>
      <c r="O1600" s="58"/>
      <c r="P1600" s="8"/>
      <c r="Q1600" s="8"/>
      <c r="R1600" s="8"/>
      <c r="S1600" s="8"/>
    </row>
    <row r="1601" spans="1:19" hidden="1" outlineLevel="1">
      <c r="A1601" s="1">
        <v>1</v>
      </c>
      <c r="B1601" s="11">
        <v>44116</v>
      </c>
      <c r="C1601" s="160">
        <v>3767</v>
      </c>
      <c r="E1601" s="1" t="s">
        <v>270</v>
      </c>
      <c r="F1601" s="22">
        <v>862531040793854</v>
      </c>
      <c r="M1601" s="2" t="s">
        <v>2167</v>
      </c>
      <c r="N1601" s="2" t="s">
        <v>1706</v>
      </c>
      <c r="O1601" s="18">
        <v>44134</v>
      </c>
    </row>
    <row r="1602" spans="1:19" hidden="1" outlineLevel="1">
      <c r="A1602" s="1">
        <v>2</v>
      </c>
      <c r="F1602" s="22">
        <v>862531040832900</v>
      </c>
      <c r="M1602" s="2" t="s">
        <v>2168</v>
      </c>
      <c r="N1602" s="2" t="s">
        <v>1706</v>
      </c>
      <c r="O1602" s="18">
        <v>44134</v>
      </c>
    </row>
    <row r="1603" spans="1:19" hidden="1" outlineLevel="1">
      <c r="A1603" s="1">
        <v>3</v>
      </c>
      <c r="F1603" s="22">
        <v>862531040819584</v>
      </c>
      <c r="M1603" s="2" t="s">
        <v>2169</v>
      </c>
      <c r="N1603" s="2" t="s">
        <v>1706</v>
      </c>
      <c r="O1603" s="18">
        <v>44134</v>
      </c>
    </row>
    <row r="1604" spans="1:19" hidden="1" outlineLevel="1">
      <c r="A1604" s="1">
        <v>4</v>
      </c>
      <c r="F1604" s="22">
        <v>862531040836588</v>
      </c>
      <c r="M1604" s="2" t="s">
        <v>2170</v>
      </c>
      <c r="N1604" s="2" t="s">
        <v>1706</v>
      </c>
      <c r="O1604" s="18">
        <v>44134</v>
      </c>
    </row>
    <row r="1605" spans="1:19" hidden="1" outlineLevel="1">
      <c r="A1605" s="1">
        <v>5</v>
      </c>
      <c r="F1605" s="22">
        <v>862531040802705</v>
      </c>
      <c r="M1605" s="2" t="s">
        <v>2171</v>
      </c>
      <c r="N1605" s="2" t="s">
        <v>1706</v>
      </c>
      <c r="O1605" s="18">
        <v>44134</v>
      </c>
    </row>
    <row r="1606" spans="1:19" hidden="1" outlineLevel="1">
      <c r="A1606" s="1">
        <v>6</v>
      </c>
      <c r="F1606" s="22">
        <v>862531042218579</v>
      </c>
      <c r="M1606" s="2" t="s">
        <v>2172</v>
      </c>
      <c r="N1606" s="2" t="s">
        <v>1706</v>
      </c>
      <c r="O1606" s="18">
        <v>44134</v>
      </c>
    </row>
    <row r="1607" spans="1:19" hidden="1" outlineLevel="1">
      <c r="A1607" s="1">
        <v>7</v>
      </c>
      <c r="F1607" s="22">
        <v>862531040819352</v>
      </c>
      <c r="M1607" s="2">
        <v>862531040819352</v>
      </c>
      <c r="N1607" s="2" t="s">
        <v>1706</v>
      </c>
      <c r="O1607" s="18">
        <v>44134</v>
      </c>
    </row>
    <row r="1608" spans="1:19" hidden="1" outlineLevel="1">
      <c r="A1608" s="1">
        <v>8</v>
      </c>
      <c r="F1608" s="22">
        <v>862531040818867</v>
      </c>
      <c r="M1608" s="2" t="s">
        <v>2173</v>
      </c>
      <c r="N1608" s="2" t="s">
        <v>1706</v>
      </c>
      <c r="O1608" s="18">
        <v>44134</v>
      </c>
    </row>
    <row r="1609" spans="1:19" hidden="1" outlineLevel="1">
      <c r="A1609" s="1">
        <v>9</v>
      </c>
      <c r="F1609" s="22">
        <v>862531040827835</v>
      </c>
      <c r="M1609" s="2" t="s">
        <v>2174</v>
      </c>
      <c r="N1609" s="2" t="s">
        <v>1706</v>
      </c>
      <c r="O1609" s="18">
        <v>44134</v>
      </c>
    </row>
    <row r="1610" spans="1:19" hidden="1" outlineLevel="1">
      <c r="A1610" s="1">
        <v>10</v>
      </c>
      <c r="F1610" s="22">
        <v>862531040827561</v>
      </c>
      <c r="M1610" s="2" t="s">
        <v>2175</v>
      </c>
      <c r="N1610" s="2" t="s">
        <v>1706</v>
      </c>
      <c r="O1610" s="18">
        <v>44134</v>
      </c>
    </row>
    <row r="1611" spans="1:19" hidden="1" outlineLevel="1">
      <c r="A1611" s="1">
        <v>11</v>
      </c>
      <c r="E1611" s="1" t="s">
        <v>620</v>
      </c>
      <c r="F1611" s="22">
        <v>866557056024732</v>
      </c>
      <c r="M1611" s="2" t="s">
        <v>2176</v>
      </c>
      <c r="N1611" s="2" t="s">
        <v>2177</v>
      </c>
      <c r="O1611" s="18">
        <v>44208</v>
      </c>
    </row>
    <row r="1612" spans="1:19" hidden="1" outlineLevel="1">
      <c r="A1612" s="8"/>
      <c r="B1612" s="58"/>
      <c r="C1612" s="159"/>
      <c r="D1612" s="8"/>
      <c r="E1612" s="8"/>
      <c r="F1612" s="9"/>
      <c r="G1612" s="8"/>
      <c r="H1612" s="8"/>
      <c r="I1612" s="8"/>
      <c r="J1612" s="58"/>
      <c r="K1612" s="8"/>
      <c r="L1612" s="58"/>
      <c r="M1612" s="8"/>
      <c r="N1612" s="8"/>
      <c r="O1612" s="58"/>
      <c r="P1612" s="8"/>
      <c r="Q1612" s="8"/>
      <c r="R1612" s="8"/>
      <c r="S1612" s="8"/>
    </row>
    <row r="1613" spans="1:19" hidden="1" outlineLevel="1">
      <c r="A1613" s="1">
        <v>1</v>
      </c>
      <c r="B1613" s="11">
        <v>44117</v>
      </c>
      <c r="C1613" s="160">
        <v>3782</v>
      </c>
      <c r="E1613" s="1" t="s">
        <v>621</v>
      </c>
      <c r="F1613" s="22">
        <v>860922043074081</v>
      </c>
      <c r="M1613" s="2" t="s">
        <v>2178</v>
      </c>
      <c r="N1613" s="2" t="s">
        <v>314</v>
      </c>
      <c r="O1613" s="18">
        <v>44133</v>
      </c>
    </row>
    <row r="1614" spans="1:19" hidden="1" outlineLevel="1">
      <c r="A1614" s="8"/>
      <c r="B1614" s="58"/>
      <c r="C1614" s="159"/>
      <c r="D1614" s="8"/>
      <c r="E1614" s="8"/>
      <c r="F1614" s="9"/>
      <c r="G1614" s="8"/>
      <c r="H1614" s="8"/>
      <c r="I1614" s="8"/>
      <c r="J1614" s="58"/>
      <c r="K1614" s="8"/>
      <c r="L1614" s="58"/>
      <c r="M1614" s="8"/>
      <c r="N1614" s="8"/>
      <c r="O1614" s="58"/>
      <c r="P1614" s="8"/>
      <c r="Q1614" s="8"/>
      <c r="R1614" s="8"/>
      <c r="S1614" s="8"/>
    </row>
    <row r="1615" spans="1:19" hidden="1" outlineLevel="1">
      <c r="A1615" s="1">
        <v>1</v>
      </c>
      <c r="B1615" s="11">
        <v>44130</v>
      </c>
      <c r="C1615" s="160">
        <v>4032</v>
      </c>
      <c r="E1615" s="1" t="s">
        <v>608</v>
      </c>
      <c r="F1615" s="22">
        <v>866795038256390</v>
      </c>
      <c r="M1615" s="2" t="s">
        <v>2179</v>
      </c>
      <c r="N1615" s="2" t="s">
        <v>2161</v>
      </c>
      <c r="O1615" s="18">
        <v>43530</v>
      </c>
    </row>
    <row r="1616" spans="1:19" hidden="1" outlineLevel="1">
      <c r="A1616" s="1">
        <v>2</v>
      </c>
      <c r="F1616" s="22">
        <v>866795039837552</v>
      </c>
      <c r="M1616" s="2" t="s">
        <v>2180</v>
      </c>
      <c r="N1616" s="2" t="s">
        <v>2161</v>
      </c>
      <c r="O1616" s="18">
        <v>41921</v>
      </c>
    </row>
    <row r="1617" spans="1:19" hidden="1" outlineLevel="1">
      <c r="A1617" s="1">
        <v>3</v>
      </c>
      <c r="F1617" s="22">
        <v>866795038310023</v>
      </c>
      <c r="M1617" s="2" t="s">
        <v>2181</v>
      </c>
      <c r="N1617" s="2" t="s">
        <v>2161</v>
      </c>
      <c r="O1617" s="18">
        <v>41920</v>
      </c>
    </row>
    <row r="1618" spans="1:19" hidden="1" outlineLevel="1">
      <c r="A1618" s="1">
        <v>4</v>
      </c>
      <c r="F1618" s="22">
        <v>866795037518527</v>
      </c>
      <c r="M1618" s="2" t="s">
        <v>2182</v>
      </c>
      <c r="N1618" s="2" t="s">
        <v>2161</v>
      </c>
      <c r="O1618" s="18">
        <v>41933</v>
      </c>
    </row>
    <row r="1619" spans="1:19" hidden="1" outlineLevel="1">
      <c r="A1619" s="1">
        <v>5</v>
      </c>
      <c r="F1619" s="22">
        <v>866795038113070</v>
      </c>
    </row>
    <row r="1620" spans="1:19" hidden="1" outlineLevel="1">
      <c r="A1620" s="1">
        <v>6</v>
      </c>
      <c r="E1620" s="1" t="s">
        <v>149</v>
      </c>
      <c r="F1620" s="22">
        <v>866795037487665</v>
      </c>
      <c r="M1620" s="2" t="s">
        <v>2183</v>
      </c>
      <c r="N1620" s="2" t="s">
        <v>1228</v>
      </c>
      <c r="O1620" s="18">
        <v>41221</v>
      </c>
    </row>
    <row r="1621" spans="1:19" hidden="1" outlineLevel="1">
      <c r="A1621" s="1">
        <v>7</v>
      </c>
      <c r="F1621" s="22">
        <v>866795037487624</v>
      </c>
      <c r="M1621" s="2" t="s">
        <v>2184</v>
      </c>
      <c r="N1621" s="2" t="s">
        <v>1922</v>
      </c>
      <c r="O1621" s="18">
        <v>44161</v>
      </c>
    </row>
    <row r="1622" spans="1:19" hidden="1" outlineLevel="1">
      <c r="A1622" s="1">
        <v>8</v>
      </c>
      <c r="F1622" s="22">
        <v>866795037487764</v>
      </c>
      <c r="M1622" s="2" t="s">
        <v>2185</v>
      </c>
      <c r="N1622" s="2" t="s">
        <v>2186</v>
      </c>
      <c r="O1622" s="18">
        <v>44160</v>
      </c>
    </row>
    <row r="1623" spans="1:19" hidden="1" outlineLevel="1">
      <c r="A1623" s="1">
        <v>9</v>
      </c>
      <c r="F1623" s="22">
        <v>862531040001761</v>
      </c>
      <c r="M1623" s="2" t="s">
        <v>2187</v>
      </c>
      <c r="N1623" s="2" t="s">
        <v>1086</v>
      </c>
      <c r="O1623" s="18">
        <v>44207</v>
      </c>
    </row>
    <row r="1624" spans="1:19" hidden="1" outlineLevel="1">
      <c r="A1624" s="1">
        <v>10</v>
      </c>
      <c r="F1624" s="22">
        <v>866795038079404</v>
      </c>
      <c r="M1624" s="2" t="s">
        <v>2188</v>
      </c>
      <c r="N1624" s="2" t="s">
        <v>1534</v>
      </c>
      <c r="O1624" s="18">
        <v>44159</v>
      </c>
    </row>
    <row r="1625" spans="1:19" hidden="1" outlineLevel="1">
      <c r="A1625" s="1">
        <v>11</v>
      </c>
      <c r="F1625" s="22">
        <v>866795038110936</v>
      </c>
      <c r="M1625" s="2" t="s">
        <v>2189</v>
      </c>
      <c r="N1625" s="2" t="s">
        <v>2190</v>
      </c>
      <c r="O1625" s="18">
        <v>44135</v>
      </c>
    </row>
    <row r="1626" spans="1:19" hidden="1" outlineLevel="1">
      <c r="A1626" s="1">
        <v>12</v>
      </c>
      <c r="F1626" s="22">
        <v>866795037485560</v>
      </c>
      <c r="M1626" s="2" t="s">
        <v>2191</v>
      </c>
      <c r="N1626" s="2" t="s">
        <v>1908</v>
      </c>
      <c r="O1626" s="18">
        <v>44137</v>
      </c>
    </row>
    <row r="1627" spans="1:19" hidden="1" outlineLevel="1">
      <c r="A1627" s="1">
        <v>13</v>
      </c>
      <c r="F1627" s="22">
        <v>866795038373088</v>
      </c>
      <c r="M1627" s="2" t="s">
        <v>2192</v>
      </c>
      <c r="N1627" s="2" t="s">
        <v>841</v>
      </c>
      <c r="O1627" s="18">
        <v>44142</v>
      </c>
    </row>
    <row r="1628" spans="1:19" hidden="1" outlineLevel="1">
      <c r="A1628" s="1">
        <v>14</v>
      </c>
      <c r="F1628" s="22">
        <v>866795038354047</v>
      </c>
    </row>
    <row r="1629" spans="1:19" hidden="1" outlineLevel="1">
      <c r="A1629" s="1">
        <v>15</v>
      </c>
      <c r="F1629" s="22">
        <v>866795039859663</v>
      </c>
      <c r="M1629" s="2" t="s">
        <v>2193</v>
      </c>
      <c r="N1629" s="2" t="s">
        <v>2186</v>
      </c>
      <c r="O1629" s="18">
        <v>44209</v>
      </c>
    </row>
    <row r="1630" spans="1:19" hidden="1" outlineLevel="1">
      <c r="A1630" s="8"/>
      <c r="B1630" s="58"/>
      <c r="C1630" s="159"/>
      <c r="D1630" s="8"/>
      <c r="E1630" s="8"/>
      <c r="F1630" s="9"/>
      <c r="G1630" s="8"/>
      <c r="H1630" s="8"/>
      <c r="I1630" s="8"/>
      <c r="J1630" s="58"/>
      <c r="K1630" s="8"/>
      <c r="L1630" s="58"/>
      <c r="M1630" s="8"/>
      <c r="N1630" s="8"/>
      <c r="O1630" s="58"/>
      <c r="P1630" s="8"/>
      <c r="Q1630" s="8"/>
      <c r="R1630" s="8"/>
      <c r="S1630" s="8"/>
    </row>
    <row r="1631" spans="1:19" hidden="1" outlineLevel="1">
      <c r="A1631" s="1">
        <v>1</v>
      </c>
      <c r="B1631" s="11">
        <v>44132</v>
      </c>
      <c r="C1631" s="160">
        <v>4067</v>
      </c>
      <c r="E1631" s="1" t="s">
        <v>608</v>
      </c>
      <c r="F1631" s="22">
        <v>866795039834336</v>
      </c>
      <c r="M1631" s="2" t="s">
        <v>2194</v>
      </c>
      <c r="N1631" s="2" t="s">
        <v>1575</v>
      </c>
      <c r="O1631" s="18">
        <v>44132</v>
      </c>
    </row>
    <row r="1632" spans="1:19" hidden="1" outlineLevel="1">
      <c r="A1632" s="1">
        <v>2</v>
      </c>
      <c r="F1632" s="22">
        <v>866795037517354</v>
      </c>
      <c r="M1632" s="2" t="s">
        <v>2195</v>
      </c>
      <c r="N1632" s="2" t="s">
        <v>2029</v>
      </c>
      <c r="O1632" s="18">
        <v>44137</v>
      </c>
    </row>
    <row r="1633" spans="1:19" hidden="1" outlineLevel="1">
      <c r="A1633" s="1">
        <v>3</v>
      </c>
      <c r="F1633" s="22">
        <v>866795039816754</v>
      </c>
      <c r="M1633" s="2" t="s">
        <v>2196</v>
      </c>
      <c r="N1633" s="2" t="s">
        <v>1575</v>
      </c>
      <c r="O1633" s="18">
        <v>44133</v>
      </c>
    </row>
    <row r="1634" spans="1:19" hidden="1" outlineLevel="1">
      <c r="A1634" s="1">
        <v>4</v>
      </c>
      <c r="F1634" s="22">
        <v>866795038310015</v>
      </c>
    </row>
    <row r="1635" spans="1:19" hidden="1" outlineLevel="1">
      <c r="A1635" s="1">
        <v>5</v>
      </c>
      <c r="F1635" s="22">
        <v>866795039838956</v>
      </c>
    </row>
    <row r="1636" spans="1:19" hidden="1" outlineLevel="1">
      <c r="A1636" s="8"/>
      <c r="B1636" s="58"/>
      <c r="C1636" s="159"/>
      <c r="D1636" s="8"/>
      <c r="E1636" s="8"/>
      <c r="F1636" s="9"/>
      <c r="G1636" s="8"/>
      <c r="H1636" s="8"/>
      <c r="I1636" s="8"/>
      <c r="J1636" s="58"/>
      <c r="K1636" s="8"/>
      <c r="L1636" s="58"/>
      <c r="M1636" s="8"/>
      <c r="N1636" s="8"/>
      <c r="O1636" s="58"/>
      <c r="P1636" s="8"/>
      <c r="Q1636" s="8"/>
      <c r="R1636" s="8"/>
      <c r="S1636" s="8"/>
    </row>
    <row r="1637" spans="1:19" hidden="1" outlineLevel="1">
      <c r="A1637" s="1">
        <v>1</v>
      </c>
      <c r="B1637" s="11">
        <v>44141</v>
      </c>
      <c r="C1637" s="160">
        <v>4127</v>
      </c>
      <c r="E1637" s="1" t="s">
        <v>622</v>
      </c>
      <c r="F1637" s="22">
        <v>866795037517859</v>
      </c>
      <c r="M1637" s="2" t="s">
        <v>2197</v>
      </c>
      <c r="N1637" s="2" t="s">
        <v>293</v>
      </c>
      <c r="O1637" s="18">
        <v>44141</v>
      </c>
    </row>
    <row r="1638" spans="1:19" hidden="1" outlineLevel="1">
      <c r="A1638" s="1">
        <v>2</v>
      </c>
      <c r="F1638" s="22">
        <v>866795039827447</v>
      </c>
      <c r="M1638" s="2" t="s">
        <v>2198</v>
      </c>
      <c r="N1638" s="2" t="s">
        <v>1089</v>
      </c>
      <c r="O1638" s="18">
        <v>43626</v>
      </c>
      <c r="S1638" s="1" t="s">
        <v>645</v>
      </c>
    </row>
    <row r="1639" spans="1:19" hidden="1" outlineLevel="1">
      <c r="A1639" s="1">
        <v>3</v>
      </c>
      <c r="F1639" s="22">
        <v>866795039906928</v>
      </c>
    </row>
    <row r="1640" spans="1:19" hidden="1" outlineLevel="1">
      <c r="A1640" s="1">
        <v>4</v>
      </c>
      <c r="F1640" s="22">
        <v>866795039912124</v>
      </c>
    </row>
    <row r="1641" spans="1:19" hidden="1" outlineLevel="1">
      <c r="A1641" s="1">
        <v>5</v>
      </c>
      <c r="F1641" s="22">
        <v>866795038112874</v>
      </c>
    </row>
    <row r="1642" spans="1:19" hidden="1" outlineLevel="1">
      <c r="A1642" s="1">
        <v>6</v>
      </c>
      <c r="E1642" s="1" t="s">
        <v>609</v>
      </c>
      <c r="F1642" s="22">
        <v>866795037691217</v>
      </c>
      <c r="M1642" s="2" t="s">
        <v>2199</v>
      </c>
      <c r="N1642" s="2" t="s">
        <v>978</v>
      </c>
      <c r="O1642" s="18">
        <v>44148</v>
      </c>
    </row>
    <row r="1643" spans="1:19" hidden="1" outlineLevel="1">
      <c r="A1643" s="1">
        <v>7</v>
      </c>
      <c r="E1643" s="1" t="s">
        <v>149</v>
      </c>
      <c r="F1643" s="22">
        <v>866795038196794</v>
      </c>
      <c r="M1643" s="2" t="s">
        <v>2200</v>
      </c>
      <c r="N1643" s="2" t="s">
        <v>1727</v>
      </c>
      <c r="O1643" s="18">
        <v>44153</v>
      </c>
    </row>
    <row r="1644" spans="1:19" hidden="1" outlineLevel="1">
      <c r="A1644" s="1">
        <v>8</v>
      </c>
      <c r="F1644" s="22">
        <v>866795038114383</v>
      </c>
    </row>
    <row r="1645" spans="1:19" hidden="1" outlineLevel="1">
      <c r="A1645" s="1">
        <v>9</v>
      </c>
      <c r="F1645" s="22">
        <v>866795038309389</v>
      </c>
      <c r="M1645" s="2" t="s">
        <v>2201</v>
      </c>
      <c r="N1645" s="2" t="s">
        <v>2202</v>
      </c>
      <c r="O1645" s="18">
        <v>44152</v>
      </c>
    </row>
    <row r="1646" spans="1:19" hidden="1" outlineLevel="1">
      <c r="A1646" s="1">
        <v>10</v>
      </c>
      <c r="F1646" s="22">
        <v>866795038359236</v>
      </c>
      <c r="M1646" s="2" t="s">
        <v>2203</v>
      </c>
      <c r="N1646" s="2" t="s">
        <v>1581</v>
      </c>
      <c r="O1646" s="18">
        <v>42059</v>
      </c>
    </row>
    <row r="1647" spans="1:19" hidden="1" outlineLevel="1">
      <c r="A1647" s="1">
        <v>11</v>
      </c>
      <c r="F1647" s="22">
        <v>866795037485933</v>
      </c>
      <c r="M1647" s="2" t="s">
        <v>2204</v>
      </c>
      <c r="N1647" s="2" t="s">
        <v>2205</v>
      </c>
      <c r="O1647" s="18">
        <v>44151</v>
      </c>
    </row>
    <row r="1648" spans="1:19" hidden="1" outlineLevel="1">
      <c r="A1648" s="1">
        <v>12</v>
      </c>
      <c r="F1648" s="22">
        <v>866795038132021</v>
      </c>
      <c r="M1648" s="2" t="s">
        <v>2206</v>
      </c>
      <c r="N1648" s="2" t="s">
        <v>298</v>
      </c>
      <c r="O1648" s="18">
        <v>41206</v>
      </c>
    </row>
    <row r="1649" spans="1:19" hidden="1" outlineLevel="1">
      <c r="A1649" s="1">
        <v>13</v>
      </c>
      <c r="F1649" s="22">
        <v>866795038102735</v>
      </c>
      <c r="M1649" s="2" t="s">
        <v>2207</v>
      </c>
      <c r="N1649" s="2" t="s">
        <v>1581</v>
      </c>
      <c r="O1649" s="18">
        <v>42059</v>
      </c>
    </row>
    <row r="1650" spans="1:19" hidden="1" outlineLevel="1">
      <c r="A1650" s="1">
        <v>14</v>
      </c>
      <c r="F1650" s="22">
        <v>866795037469085</v>
      </c>
      <c r="M1650" s="2" t="s">
        <v>2208</v>
      </c>
      <c r="N1650" s="2" t="s">
        <v>1929</v>
      </c>
      <c r="O1650" s="18">
        <v>44165</v>
      </c>
    </row>
    <row r="1651" spans="1:19" hidden="1" outlineLevel="1">
      <c r="A1651" s="1">
        <v>15</v>
      </c>
      <c r="F1651" s="22">
        <v>866795038153001</v>
      </c>
      <c r="M1651" s="2" t="s">
        <v>2209</v>
      </c>
      <c r="N1651" s="2" t="s">
        <v>2063</v>
      </c>
      <c r="O1651" s="18">
        <v>44189</v>
      </c>
    </row>
    <row r="1652" spans="1:19" hidden="1" outlineLevel="1">
      <c r="A1652" s="1">
        <v>16</v>
      </c>
      <c r="F1652" s="22">
        <v>866795037467139</v>
      </c>
    </row>
    <row r="1653" spans="1:19" hidden="1" outlineLevel="1">
      <c r="A1653" s="8"/>
      <c r="B1653" s="58"/>
      <c r="C1653" s="159"/>
      <c r="D1653" s="8"/>
      <c r="E1653" s="8"/>
      <c r="F1653" s="9"/>
      <c r="G1653" s="8"/>
      <c r="H1653" s="8"/>
      <c r="I1653" s="8"/>
      <c r="J1653" s="58"/>
      <c r="K1653" s="8"/>
      <c r="L1653" s="58"/>
      <c r="M1653" s="8"/>
      <c r="N1653" s="8"/>
      <c r="O1653" s="58"/>
      <c r="P1653" s="8"/>
      <c r="Q1653" s="8"/>
      <c r="R1653" s="8"/>
      <c r="S1653" s="8"/>
    </row>
    <row r="1654" spans="1:19" hidden="1" outlineLevel="1">
      <c r="A1654" s="1">
        <v>1</v>
      </c>
      <c r="B1654" s="11">
        <v>44141</v>
      </c>
      <c r="C1654" s="160">
        <v>4133</v>
      </c>
      <c r="E1654" s="1" t="s">
        <v>623</v>
      </c>
      <c r="F1654" s="22">
        <v>862261048556448</v>
      </c>
      <c r="M1654" s="2" t="s">
        <v>2210</v>
      </c>
      <c r="N1654" s="2" t="s">
        <v>2211</v>
      </c>
      <c r="O1654" s="18">
        <v>44144</v>
      </c>
    </row>
    <row r="1655" spans="1:19" hidden="1" outlineLevel="1">
      <c r="A1655" s="8"/>
      <c r="B1655" s="58"/>
      <c r="C1655" s="159"/>
      <c r="D1655" s="8"/>
      <c r="E1655" s="8"/>
      <c r="F1655" s="9"/>
      <c r="G1655" s="8"/>
      <c r="H1655" s="8"/>
      <c r="I1655" s="8"/>
      <c r="J1655" s="58"/>
      <c r="K1655" s="8"/>
      <c r="L1655" s="58"/>
      <c r="M1655" s="8"/>
      <c r="N1655" s="8"/>
      <c r="O1655" s="58"/>
      <c r="P1655" s="8"/>
      <c r="Q1655" s="8"/>
      <c r="R1655" s="8"/>
      <c r="S1655" s="8"/>
    </row>
    <row r="1656" spans="1:19" hidden="1" outlineLevel="1">
      <c r="A1656" s="1">
        <v>1</v>
      </c>
      <c r="B1656" s="11">
        <v>44147</v>
      </c>
      <c r="C1656" s="160">
        <v>4169</v>
      </c>
      <c r="E1656" s="1" t="s">
        <v>229</v>
      </c>
      <c r="F1656" s="22">
        <v>862531042013079</v>
      </c>
      <c r="M1656" s="2" t="s">
        <v>2212</v>
      </c>
      <c r="N1656" s="2" t="s">
        <v>2213</v>
      </c>
      <c r="O1656" s="18">
        <v>44215</v>
      </c>
      <c r="S1656" s="1" t="s">
        <v>646</v>
      </c>
    </row>
    <row r="1657" spans="1:19" hidden="1" outlineLevel="1">
      <c r="A1657" s="1">
        <v>2</v>
      </c>
      <c r="F1657" s="22">
        <v>862531040101082</v>
      </c>
      <c r="M1657" s="2" t="s">
        <v>2214</v>
      </c>
      <c r="N1657" s="2" t="s">
        <v>2215</v>
      </c>
      <c r="O1657" s="18">
        <v>44210</v>
      </c>
      <c r="S1657" s="1" t="s">
        <v>646</v>
      </c>
    </row>
    <row r="1658" spans="1:19" hidden="1" outlineLevel="1">
      <c r="A1658" s="1">
        <v>3</v>
      </c>
      <c r="F1658" s="22">
        <v>866795039987936</v>
      </c>
      <c r="G1658" s="4" t="s">
        <v>507</v>
      </c>
      <c r="S1658" s="1" t="s">
        <v>647</v>
      </c>
    </row>
    <row r="1659" spans="1:19" hidden="1" outlineLevel="1">
      <c r="A1659" s="1">
        <v>4</v>
      </c>
      <c r="F1659" s="22">
        <v>866795039996747</v>
      </c>
      <c r="G1659" s="4" t="s">
        <v>507</v>
      </c>
      <c r="S1659" s="1" t="s">
        <v>648</v>
      </c>
    </row>
    <row r="1660" spans="1:19" hidden="1" outlineLevel="1">
      <c r="A1660" s="1">
        <v>5</v>
      </c>
      <c r="F1660" s="22">
        <v>866795037662929</v>
      </c>
      <c r="M1660" s="2" t="s">
        <v>2216</v>
      </c>
      <c r="N1660" s="2" t="s">
        <v>2217</v>
      </c>
      <c r="O1660" s="18">
        <v>44211</v>
      </c>
      <c r="S1660" s="1" t="s">
        <v>646</v>
      </c>
    </row>
    <row r="1661" spans="1:19" hidden="1" outlineLevel="1">
      <c r="A1661" s="1">
        <v>6</v>
      </c>
      <c r="F1661" s="22">
        <v>862531042040742</v>
      </c>
      <c r="M1661" s="2" t="s">
        <v>2218</v>
      </c>
      <c r="N1661" s="2" t="s">
        <v>2219</v>
      </c>
      <c r="O1661" s="18">
        <v>41047</v>
      </c>
      <c r="S1661" s="1" t="s">
        <v>646</v>
      </c>
    </row>
    <row r="1662" spans="1:19" hidden="1" outlineLevel="1">
      <c r="A1662" s="1">
        <v>7</v>
      </c>
      <c r="F1662" s="22">
        <v>862531040072846</v>
      </c>
      <c r="M1662" s="2" t="s">
        <v>2220</v>
      </c>
      <c r="N1662" s="2" t="s">
        <v>1623</v>
      </c>
      <c r="O1662" s="18">
        <v>40857</v>
      </c>
      <c r="S1662" s="1" t="s">
        <v>649</v>
      </c>
    </row>
    <row r="1663" spans="1:19" hidden="1" outlineLevel="1">
      <c r="A1663" s="1">
        <v>8</v>
      </c>
      <c r="F1663" s="22">
        <v>862531042813882</v>
      </c>
      <c r="G1663" s="4" t="s">
        <v>507</v>
      </c>
      <c r="M1663" s="2" t="s">
        <v>2221</v>
      </c>
      <c r="N1663" s="2" t="s">
        <v>1708</v>
      </c>
      <c r="O1663" s="18">
        <v>44291</v>
      </c>
      <c r="S1663" s="1" t="s">
        <v>650</v>
      </c>
    </row>
    <row r="1664" spans="1:19" hidden="1" outlineLevel="1">
      <c r="A1664" s="1">
        <v>9</v>
      </c>
      <c r="F1664" s="22">
        <v>862531042817669</v>
      </c>
      <c r="G1664" s="4" t="s">
        <v>507</v>
      </c>
      <c r="M1664" s="2" t="s">
        <v>2222</v>
      </c>
      <c r="N1664" s="2" t="s">
        <v>2223</v>
      </c>
      <c r="O1664" s="18">
        <v>44256</v>
      </c>
      <c r="S1664" s="1" t="s">
        <v>651</v>
      </c>
    </row>
    <row r="1665" spans="1:19" hidden="1" outlineLevel="1">
      <c r="A1665" s="1">
        <v>10</v>
      </c>
      <c r="F1665" s="22">
        <v>862531042818048</v>
      </c>
      <c r="M1665" s="2" t="s">
        <v>2224</v>
      </c>
      <c r="N1665" s="2" t="s">
        <v>2215</v>
      </c>
      <c r="O1665" s="18">
        <v>44210</v>
      </c>
      <c r="S1665" s="1" t="s">
        <v>646</v>
      </c>
    </row>
    <row r="1666" spans="1:19" hidden="1" outlineLevel="1">
      <c r="A1666" s="8"/>
      <c r="B1666" s="58"/>
      <c r="C1666" s="159"/>
      <c r="D1666" s="8"/>
      <c r="E1666" s="8"/>
      <c r="F1666" s="9"/>
      <c r="G1666" s="8"/>
      <c r="H1666" s="8"/>
      <c r="I1666" s="8"/>
      <c r="J1666" s="58"/>
      <c r="K1666" s="8"/>
      <c r="L1666" s="58"/>
      <c r="M1666" s="8"/>
      <c r="N1666" s="8"/>
      <c r="O1666" s="58"/>
      <c r="P1666" s="8"/>
      <c r="Q1666" s="8"/>
      <c r="R1666" s="8"/>
      <c r="S1666" s="8"/>
    </row>
    <row r="1667" spans="1:19" hidden="1" outlineLevel="1">
      <c r="A1667" s="1">
        <v>1</v>
      </c>
      <c r="B1667" s="11">
        <v>44154</v>
      </c>
      <c r="C1667" s="160">
        <v>4356</v>
      </c>
      <c r="E1667" s="1" t="s">
        <v>176</v>
      </c>
      <c r="F1667" s="22">
        <v>866795039919533</v>
      </c>
      <c r="M1667" s="2" t="s">
        <v>2225</v>
      </c>
      <c r="N1667" s="2" t="s">
        <v>852</v>
      </c>
      <c r="O1667" s="18">
        <v>44245</v>
      </c>
    </row>
    <row r="1668" spans="1:19" hidden="1" outlineLevel="1">
      <c r="A1668" s="1">
        <v>2</v>
      </c>
      <c r="F1668" s="22">
        <v>866795039906027</v>
      </c>
      <c r="G1668" s="4" t="s">
        <v>508</v>
      </c>
      <c r="M1668" s="2" t="s">
        <v>2226</v>
      </c>
      <c r="N1668" s="2" t="s">
        <v>2227</v>
      </c>
      <c r="O1668" s="18">
        <v>44313</v>
      </c>
      <c r="S1668" s="1" t="s">
        <v>652</v>
      </c>
    </row>
    <row r="1669" spans="1:19" hidden="1" outlineLevel="1">
      <c r="A1669" s="1">
        <v>3</v>
      </c>
      <c r="F1669" s="22">
        <v>866795039917032</v>
      </c>
      <c r="G1669" s="4" t="s">
        <v>508</v>
      </c>
      <c r="M1669" s="2" t="s">
        <v>2228</v>
      </c>
      <c r="N1669" s="2" t="s">
        <v>2127</v>
      </c>
      <c r="O1669" s="18">
        <v>44292</v>
      </c>
      <c r="S1669" s="1" t="s">
        <v>652</v>
      </c>
    </row>
    <row r="1670" spans="1:19" hidden="1" outlineLevel="1">
      <c r="A1670" s="1">
        <v>4</v>
      </c>
      <c r="F1670" s="22">
        <v>862531040024094</v>
      </c>
      <c r="M1670" s="2" t="s">
        <v>2229</v>
      </c>
      <c r="N1670" s="2" t="s">
        <v>2230</v>
      </c>
      <c r="O1670" s="18">
        <v>44266</v>
      </c>
      <c r="S1670" s="1" t="s">
        <v>653</v>
      </c>
    </row>
    <row r="1671" spans="1:19" hidden="1" outlineLevel="1">
      <c r="A1671" s="1">
        <v>5</v>
      </c>
      <c r="F1671" s="22">
        <v>862531040832256</v>
      </c>
      <c r="G1671" s="4" t="s">
        <v>508</v>
      </c>
      <c r="S1671" s="1" t="s">
        <v>652</v>
      </c>
    </row>
    <row r="1672" spans="1:19" hidden="1" outlineLevel="1">
      <c r="A1672" s="8"/>
      <c r="B1672" s="58"/>
      <c r="C1672" s="159"/>
      <c r="D1672" s="8"/>
      <c r="E1672" s="8"/>
      <c r="F1672" s="9"/>
      <c r="G1672" s="8"/>
      <c r="H1672" s="8"/>
      <c r="I1672" s="8"/>
      <c r="J1672" s="58"/>
      <c r="K1672" s="8"/>
      <c r="L1672" s="58"/>
      <c r="M1672" s="8"/>
      <c r="N1672" s="8"/>
      <c r="O1672" s="58"/>
      <c r="P1672" s="8"/>
      <c r="Q1672" s="8"/>
      <c r="R1672" s="8"/>
      <c r="S1672" s="8"/>
    </row>
    <row r="1673" spans="1:19" hidden="1" outlineLevel="1">
      <c r="A1673" s="1">
        <v>1</v>
      </c>
      <c r="B1673" s="11">
        <v>44161</v>
      </c>
      <c r="C1673" s="160">
        <v>4456</v>
      </c>
      <c r="E1673" s="1" t="s">
        <v>623</v>
      </c>
      <c r="F1673" s="22">
        <v>862261048612894</v>
      </c>
      <c r="M1673" s="2" t="s">
        <v>2231</v>
      </c>
      <c r="N1673" s="2" t="s">
        <v>2211</v>
      </c>
      <c r="O1673" s="18">
        <v>44167</v>
      </c>
    </row>
    <row r="1674" spans="1:19" hidden="1" outlineLevel="1">
      <c r="A1674" s="8"/>
      <c r="B1674" s="58"/>
      <c r="C1674" s="159"/>
      <c r="D1674" s="8"/>
      <c r="E1674" s="8"/>
      <c r="F1674" s="9"/>
      <c r="G1674" s="8"/>
      <c r="H1674" s="8"/>
      <c r="I1674" s="8"/>
      <c r="J1674" s="58"/>
      <c r="K1674" s="8"/>
      <c r="L1674" s="58"/>
      <c r="M1674" s="8"/>
      <c r="N1674" s="8"/>
      <c r="O1674" s="58"/>
      <c r="P1674" s="8"/>
      <c r="Q1674" s="8"/>
      <c r="R1674" s="8"/>
      <c r="S1674" s="8"/>
    </row>
    <row r="1675" spans="1:19" hidden="1" outlineLevel="1">
      <c r="A1675" s="1">
        <v>1</v>
      </c>
      <c r="B1675" s="11">
        <v>44161</v>
      </c>
      <c r="C1675" s="160">
        <v>4455</v>
      </c>
      <c r="E1675" s="1" t="s">
        <v>176</v>
      </c>
      <c r="F1675" s="22">
        <v>866795039875099</v>
      </c>
      <c r="M1675" s="2" t="s">
        <v>2232</v>
      </c>
      <c r="N1675" s="2" t="s">
        <v>874</v>
      </c>
      <c r="O1675" s="18">
        <v>41596</v>
      </c>
      <c r="S1675" s="1" t="s">
        <v>654</v>
      </c>
    </row>
    <row r="1676" spans="1:19" hidden="1" outlineLevel="1">
      <c r="A1676" s="1">
        <v>2</v>
      </c>
      <c r="E1676" s="1" t="s">
        <v>176</v>
      </c>
      <c r="F1676" s="22">
        <v>866795039851165</v>
      </c>
      <c r="M1676" s="2" t="s">
        <v>2233</v>
      </c>
      <c r="N1676" s="2" t="s">
        <v>2234</v>
      </c>
      <c r="O1676" s="18">
        <v>40935</v>
      </c>
    </row>
    <row r="1677" spans="1:19" hidden="1" outlineLevel="1">
      <c r="A1677" s="1">
        <v>3</v>
      </c>
      <c r="E1677" s="1" t="s">
        <v>176</v>
      </c>
      <c r="F1677" s="22">
        <v>862531040081441</v>
      </c>
      <c r="M1677" s="2" t="s">
        <v>2235</v>
      </c>
      <c r="N1677" s="2" t="s">
        <v>931</v>
      </c>
      <c r="O1677" s="18">
        <v>44195</v>
      </c>
    </row>
    <row r="1678" spans="1:19" hidden="1" outlineLevel="1">
      <c r="A1678" s="1">
        <v>4</v>
      </c>
      <c r="E1678" s="1" t="s">
        <v>176</v>
      </c>
      <c r="F1678" s="22">
        <v>866795039970981</v>
      </c>
      <c r="M1678" s="2" t="s">
        <v>2236</v>
      </c>
      <c r="N1678" s="2" t="s">
        <v>2237</v>
      </c>
      <c r="O1678" s="18">
        <v>44191</v>
      </c>
    </row>
    <row r="1679" spans="1:19" hidden="1" outlineLevel="1">
      <c r="A1679" s="1">
        <v>5</v>
      </c>
      <c r="E1679" s="1" t="s">
        <v>176</v>
      </c>
      <c r="F1679" s="22">
        <v>862531040156375</v>
      </c>
      <c r="M1679" s="2" t="s">
        <v>2238</v>
      </c>
      <c r="N1679" s="2" t="s">
        <v>2217</v>
      </c>
      <c r="O1679" s="18">
        <v>44194</v>
      </c>
    </row>
    <row r="1680" spans="1:19" hidden="1" outlineLevel="1">
      <c r="A1680" s="1">
        <v>6</v>
      </c>
      <c r="E1680" s="1" t="s">
        <v>176</v>
      </c>
      <c r="F1680" s="22">
        <v>866795039976210</v>
      </c>
      <c r="M1680" s="2" t="s">
        <v>2239</v>
      </c>
      <c r="N1680" s="2" t="s">
        <v>2237</v>
      </c>
      <c r="O1680" s="18">
        <v>44193</v>
      </c>
    </row>
    <row r="1681" spans="1:19" hidden="1" outlineLevel="1">
      <c r="A1681" s="1">
        <v>7</v>
      </c>
      <c r="E1681" s="1" t="s">
        <v>176</v>
      </c>
      <c r="F1681" s="22">
        <v>866795039851314</v>
      </c>
      <c r="M1681" s="2" t="s">
        <v>2240</v>
      </c>
      <c r="N1681" s="2" t="s">
        <v>923</v>
      </c>
      <c r="O1681" s="18">
        <v>44216</v>
      </c>
    </row>
    <row r="1682" spans="1:19" hidden="1" outlineLevel="1">
      <c r="A1682" s="1">
        <v>8</v>
      </c>
      <c r="E1682" s="1" t="s">
        <v>176</v>
      </c>
      <c r="F1682" s="22">
        <v>866795039904352</v>
      </c>
      <c r="M1682" s="2">
        <v>866795039904352</v>
      </c>
      <c r="N1682" s="2" t="s">
        <v>2074</v>
      </c>
      <c r="O1682" s="18">
        <v>44182</v>
      </c>
    </row>
    <row r="1683" spans="1:19" hidden="1" outlineLevel="1">
      <c r="A1683" s="1">
        <v>9</v>
      </c>
      <c r="E1683" s="1" t="s">
        <v>176</v>
      </c>
      <c r="F1683" s="22">
        <v>862531040058720</v>
      </c>
      <c r="M1683" s="2" t="s">
        <v>2241</v>
      </c>
      <c r="N1683" s="2" t="s">
        <v>2242</v>
      </c>
      <c r="O1683" s="18">
        <v>44183</v>
      </c>
    </row>
    <row r="1684" spans="1:19" hidden="1" outlineLevel="1">
      <c r="A1684" s="1">
        <v>10</v>
      </c>
      <c r="E1684" s="1" t="s">
        <v>176</v>
      </c>
      <c r="F1684" s="22">
        <v>866795039895691</v>
      </c>
      <c r="M1684" s="2" t="s">
        <v>2243</v>
      </c>
      <c r="N1684" s="2" t="s">
        <v>852</v>
      </c>
      <c r="O1684" s="18">
        <v>44243</v>
      </c>
    </row>
    <row r="1685" spans="1:19" hidden="1" outlineLevel="1">
      <c r="A1685" s="8"/>
      <c r="B1685" s="58"/>
      <c r="C1685" s="159"/>
      <c r="D1685" s="8"/>
      <c r="E1685" s="8"/>
      <c r="F1685" s="9"/>
      <c r="G1685" s="8"/>
      <c r="H1685" s="8"/>
      <c r="I1685" s="8"/>
      <c r="J1685" s="58"/>
      <c r="K1685" s="8"/>
      <c r="L1685" s="58"/>
      <c r="M1685" s="8"/>
      <c r="N1685" s="8"/>
      <c r="O1685" s="58"/>
      <c r="P1685" s="8"/>
      <c r="Q1685" s="8"/>
      <c r="R1685" s="8"/>
      <c r="S1685" s="8"/>
    </row>
    <row r="1686" spans="1:19" hidden="1" outlineLevel="1">
      <c r="A1686" s="1">
        <v>1</v>
      </c>
      <c r="B1686" s="11">
        <v>44168</v>
      </c>
      <c r="C1686" s="160">
        <v>4501</v>
      </c>
      <c r="E1686" s="1" t="s">
        <v>229</v>
      </c>
      <c r="F1686" s="22">
        <v>866795039841778</v>
      </c>
      <c r="M1686" s="2" t="s">
        <v>2244</v>
      </c>
      <c r="N1686" s="2" t="s">
        <v>2245</v>
      </c>
      <c r="O1686" s="18">
        <v>44195</v>
      </c>
    </row>
    <row r="1687" spans="1:19" hidden="1" outlineLevel="1">
      <c r="A1687" s="1">
        <v>2</v>
      </c>
      <c r="E1687" s="1" t="s">
        <v>229</v>
      </c>
      <c r="F1687" s="22">
        <v>866795038284566</v>
      </c>
      <c r="M1687" s="2" t="s">
        <v>2246</v>
      </c>
      <c r="N1687" s="2" t="s">
        <v>2245</v>
      </c>
      <c r="O1687" s="18">
        <v>44195</v>
      </c>
    </row>
    <row r="1688" spans="1:19" hidden="1" outlineLevel="1">
      <c r="A1688" s="1">
        <v>3</v>
      </c>
      <c r="E1688" s="1" t="s">
        <v>229</v>
      </c>
      <c r="F1688" s="22">
        <v>866795038201602</v>
      </c>
      <c r="M1688" s="2" t="s">
        <v>2247</v>
      </c>
      <c r="N1688" s="2" t="s">
        <v>2245</v>
      </c>
      <c r="O1688" s="18">
        <v>44195</v>
      </c>
    </row>
    <row r="1689" spans="1:19" hidden="1" outlineLevel="1">
      <c r="A1689" s="1">
        <v>4</v>
      </c>
      <c r="E1689" s="1" t="s">
        <v>229</v>
      </c>
      <c r="F1689" s="22">
        <v>866795037522487</v>
      </c>
      <c r="M1689" s="2" t="s">
        <v>2248</v>
      </c>
      <c r="N1689" s="2" t="s">
        <v>2249</v>
      </c>
      <c r="O1689" s="18">
        <v>44187</v>
      </c>
    </row>
    <row r="1690" spans="1:19" hidden="1" outlineLevel="1">
      <c r="A1690" s="1">
        <v>5</v>
      </c>
      <c r="E1690" s="1" t="s">
        <v>229</v>
      </c>
      <c r="F1690" s="22">
        <v>866795038359822</v>
      </c>
      <c r="M1690" s="2" t="s">
        <v>2250</v>
      </c>
      <c r="N1690" s="2" t="s">
        <v>2249</v>
      </c>
      <c r="O1690" s="18">
        <v>44187</v>
      </c>
    </row>
    <row r="1691" spans="1:19" hidden="1" outlineLevel="1">
      <c r="A1691" s="1">
        <v>6</v>
      </c>
      <c r="E1691" s="1" t="s">
        <v>229</v>
      </c>
      <c r="F1691" s="22">
        <v>866795037070156</v>
      </c>
      <c r="M1691" s="2" t="s">
        <v>2251</v>
      </c>
      <c r="N1691" s="2" t="s">
        <v>1944</v>
      </c>
      <c r="O1691" s="18">
        <v>44180</v>
      </c>
    </row>
    <row r="1692" spans="1:19" hidden="1" outlineLevel="1">
      <c r="A1692" s="1">
        <v>7</v>
      </c>
      <c r="E1692" s="1" t="s">
        <v>229</v>
      </c>
      <c r="F1692" s="22">
        <v>866795037522255</v>
      </c>
      <c r="M1692" s="2" t="s">
        <v>2252</v>
      </c>
      <c r="N1692" s="2" t="s">
        <v>1944</v>
      </c>
      <c r="O1692" s="18">
        <v>44181</v>
      </c>
    </row>
    <row r="1693" spans="1:19" hidden="1" outlineLevel="1">
      <c r="A1693" s="1">
        <v>8</v>
      </c>
      <c r="E1693" s="1" t="s">
        <v>229</v>
      </c>
      <c r="F1693" s="22">
        <v>866795038201594</v>
      </c>
      <c r="M1693" s="2" t="s">
        <v>2253</v>
      </c>
      <c r="N1693" s="2" t="s">
        <v>2245</v>
      </c>
      <c r="O1693" s="18">
        <v>44195</v>
      </c>
    </row>
    <row r="1694" spans="1:19" hidden="1" outlineLevel="1">
      <c r="A1694" s="1">
        <v>9</v>
      </c>
      <c r="E1694" s="1" t="s">
        <v>229</v>
      </c>
      <c r="F1694" s="22">
        <v>866795037069976</v>
      </c>
      <c r="M1694" s="2" t="s">
        <v>2254</v>
      </c>
      <c r="N1694" s="2" t="s">
        <v>1944</v>
      </c>
      <c r="O1694" s="18">
        <v>44182</v>
      </c>
    </row>
    <row r="1695" spans="1:19" hidden="1" outlineLevel="1">
      <c r="A1695" s="1">
        <v>10</v>
      </c>
      <c r="E1695" s="1" t="s">
        <v>229</v>
      </c>
      <c r="F1695" s="22">
        <v>866795038121503</v>
      </c>
      <c r="M1695" s="2" t="s">
        <v>2255</v>
      </c>
      <c r="N1695" s="2" t="s">
        <v>1623</v>
      </c>
      <c r="O1695" s="18">
        <v>40871</v>
      </c>
      <c r="S1695" s="1" t="s">
        <v>646</v>
      </c>
    </row>
    <row r="1696" spans="1:19" hidden="1" outlineLevel="1">
      <c r="A1696" s="8"/>
      <c r="B1696" s="58"/>
      <c r="C1696" s="159"/>
      <c r="D1696" s="8"/>
      <c r="E1696" s="8"/>
      <c r="F1696" s="9"/>
      <c r="G1696" s="8"/>
      <c r="H1696" s="8"/>
      <c r="I1696" s="8"/>
      <c r="J1696" s="58"/>
      <c r="K1696" s="8"/>
      <c r="L1696" s="58"/>
      <c r="M1696" s="8"/>
      <c r="N1696" s="8"/>
      <c r="O1696" s="58"/>
      <c r="P1696" s="8"/>
      <c r="Q1696" s="8"/>
      <c r="R1696" s="8"/>
      <c r="S1696" s="8"/>
    </row>
    <row r="1697" spans="1:15" hidden="1" outlineLevel="1">
      <c r="A1697" s="1">
        <v>1</v>
      </c>
      <c r="B1697" s="11">
        <v>44168</v>
      </c>
      <c r="C1697" s="160">
        <v>4503</v>
      </c>
      <c r="E1697" s="1" t="s">
        <v>229</v>
      </c>
      <c r="F1697" s="22">
        <v>866795037477187</v>
      </c>
      <c r="M1697" s="2" t="s">
        <v>2256</v>
      </c>
      <c r="N1697" s="2" t="s">
        <v>2257</v>
      </c>
      <c r="O1697" s="18">
        <v>44180</v>
      </c>
    </row>
    <row r="1698" spans="1:15" hidden="1" outlineLevel="1">
      <c r="A1698" s="1">
        <v>2</v>
      </c>
      <c r="E1698" s="1" t="s">
        <v>229</v>
      </c>
      <c r="F1698" s="22">
        <v>866795038346431</v>
      </c>
      <c r="M1698" s="2" t="s">
        <v>2258</v>
      </c>
      <c r="N1698" s="2" t="s">
        <v>2257</v>
      </c>
      <c r="O1698" s="18">
        <v>44180</v>
      </c>
    </row>
    <row r="1699" spans="1:15" hidden="1" outlineLevel="1">
      <c r="A1699" s="1">
        <v>3</v>
      </c>
      <c r="E1699" s="1" t="s">
        <v>229</v>
      </c>
      <c r="F1699" s="22">
        <v>866795038361505</v>
      </c>
      <c r="M1699" s="2" t="s">
        <v>2259</v>
      </c>
      <c r="N1699" s="2" t="s">
        <v>2257</v>
      </c>
      <c r="O1699" s="18">
        <v>44180</v>
      </c>
    </row>
    <row r="1700" spans="1:15" hidden="1" outlineLevel="1">
      <c r="A1700" s="1">
        <v>4</v>
      </c>
      <c r="E1700" s="1" t="s">
        <v>229</v>
      </c>
      <c r="F1700" s="22">
        <v>862531040058506</v>
      </c>
      <c r="M1700" s="2" t="s">
        <v>2260</v>
      </c>
      <c r="N1700" s="2" t="s">
        <v>2257</v>
      </c>
      <c r="O1700" s="18">
        <v>44180</v>
      </c>
    </row>
    <row r="1701" spans="1:15" hidden="1" outlineLevel="1">
      <c r="A1701" s="1">
        <v>5</v>
      </c>
      <c r="E1701" s="1" t="s">
        <v>229</v>
      </c>
      <c r="F1701" s="22">
        <v>866795039963408</v>
      </c>
      <c r="M1701" s="2" t="s">
        <v>2261</v>
      </c>
      <c r="N1701" s="2" t="s">
        <v>2257</v>
      </c>
      <c r="O1701" s="18">
        <v>44180</v>
      </c>
    </row>
    <row r="1702" spans="1:15" hidden="1" outlineLevel="1">
      <c r="A1702" s="1">
        <v>6</v>
      </c>
      <c r="E1702" s="1" t="s">
        <v>229</v>
      </c>
      <c r="F1702" s="22">
        <v>866795039848526</v>
      </c>
      <c r="M1702" s="2" t="s">
        <v>2262</v>
      </c>
      <c r="N1702" s="2" t="s">
        <v>2257</v>
      </c>
      <c r="O1702" s="18">
        <v>44180</v>
      </c>
    </row>
    <row r="1703" spans="1:15" hidden="1" outlineLevel="1">
      <c r="A1703" s="1">
        <v>7</v>
      </c>
      <c r="E1703" s="1" t="s">
        <v>229</v>
      </c>
      <c r="F1703" s="22">
        <v>866795037481098</v>
      </c>
      <c r="M1703" s="2" t="s">
        <v>2263</v>
      </c>
      <c r="N1703" s="2" t="s">
        <v>2257</v>
      </c>
      <c r="O1703" s="18">
        <v>44180</v>
      </c>
    </row>
    <row r="1704" spans="1:15" hidden="1" outlineLevel="1">
      <c r="A1704" s="1">
        <v>8</v>
      </c>
      <c r="E1704" s="1" t="s">
        <v>229</v>
      </c>
      <c r="F1704" s="22">
        <v>866795039980345</v>
      </c>
      <c r="M1704" s="2" t="s">
        <v>2264</v>
      </c>
      <c r="N1704" s="2" t="s">
        <v>2257</v>
      </c>
      <c r="O1704" s="18">
        <v>44179</v>
      </c>
    </row>
    <row r="1705" spans="1:15" hidden="1" outlineLevel="1">
      <c r="A1705" s="1">
        <v>9</v>
      </c>
      <c r="E1705" s="1" t="s">
        <v>229</v>
      </c>
      <c r="F1705" s="22">
        <v>866795039922123</v>
      </c>
      <c r="M1705" s="2" t="s">
        <v>2265</v>
      </c>
      <c r="N1705" s="2" t="s">
        <v>2257</v>
      </c>
      <c r="O1705" s="18">
        <v>44179</v>
      </c>
    </row>
    <row r="1706" spans="1:15" hidden="1" outlineLevel="1">
      <c r="A1706" s="1">
        <v>10</v>
      </c>
      <c r="E1706" s="1" t="s">
        <v>229</v>
      </c>
      <c r="F1706" s="22">
        <v>866795036155925</v>
      </c>
      <c r="M1706" s="2" t="s">
        <v>2266</v>
      </c>
      <c r="N1706" s="2" t="s">
        <v>2257</v>
      </c>
      <c r="O1706" s="18">
        <v>44179</v>
      </c>
    </row>
    <row r="1707" spans="1:15" hidden="1" outlineLevel="1">
      <c r="A1707" s="1">
        <v>11</v>
      </c>
      <c r="E1707" s="1" t="s">
        <v>229</v>
      </c>
      <c r="F1707" s="22">
        <v>866795039963283</v>
      </c>
      <c r="M1707" s="2" t="s">
        <v>2267</v>
      </c>
      <c r="N1707" s="2" t="s">
        <v>2257</v>
      </c>
      <c r="O1707" s="18">
        <v>44179</v>
      </c>
    </row>
    <row r="1708" spans="1:15" hidden="1" outlineLevel="1">
      <c r="A1708" s="1">
        <v>12</v>
      </c>
      <c r="E1708" s="1" t="s">
        <v>229</v>
      </c>
      <c r="F1708" s="22">
        <v>866795039842057</v>
      </c>
      <c r="M1708" s="2" t="s">
        <v>2268</v>
      </c>
      <c r="N1708" s="2" t="s">
        <v>2257</v>
      </c>
      <c r="O1708" s="18">
        <v>44179</v>
      </c>
    </row>
    <row r="1709" spans="1:15" hidden="1" outlineLevel="1">
      <c r="A1709" s="1">
        <v>13</v>
      </c>
      <c r="E1709" s="1" t="s">
        <v>229</v>
      </c>
      <c r="F1709" s="22">
        <v>866795039844301</v>
      </c>
      <c r="M1709" s="2" t="s">
        <v>2269</v>
      </c>
      <c r="N1709" s="2" t="s">
        <v>2257</v>
      </c>
      <c r="O1709" s="18">
        <v>44179</v>
      </c>
    </row>
    <row r="1710" spans="1:15" hidden="1" outlineLevel="1">
      <c r="A1710" s="1">
        <v>14</v>
      </c>
      <c r="E1710" s="1" t="s">
        <v>229</v>
      </c>
      <c r="F1710" s="22">
        <v>866795039842891</v>
      </c>
      <c r="M1710" s="2" t="s">
        <v>2270</v>
      </c>
      <c r="N1710" s="2" t="s">
        <v>2257</v>
      </c>
      <c r="O1710" s="18">
        <v>44179</v>
      </c>
    </row>
    <row r="1711" spans="1:15" hidden="1" outlineLevel="1">
      <c r="A1711" s="1">
        <v>15</v>
      </c>
      <c r="E1711" s="1" t="s">
        <v>229</v>
      </c>
      <c r="F1711" s="22">
        <v>866795039862956</v>
      </c>
      <c r="M1711" s="2" t="s">
        <v>2271</v>
      </c>
      <c r="N1711" s="2" t="s">
        <v>2257</v>
      </c>
      <c r="O1711" s="18">
        <v>44179</v>
      </c>
    </row>
    <row r="1712" spans="1:15" hidden="1" outlineLevel="1">
      <c r="A1712" s="1">
        <v>16</v>
      </c>
      <c r="E1712" s="1" t="s">
        <v>229</v>
      </c>
      <c r="F1712" s="22">
        <v>866795037470596</v>
      </c>
      <c r="M1712" s="2" t="s">
        <v>2272</v>
      </c>
      <c r="N1712" s="2" t="s">
        <v>2257</v>
      </c>
      <c r="O1712" s="18">
        <v>44179</v>
      </c>
    </row>
    <row r="1713" spans="1:15" hidden="1" outlineLevel="1">
      <c r="A1713" s="1">
        <v>17</v>
      </c>
      <c r="E1713" s="1" t="s">
        <v>229</v>
      </c>
      <c r="F1713" s="22">
        <v>866795037471883</v>
      </c>
      <c r="M1713" s="2" t="s">
        <v>2273</v>
      </c>
      <c r="N1713" s="2" t="s">
        <v>2257</v>
      </c>
      <c r="O1713" s="18">
        <v>44179</v>
      </c>
    </row>
    <row r="1714" spans="1:15" hidden="1" outlineLevel="1">
      <c r="A1714" s="1">
        <v>18</v>
      </c>
      <c r="E1714" s="1" t="s">
        <v>229</v>
      </c>
      <c r="F1714" s="22">
        <v>866795038286645</v>
      </c>
      <c r="M1714" s="2" t="s">
        <v>2274</v>
      </c>
      <c r="N1714" s="2" t="s">
        <v>2257</v>
      </c>
      <c r="O1714" s="18">
        <v>44179</v>
      </c>
    </row>
    <row r="1715" spans="1:15" hidden="1" outlineLevel="1">
      <c r="A1715" s="1">
        <v>19</v>
      </c>
      <c r="E1715" s="1" t="s">
        <v>229</v>
      </c>
      <c r="F1715" s="22">
        <v>862531042181769</v>
      </c>
      <c r="M1715" s="2" t="s">
        <v>2275</v>
      </c>
      <c r="N1715" s="2" t="s">
        <v>2257</v>
      </c>
      <c r="O1715" s="18">
        <v>44181</v>
      </c>
    </row>
    <row r="1716" spans="1:15" hidden="1" outlineLevel="1">
      <c r="A1716" s="1">
        <v>20</v>
      </c>
      <c r="E1716" s="1" t="s">
        <v>229</v>
      </c>
      <c r="F1716" s="22">
        <v>866795037499884</v>
      </c>
      <c r="M1716" s="2" t="s">
        <v>2276</v>
      </c>
      <c r="N1716" s="2" t="s">
        <v>2257</v>
      </c>
      <c r="O1716" s="18">
        <v>44180</v>
      </c>
    </row>
    <row r="1717" spans="1:15" hidden="1" outlineLevel="1">
      <c r="A1717" s="1">
        <v>21</v>
      </c>
      <c r="E1717" s="1" t="s">
        <v>229</v>
      </c>
      <c r="F1717" s="22">
        <v>866795038357792</v>
      </c>
      <c r="M1717" s="2" t="s">
        <v>2277</v>
      </c>
      <c r="N1717" s="2" t="s">
        <v>2257</v>
      </c>
      <c r="O1717" s="18">
        <v>44081</v>
      </c>
    </row>
    <row r="1718" spans="1:15" hidden="1" outlineLevel="1">
      <c r="A1718" s="1">
        <v>22</v>
      </c>
      <c r="E1718" s="1" t="s">
        <v>229</v>
      </c>
      <c r="F1718" s="22">
        <v>866795037468384</v>
      </c>
      <c r="M1718" s="2" t="s">
        <v>2278</v>
      </c>
      <c r="N1718" s="2" t="s">
        <v>2257</v>
      </c>
      <c r="O1718" s="18">
        <v>44181</v>
      </c>
    </row>
    <row r="1719" spans="1:15" hidden="1" outlineLevel="1">
      <c r="A1719" s="1">
        <v>23</v>
      </c>
      <c r="E1719" s="1" t="s">
        <v>229</v>
      </c>
      <c r="F1719" s="22">
        <v>866795038233241</v>
      </c>
      <c r="M1719" s="2" t="s">
        <v>2279</v>
      </c>
      <c r="N1719" s="2" t="s">
        <v>2257</v>
      </c>
      <c r="O1719" s="18">
        <v>44182</v>
      </c>
    </row>
    <row r="1720" spans="1:15" hidden="1" outlineLevel="1">
      <c r="A1720" s="1">
        <v>24</v>
      </c>
      <c r="E1720" s="1" t="s">
        <v>229</v>
      </c>
      <c r="F1720" s="22">
        <v>866795038296818</v>
      </c>
      <c r="M1720" s="2" t="s">
        <v>2280</v>
      </c>
      <c r="N1720" s="2" t="s">
        <v>2257</v>
      </c>
      <c r="O1720" s="18">
        <v>44182</v>
      </c>
    </row>
    <row r="1721" spans="1:15" hidden="1" outlineLevel="1">
      <c r="A1721" s="1">
        <v>25</v>
      </c>
      <c r="E1721" s="1" t="s">
        <v>229</v>
      </c>
      <c r="F1721" s="22">
        <v>866795037658695</v>
      </c>
      <c r="M1721" s="2" t="s">
        <v>2281</v>
      </c>
      <c r="N1721" s="2" t="s">
        <v>2257</v>
      </c>
      <c r="O1721" s="18">
        <v>44180</v>
      </c>
    </row>
    <row r="1722" spans="1:15" hidden="1" outlineLevel="1">
      <c r="A1722" s="1">
        <v>26</v>
      </c>
      <c r="E1722" s="1" t="s">
        <v>229</v>
      </c>
      <c r="F1722" s="22">
        <v>866795038327985</v>
      </c>
      <c r="M1722" s="2" t="s">
        <v>2282</v>
      </c>
      <c r="N1722" s="2" t="s">
        <v>2257</v>
      </c>
      <c r="O1722" s="18">
        <v>44181</v>
      </c>
    </row>
    <row r="1723" spans="1:15" hidden="1" outlineLevel="1">
      <c r="A1723" s="1">
        <v>27</v>
      </c>
      <c r="E1723" s="1" t="s">
        <v>229</v>
      </c>
      <c r="F1723" s="22">
        <v>866795038286900</v>
      </c>
      <c r="M1723" s="2" t="s">
        <v>2283</v>
      </c>
      <c r="N1723" s="2" t="s">
        <v>2257</v>
      </c>
      <c r="O1723" s="18">
        <v>44181</v>
      </c>
    </row>
    <row r="1724" spans="1:15" hidden="1" outlineLevel="1">
      <c r="A1724" s="1">
        <v>28</v>
      </c>
      <c r="E1724" s="1" t="s">
        <v>229</v>
      </c>
      <c r="F1724" s="22">
        <v>866795037470448</v>
      </c>
      <c r="M1724" s="2" t="s">
        <v>2284</v>
      </c>
      <c r="N1724" s="2" t="s">
        <v>2257</v>
      </c>
      <c r="O1724" s="18">
        <v>44182</v>
      </c>
    </row>
    <row r="1725" spans="1:15" hidden="1" outlineLevel="1">
      <c r="A1725" s="1">
        <v>29</v>
      </c>
      <c r="E1725" s="1" t="s">
        <v>229</v>
      </c>
      <c r="F1725" s="22">
        <v>866795038287171</v>
      </c>
      <c r="M1725" s="2" t="s">
        <v>2285</v>
      </c>
      <c r="N1725" s="2" t="s">
        <v>2257</v>
      </c>
      <c r="O1725" s="18">
        <v>44179</v>
      </c>
    </row>
    <row r="1726" spans="1:15" hidden="1" outlineLevel="1">
      <c r="A1726" s="1">
        <v>30</v>
      </c>
      <c r="E1726" s="1" t="s">
        <v>229</v>
      </c>
      <c r="F1726" s="22">
        <v>866795038354641</v>
      </c>
      <c r="M1726" s="2" t="s">
        <v>2286</v>
      </c>
      <c r="N1726" s="2" t="s">
        <v>2257</v>
      </c>
      <c r="O1726" s="18">
        <v>44180</v>
      </c>
    </row>
    <row r="1727" spans="1:15" hidden="1" outlineLevel="1">
      <c r="A1727" s="1">
        <v>31</v>
      </c>
      <c r="E1727" s="1" t="s">
        <v>229</v>
      </c>
      <c r="F1727" s="22">
        <v>866795037623376</v>
      </c>
      <c r="M1727" s="2" t="s">
        <v>2287</v>
      </c>
      <c r="N1727" s="2" t="s">
        <v>2257</v>
      </c>
      <c r="O1727" s="18">
        <v>44183</v>
      </c>
    </row>
    <row r="1728" spans="1:15" hidden="1" outlineLevel="1">
      <c r="A1728" s="1">
        <v>32</v>
      </c>
      <c r="E1728" s="1" t="s">
        <v>229</v>
      </c>
      <c r="F1728" s="22">
        <v>862531040079361</v>
      </c>
      <c r="M1728" s="2" t="s">
        <v>2288</v>
      </c>
      <c r="N1728" s="2" t="s">
        <v>2257</v>
      </c>
      <c r="O1728" s="18">
        <v>44183</v>
      </c>
    </row>
    <row r="1729" spans="1:15" hidden="1" outlineLevel="1">
      <c r="A1729" s="1">
        <v>33</v>
      </c>
      <c r="E1729" s="1" t="s">
        <v>229</v>
      </c>
      <c r="F1729" s="22">
        <v>862531040063423</v>
      </c>
      <c r="M1729" s="2" t="s">
        <v>2289</v>
      </c>
      <c r="N1729" s="2" t="s">
        <v>2257</v>
      </c>
      <c r="O1729" s="18">
        <v>44182</v>
      </c>
    </row>
    <row r="1730" spans="1:15" hidden="1" outlineLevel="1">
      <c r="A1730" s="1">
        <v>34</v>
      </c>
      <c r="E1730" s="1" t="s">
        <v>229</v>
      </c>
      <c r="F1730" s="22">
        <v>866795038351399</v>
      </c>
      <c r="M1730" s="2" t="s">
        <v>2290</v>
      </c>
      <c r="N1730" s="2" t="s">
        <v>2257</v>
      </c>
      <c r="O1730" s="18">
        <v>44180</v>
      </c>
    </row>
    <row r="1731" spans="1:15" hidden="1" outlineLevel="1">
      <c r="A1731" s="1">
        <v>35</v>
      </c>
      <c r="E1731" s="1" t="s">
        <v>229</v>
      </c>
      <c r="F1731" s="22">
        <v>862531040000607</v>
      </c>
      <c r="M1731" s="2" t="s">
        <v>2291</v>
      </c>
      <c r="N1731" s="2" t="s">
        <v>2257</v>
      </c>
      <c r="O1731" s="18">
        <v>44180</v>
      </c>
    </row>
    <row r="1732" spans="1:15" hidden="1" outlineLevel="1">
      <c r="A1732" s="1">
        <v>36</v>
      </c>
      <c r="E1732" s="1" t="s">
        <v>229</v>
      </c>
      <c r="F1732" s="22">
        <v>866795037662705</v>
      </c>
      <c r="M1732" s="2" t="s">
        <v>2292</v>
      </c>
      <c r="N1732" s="2" t="s">
        <v>2257</v>
      </c>
      <c r="O1732" s="18">
        <v>44181</v>
      </c>
    </row>
    <row r="1733" spans="1:15" hidden="1" outlineLevel="1">
      <c r="A1733" s="1">
        <v>37</v>
      </c>
      <c r="E1733" s="1" t="s">
        <v>229</v>
      </c>
      <c r="F1733" s="22">
        <v>866795038286603</v>
      </c>
      <c r="M1733" s="2" t="s">
        <v>2293</v>
      </c>
      <c r="N1733" s="2" t="s">
        <v>2257</v>
      </c>
      <c r="O1733" s="18">
        <v>44182</v>
      </c>
    </row>
    <row r="1734" spans="1:15" hidden="1" outlineLevel="1">
      <c r="A1734" s="1">
        <v>38</v>
      </c>
      <c r="E1734" s="1" t="s">
        <v>229</v>
      </c>
      <c r="F1734" s="22">
        <v>866795038368765</v>
      </c>
      <c r="M1734" s="2" t="s">
        <v>2294</v>
      </c>
      <c r="N1734" s="2" t="s">
        <v>2257</v>
      </c>
      <c r="O1734" s="18">
        <v>44181</v>
      </c>
    </row>
    <row r="1735" spans="1:15" hidden="1" outlineLevel="1">
      <c r="A1735" s="1">
        <v>39</v>
      </c>
      <c r="E1735" s="1" t="s">
        <v>229</v>
      </c>
      <c r="F1735" s="22">
        <v>866795038349997</v>
      </c>
      <c r="M1735" s="2" t="s">
        <v>2295</v>
      </c>
      <c r="N1735" s="2" t="s">
        <v>2257</v>
      </c>
      <c r="O1735" s="18">
        <v>44182</v>
      </c>
    </row>
    <row r="1736" spans="1:15" hidden="1" outlineLevel="1">
      <c r="A1736" s="1">
        <v>40</v>
      </c>
      <c r="E1736" s="1" t="s">
        <v>229</v>
      </c>
      <c r="F1736" s="22">
        <v>866795038359038</v>
      </c>
      <c r="M1736" s="2" t="s">
        <v>2296</v>
      </c>
      <c r="N1736" s="2" t="s">
        <v>2257</v>
      </c>
      <c r="O1736" s="18">
        <v>44182</v>
      </c>
    </row>
    <row r="1737" spans="1:15" hidden="1" outlineLevel="1">
      <c r="A1737" s="1">
        <v>41</v>
      </c>
      <c r="E1737" s="1" t="s">
        <v>229</v>
      </c>
      <c r="F1737" s="22">
        <v>866795038305619</v>
      </c>
      <c r="M1737" s="2" t="s">
        <v>2297</v>
      </c>
      <c r="N1737" s="2" t="s">
        <v>2257</v>
      </c>
      <c r="O1737" s="18">
        <v>44182</v>
      </c>
    </row>
    <row r="1738" spans="1:15" hidden="1" outlineLevel="1">
      <c r="A1738" s="1">
        <v>42</v>
      </c>
      <c r="E1738" s="1" t="s">
        <v>229</v>
      </c>
      <c r="F1738" s="22">
        <v>866795037471834</v>
      </c>
      <c r="M1738" s="2" t="s">
        <v>2298</v>
      </c>
      <c r="N1738" s="2" t="s">
        <v>2257</v>
      </c>
      <c r="O1738" s="18">
        <v>44182</v>
      </c>
    </row>
    <row r="1739" spans="1:15" hidden="1" outlineLevel="1">
      <c r="A1739" s="1">
        <v>43</v>
      </c>
      <c r="E1739" s="1" t="s">
        <v>229</v>
      </c>
      <c r="F1739" s="22">
        <v>866795038286413</v>
      </c>
      <c r="M1739" s="2" t="s">
        <v>2299</v>
      </c>
      <c r="N1739" s="2" t="s">
        <v>2257</v>
      </c>
      <c r="O1739" s="18">
        <v>44181</v>
      </c>
    </row>
    <row r="1740" spans="1:15" hidden="1" outlineLevel="1">
      <c r="A1740" s="1">
        <v>44</v>
      </c>
      <c r="E1740" s="1" t="s">
        <v>229</v>
      </c>
      <c r="F1740" s="22">
        <v>866795038311450</v>
      </c>
      <c r="M1740" s="2" t="s">
        <v>2300</v>
      </c>
      <c r="N1740" s="2" t="s">
        <v>2257</v>
      </c>
      <c r="O1740" s="18">
        <v>44181</v>
      </c>
    </row>
    <row r="1741" spans="1:15" hidden="1" outlineLevel="1">
      <c r="A1741" s="1">
        <v>45</v>
      </c>
      <c r="E1741" s="1" t="s">
        <v>229</v>
      </c>
      <c r="F1741" s="22">
        <v>866795037469606</v>
      </c>
      <c r="M1741" s="2" t="s">
        <v>2301</v>
      </c>
      <c r="N1741" s="2" t="s">
        <v>2257</v>
      </c>
      <c r="O1741" s="18">
        <v>44181</v>
      </c>
    </row>
    <row r="1742" spans="1:15" hidden="1" outlineLevel="1">
      <c r="A1742" s="1">
        <v>46</v>
      </c>
      <c r="E1742" s="1" t="s">
        <v>229</v>
      </c>
      <c r="F1742" s="22">
        <v>866795037470208</v>
      </c>
      <c r="M1742" s="2" t="s">
        <v>2302</v>
      </c>
      <c r="N1742" s="2" t="s">
        <v>2257</v>
      </c>
      <c r="O1742" s="18">
        <v>44181</v>
      </c>
    </row>
    <row r="1743" spans="1:15" hidden="1" outlineLevel="1">
      <c r="A1743" s="1">
        <v>47</v>
      </c>
      <c r="E1743" s="1" t="s">
        <v>229</v>
      </c>
      <c r="F1743" s="22">
        <v>866795038289318</v>
      </c>
      <c r="M1743" s="2" t="s">
        <v>2303</v>
      </c>
      <c r="N1743" s="2" t="s">
        <v>2257</v>
      </c>
      <c r="O1743" s="18">
        <v>44183</v>
      </c>
    </row>
    <row r="1744" spans="1:15" hidden="1" outlineLevel="1">
      <c r="A1744" s="1">
        <v>48</v>
      </c>
      <c r="E1744" s="1" t="s">
        <v>229</v>
      </c>
      <c r="F1744" s="22">
        <v>866795036112751</v>
      </c>
      <c r="M1744" s="2" t="s">
        <v>2304</v>
      </c>
      <c r="N1744" s="2" t="s">
        <v>2257</v>
      </c>
      <c r="O1744" s="18">
        <v>44183</v>
      </c>
    </row>
    <row r="1745" spans="1:19" hidden="1" outlineLevel="1">
      <c r="A1745" s="1">
        <v>49</v>
      </c>
      <c r="E1745" s="1" t="s">
        <v>229</v>
      </c>
      <c r="F1745" s="22">
        <v>866795038326714</v>
      </c>
      <c r="M1745" s="2" t="s">
        <v>2305</v>
      </c>
      <c r="N1745" s="2" t="s">
        <v>2257</v>
      </c>
      <c r="O1745" s="18">
        <v>44183</v>
      </c>
    </row>
    <row r="1746" spans="1:19" hidden="1" outlineLevel="1">
      <c r="A1746" s="1">
        <v>50</v>
      </c>
      <c r="E1746" s="1" t="s">
        <v>229</v>
      </c>
      <c r="F1746" s="22">
        <v>866795038327035</v>
      </c>
      <c r="M1746" s="2" t="s">
        <v>2306</v>
      </c>
      <c r="N1746" s="2" t="s">
        <v>2257</v>
      </c>
      <c r="O1746" s="18">
        <v>44183</v>
      </c>
    </row>
    <row r="1747" spans="1:19" hidden="1" outlineLevel="1">
      <c r="A1747" s="1">
        <v>51</v>
      </c>
      <c r="E1747" s="1" t="s">
        <v>229</v>
      </c>
      <c r="F1747" s="22">
        <v>866795038286967</v>
      </c>
      <c r="M1747" s="2" t="s">
        <v>2307</v>
      </c>
      <c r="N1747" s="2" t="s">
        <v>2257</v>
      </c>
      <c r="O1747" s="18">
        <v>44182</v>
      </c>
    </row>
    <row r="1748" spans="1:19" hidden="1" outlineLevel="1">
      <c r="A1748" s="1">
        <v>52</v>
      </c>
      <c r="E1748" s="1" t="s">
        <v>229</v>
      </c>
      <c r="F1748" s="22">
        <v>866795037481619</v>
      </c>
      <c r="M1748" s="2" t="s">
        <v>2308</v>
      </c>
      <c r="N1748" s="2" t="s">
        <v>2257</v>
      </c>
      <c r="O1748" s="18">
        <v>44182</v>
      </c>
    </row>
    <row r="1749" spans="1:19" hidden="1" outlineLevel="1">
      <c r="A1749" s="1">
        <v>53</v>
      </c>
      <c r="E1749" s="1" t="s">
        <v>229</v>
      </c>
      <c r="F1749" s="22">
        <v>866795038371272</v>
      </c>
      <c r="M1749" s="2" t="s">
        <v>2309</v>
      </c>
      <c r="N1749" s="2" t="s">
        <v>2257</v>
      </c>
      <c r="O1749" s="18">
        <v>44181</v>
      </c>
    </row>
    <row r="1750" spans="1:19" hidden="1" outlineLevel="1">
      <c r="A1750" s="1">
        <v>54</v>
      </c>
      <c r="E1750" s="1" t="s">
        <v>229</v>
      </c>
      <c r="F1750" s="22">
        <v>866795038121222</v>
      </c>
      <c r="M1750" s="2" t="s">
        <v>2310</v>
      </c>
      <c r="N1750" s="2" t="s">
        <v>2257</v>
      </c>
      <c r="O1750" s="18">
        <v>44182</v>
      </c>
    </row>
    <row r="1751" spans="1:19" hidden="1" outlineLevel="1">
      <c r="A1751" s="1">
        <v>55</v>
      </c>
      <c r="E1751" s="1" t="s">
        <v>229</v>
      </c>
      <c r="F1751" s="22">
        <v>866795038263966</v>
      </c>
      <c r="M1751" s="2" t="s">
        <v>2311</v>
      </c>
      <c r="N1751" s="2" t="s">
        <v>2257</v>
      </c>
      <c r="O1751" s="18">
        <v>44183</v>
      </c>
    </row>
    <row r="1752" spans="1:19" hidden="1" outlineLevel="1">
      <c r="A1752" s="8"/>
      <c r="B1752" s="58"/>
      <c r="C1752" s="159"/>
      <c r="D1752" s="8"/>
      <c r="E1752" s="8"/>
      <c r="F1752" s="9"/>
      <c r="G1752" s="8"/>
      <c r="H1752" s="8"/>
      <c r="I1752" s="8"/>
      <c r="J1752" s="58"/>
      <c r="K1752" s="8"/>
      <c r="L1752" s="58"/>
      <c r="M1752" s="8"/>
      <c r="N1752" s="8"/>
      <c r="O1752" s="58"/>
      <c r="P1752" s="8"/>
      <c r="Q1752" s="8"/>
      <c r="R1752" s="8"/>
      <c r="S1752" s="8"/>
    </row>
    <row r="1753" spans="1:19" hidden="1" outlineLevel="1">
      <c r="A1753" s="1">
        <v>1</v>
      </c>
      <c r="B1753" s="11">
        <v>44182</v>
      </c>
      <c r="C1753" s="160">
        <v>1068</v>
      </c>
      <c r="E1753" s="1" t="s">
        <v>624</v>
      </c>
      <c r="F1753" s="22">
        <v>2125364</v>
      </c>
    </row>
    <row r="1754" spans="1:19" hidden="1" outlineLevel="1">
      <c r="A1754" s="8"/>
      <c r="B1754" s="58"/>
      <c r="C1754" s="159"/>
      <c r="D1754" s="8"/>
      <c r="E1754" s="8"/>
      <c r="F1754" s="9"/>
      <c r="G1754" s="8"/>
      <c r="H1754" s="8"/>
      <c r="I1754" s="8"/>
      <c r="J1754" s="58"/>
      <c r="K1754" s="8"/>
      <c r="L1754" s="58"/>
      <c r="M1754" s="8"/>
      <c r="N1754" s="8"/>
      <c r="O1754" s="58"/>
      <c r="P1754" s="8"/>
      <c r="Q1754" s="8"/>
      <c r="R1754" s="8"/>
      <c r="S1754" s="8"/>
    </row>
    <row r="1755" spans="1:19" hidden="1" outlineLevel="1">
      <c r="A1755" s="8">
        <v>1</v>
      </c>
      <c r="B1755" s="58">
        <v>44186</v>
      </c>
      <c r="C1755" s="159">
        <v>4820</v>
      </c>
      <c r="D1755" s="8"/>
      <c r="E1755" s="8" t="s">
        <v>313</v>
      </c>
      <c r="F1755" s="9"/>
      <c r="G1755" s="8"/>
      <c r="H1755" s="8"/>
      <c r="I1755" s="8"/>
      <c r="J1755" s="58"/>
      <c r="K1755" s="8"/>
      <c r="L1755" s="58"/>
      <c r="M1755" s="8"/>
      <c r="N1755" s="8"/>
      <c r="O1755" s="58"/>
      <c r="P1755" s="8"/>
      <c r="Q1755" s="8"/>
      <c r="R1755" s="8"/>
      <c r="S1755" s="8"/>
    </row>
    <row r="1756" spans="1:19" hidden="1" outlineLevel="1">
      <c r="A1756" s="8"/>
      <c r="B1756" s="58"/>
      <c r="C1756" s="159"/>
      <c r="D1756" s="8"/>
      <c r="E1756" s="8"/>
      <c r="F1756" s="9"/>
      <c r="G1756" s="8"/>
      <c r="H1756" s="8"/>
      <c r="I1756" s="8"/>
      <c r="J1756" s="58"/>
      <c r="K1756" s="8"/>
      <c r="L1756" s="58"/>
      <c r="M1756" s="8"/>
      <c r="N1756" s="8"/>
      <c r="O1756" s="58"/>
      <c r="P1756" s="8"/>
      <c r="Q1756" s="8"/>
      <c r="R1756" s="8"/>
      <c r="S1756" s="8"/>
    </row>
    <row r="1757" spans="1:19" hidden="1" outlineLevel="1">
      <c r="A1757" s="1">
        <v>1</v>
      </c>
      <c r="B1757" s="11">
        <v>44194</v>
      </c>
      <c r="C1757" s="160">
        <v>4888</v>
      </c>
      <c r="E1757" s="1" t="s">
        <v>176</v>
      </c>
      <c r="F1757" s="22">
        <v>866795039919244</v>
      </c>
      <c r="M1757" s="2" t="s">
        <v>2312</v>
      </c>
      <c r="N1757" s="2" t="s">
        <v>2313</v>
      </c>
      <c r="O1757" s="18">
        <v>44215</v>
      </c>
      <c r="S1757" s="1" t="s">
        <v>655</v>
      </c>
    </row>
    <row r="1758" spans="1:19" hidden="1" outlineLevel="1">
      <c r="A1758" s="1">
        <v>2</v>
      </c>
      <c r="E1758" s="1" t="s">
        <v>176</v>
      </c>
      <c r="F1758" s="22">
        <v>866795039937311</v>
      </c>
      <c r="M1758" s="2" t="s">
        <v>2314</v>
      </c>
      <c r="N1758" s="2" t="s">
        <v>2315</v>
      </c>
      <c r="O1758" s="18">
        <v>44218</v>
      </c>
      <c r="S1758" s="1" t="s">
        <v>656</v>
      </c>
    </row>
    <row r="1759" spans="1:19" hidden="1" outlineLevel="1">
      <c r="A1759" s="1">
        <v>3</v>
      </c>
      <c r="E1759" s="1" t="s">
        <v>176</v>
      </c>
      <c r="F1759" s="22">
        <v>866795038887350</v>
      </c>
      <c r="M1759" s="2" t="s">
        <v>2316</v>
      </c>
      <c r="N1759" s="2" t="s">
        <v>2317</v>
      </c>
      <c r="O1759" s="18">
        <v>44219</v>
      </c>
      <c r="S1759" s="1" t="s">
        <v>657</v>
      </c>
    </row>
    <row r="1760" spans="1:19" hidden="1" outlineLevel="1">
      <c r="A1760" s="1">
        <v>4</v>
      </c>
      <c r="E1760" s="1" t="s">
        <v>176</v>
      </c>
      <c r="F1760" s="22">
        <v>866795039936396</v>
      </c>
      <c r="M1760" s="2" t="s">
        <v>2318</v>
      </c>
      <c r="N1760" s="2" t="s">
        <v>2319</v>
      </c>
      <c r="O1760" s="18">
        <v>44219</v>
      </c>
      <c r="S1760" s="1" t="s">
        <v>658</v>
      </c>
    </row>
    <row r="1761" spans="1:19" hidden="1" outlineLevel="1">
      <c r="A1761" s="1">
        <v>5</v>
      </c>
      <c r="E1761" s="1" t="s">
        <v>176</v>
      </c>
      <c r="F1761" s="22">
        <v>866795039887086</v>
      </c>
      <c r="M1761" s="2" t="s">
        <v>2320</v>
      </c>
      <c r="N1761" s="2" t="s">
        <v>1989</v>
      </c>
      <c r="O1761" s="18">
        <v>44222</v>
      </c>
      <c r="S1761" s="1" t="s">
        <v>659</v>
      </c>
    </row>
    <row r="1762" spans="1:19" hidden="1" outlineLevel="1">
      <c r="A1762" s="1">
        <v>6</v>
      </c>
      <c r="E1762" s="1" t="s">
        <v>176</v>
      </c>
      <c r="F1762" s="22">
        <v>866795039887169</v>
      </c>
      <c r="M1762" s="2" t="s">
        <v>2321</v>
      </c>
      <c r="N1762" s="2" t="s">
        <v>2322</v>
      </c>
      <c r="O1762" s="18">
        <v>44256</v>
      </c>
      <c r="S1762" s="1" t="s">
        <v>660</v>
      </c>
    </row>
    <row r="1763" spans="1:19" hidden="1" outlineLevel="1">
      <c r="A1763" s="1">
        <v>7</v>
      </c>
      <c r="E1763" s="1" t="s">
        <v>176</v>
      </c>
      <c r="F1763" s="22">
        <v>862531040027709</v>
      </c>
      <c r="M1763" s="2" t="s">
        <v>2323</v>
      </c>
      <c r="N1763" s="2" t="s">
        <v>2324</v>
      </c>
      <c r="O1763" s="18">
        <v>44218</v>
      </c>
      <c r="S1763" s="1" t="s">
        <v>661</v>
      </c>
    </row>
    <row r="1764" spans="1:19" hidden="1" outlineLevel="1">
      <c r="A1764" s="1">
        <v>8</v>
      </c>
      <c r="E1764" s="1" t="s">
        <v>176</v>
      </c>
      <c r="F1764" s="22">
        <v>866795039842206</v>
      </c>
      <c r="M1764" s="2" t="s">
        <v>2325</v>
      </c>
      <c r="N1764" s="2" t="s">
        <v>2127</v>
      </c>
      <c r="O1764" s="18">
        <v>44293</v>
      </c>
      <c r="S1764" s="1" t="s">
        <v>662</v>
      </c>
    </row>
    <row r="1765" spans="1:19" hidden="1" outlineLevel="1">
      <c r="A1765" s="1">
        <v>9</v>
      </c>
      <c r="E1765" s="1" t="s">
        <v>176</v>
      </c>
      <c r="F1765" s="22">
        <v>866795039934573</v>
      </c>
      <c r="G1765" s="4" t="s">
        <v>508</v>
      </c>
      <c r="S1765" s="1" t="s">
        <v>663</v>
      </c>
    </row>
    <row r="1766" spans="1:19" hidden="1" outlineLevel="1">
      <c r="A1766" s="1">
        <v>10</v>
      </c>
      <c r="E1766" s="1" t="s">
        <v>176</v>
      </c>
      <c r="F1766" s="22">
        <v>862531040091028</v>
      </c>
      <c r="M1766" s="2" t="s">
        <v>2326</v>
      </c>
      <c r="N1766" s="2" t="s">
        <v>1643</v>
      </c>
      <c r="O1766" s="18">
        <v>44244</v>
      </c>
      <c r="S1766" s="1" t="s">
        <v>664</v>
      </c>
    </row>
    <row r="1767" spans="1:19" collapsed="1">
      <c r="A1767" s="8">
        <v>2021</v>
      </c>
      <c r="B1767" s="58">
        <v>2021</v>
      </c>
      <c r="C1767" s="159"/>
      <c r="D1767" s="8"/>
      <c r="E1767" s="8"/>
      <c r="F1767" s="9"/>
      <c r="G1767" s="8"/>
      <c r="H1767" s="8"/>
      <c r="I1767" s="8"/>
      <c r="J1767" s="58"/>
      <c r="K1767" s="8"/>
      <c r="L1767" s="58"/>
      <c r="M1767" s="8"/>
      <c r="N1767" s="8"/>
      <c r="O1767" s="58"/>
      <c r="P1767" s="8"/>
      <c r="Q1767" s="8"/>
      <c r="R1767" s="8"/>
      <c r="S1767" s="8"/>
    </row>
    <row r="1768" spans="1:19" hidden="1" outlineLevel="1">
      <c r="A1768" s="1">
        <v>1</v>
      </c>
      <c r="B1768" s="11">
        <v>44214</v>
      </c>
      <c r="C1768" s="160">
        <v>166</v>
      </c>
      <c r="E1768" s="1" t="s">
        <v>625</v>
      </c>
      <c r="F1768" s="22">
        <v>868328053978819</v>
      </c>
      <c r="M1768" s="2" t="s">
        <v>2327</v>
      </c>
      <c r="N1768" s="2" t="s">
        <v>2328</v>
      </c>
      <c r="O1768" s="18">
        <v>44252</v>
      </c>
      <c r="S1768" s="1" t="s">
        <v>665</v>
      </c>
    </row>
    <row r="1769" spans="1:19" hidden="1" outlineLevel="1">
      <c r="A1769" s="1">
        <v>2</v>
      </c>
      <c r="E1769" s="1" t="s">
        <v>626</v>
      </c>
      <c r="F1769" s="22">
        <v>868328057837318</v>
      </c>
      <c r="M1769" s="2" t="s">
        <v>2329</v>
      </c>
      <c r="N1769" s="2" t="s">
        <v>2177</v>
      </c>
      <c r="O1769" s="18">
        <v>44228</v>
      </c>
      <c r="S1769" s="1" t="s">
        <v>666</v>
      </c>
    </row>
    <row r="1770" spans="1:19" hidden="1" outlineLevel="1">
      <c r="A1770" s="1">
        <v>3</v>
      </c>
      <c r="E1770" s="1" t="s">
        <v>229</v>
      </c>
      <c r="F1770" s="22">
        <v>862531040145162</v>
      </c>
      <c r="M1770" s="2" t="s">
        <v>2330</v>
      </c>
      <c r="N1770" s="2" t="s">
        <v>126</v>
      </c>
      <c r="O1770" s="18">
        <v>44221</v>
      </c>
      <c r="S1770" s="1" t="s">
        <v>667</v>
      </c>
    </row>
    <row r="1771" spans="1:19" hidden="1" outlineLevel="1">
      <c r="A1771" s="1">
        <v>4</v>
      </c>
      <c r="E1771" s="1" t="s">
        <v>229</v>
      </c>
      <c r="F1771" s="22">
        <v>866795039886773</v>
      </c>
      <c r="M1771" s="2" t="s">
        <v>2331</v>
      </c>
      <c r="N1771" s="2" t="s">
        <v>2332</v>
      </c>
      <c r="O1771" s="18">
        <v>44231</v>
      </c>
      <c r="S1771" s="1" t="s">
        <v>668</v>
      </c>
    </row>
    <row r="1772" spans="1:19" hidden="1" outlineLevel="1">
      <c r="A1772" s="1">
        <v>5</v>
      </c>
      <c r="E1772" s="1" t="s">
        <v>229</v>
      </c>
      <c r="F1772" s="22">
        <v>862531040120363</v>
      </c>
      <c r="M1772" s="2" t="s">
        <v>2333</v>
      </c>
      <c r="N1772" s="2" t="s">
        <v>2334</v>
      </c>
      <c r="O1772" s="18">
        <v>44235</v>
      </c>
      <c r="S1772" s="1" t="s">
        <v>669</v>
      </c>
    </row>
    <row r="1773" spans="1:19" hidden="1" outlineLevel="1">
      <c r="A1773" s="1">
        <v>6</v>
      </c>
      <c r="E1773" s="1" t="s">
        <v>229</v>
      </c>
      <c r="F1773" s="22">
        <v>862531040017700</v>
      </c>
      <c r="G1773" s="4" t="s">
        <v>509</v>
      </c>
      <c r="N1773" s="2" t="s">
        <v>2335</v>
      </c>
      <c r="S1773" s="1" t="s">
        <v>670</v>
      </c>
    </row>
    <row r="1774" spans="1:19" hidden="1" outlineLevel="1">
      <c r="A1774" s="1">
        <v>7</v>
      </c>
      <c r="E1774" s="1" t="s">
        <v>229</v>
      </c>
      <c r="F1774" s="22">
        <v>866795039893522</v>
      </c>
      <c r="M1774" s="2" t="s">
        <v>2336</v>
      </c>
      <c r="N1774" s="2" t="s">
        <v>1149</v>
      </c>
      <c r="O1774" s="18">
        <v>44217</v>
      </c>
      <c r="S1774" s="1" t="s">
        <v>671</v>
      </c>
    </row>
    <row r="1775" spans="1:19" hidden="1" outlineLevel="1">
      <c r="A1775" s="1">
        <v>8</v>
      </c>
      <c r="E1775" s="1" t="s">
        <v>229</v>
      </c>
      <c r="F1775" s="22">
        <v>866795039988041</v>
      </c>
      <c r="M1775" s="2" t="s">
        <v>2337</v>
      </c>
      <c r="N1775" s="2" t="s">
        <v>1149</v>
      </c>
      <c r="O1775" s="18">
        <v>44217</v>
      </c>
      <c r="S1775" s="1" t="s">
        <v>671</v>
      </c>
    </row>
    <row r="1776" spans="1:19" hidden="1" outlineLevel="1">
      <c r="A1776" s="1">
        <v>9</v>
      </c>
      <c r="E1776" s="1" t="s">
        <v>229</v>
      </c>
      <c r="F1776" s="22">
        <v>866795039874688</v>
      </c>
      <c r="M1776" s="2" t="s">
        <v>2338</v>
      </c>
      <c r="N1776" s="2" t="s">
        <v>1129</v>
      </c>
      <c r="O1776" s="18">
        <v>42152</v>
      </c>
      <c r="S1776" s="1" t="s">
        <v>672</v>
      </c>
    </row>
    <row r="1777" spans="1:19" hidden="1" outlineLevel="1">
      <c r="A1777" s="1">
        <v>10</v>
      </c>
      <c r="E1777" s="1" t="s">
        <v>229</v>
      </c>
      <c r="F1777" s="22">
        <v>866795039938889</v>
      </c>
      <c r="M1777" s="2" t="s">
        <v>2339</v>
      </c>
      <c r="N1777" s="2" t="s">
        <v>2340</v>
      </c>
      <c r="O1777" s="18">
        <v>44244</v>
      </c>
      <c r="S1777" s="1" t="s">
        <v>673</v>
      </c>
    </row>
    <row r="1778" spans="1:19" hidden="1" outlineLevel="1">
      <c r="A1778" s="1">
        <v>11</v>
      </c>
      <c r="E1778" s="1" t="s">
        <v>229</v>
      </c>
      <c r="F1778" s="22">
        <v>866795039924889</v>
      </c>
      <c r="M1778" s="2" t="s">
        <v>2341</v>
      </c>
      <c r="N1778" s="2" t="s">
        <v>2332</v>
      </c>
      <c r="O1778" s="18">
        <v>44231</v>
      </c>
      <c r="S1778" s="1" t="s">
        <v>668</v>
      </c>
    </row>
    <row r="1779" spans="1:19" hidden="1" outlineLevel="1">
      <c r="A1779" s="1">
        <v>12</v>
      </c>
      <c r="E1779" s="1" t="s">
        <v>229</v>
      </c>
      <c r="F1779" s="22">
        <v>866795039990716</v>
      </c>
      <c r="M1779" s="2" t="s">
        <v>2342</v>
      </c>
      <c r="N1779" s="2" t="s">
        <v>1861</v>
      </c>
      <c r="O1779" s="18">
        <v>44235</v>
      </c>
      <c r="S1779" s="1" t="s">
        <v>674</v>
      </c>
    </row>
    <row r="1780" spans="1:19" hidden="1" outlineLevel="1">
      <c r="A1780" s="8"/>
      <c r="B1780" s="58"/>
      <c r="C1780" s="159"/>
      <c r="D1780" s="8"/>
      <c r="E1780" s="8"/>
      <c r="F1780" s="9"/>
      <c r="G1780" s="8"/>
      <c r="H1780" s="8"/>
      <c r="I1780" s="8"/>
      <c r="J1780" s="58"/>
      <c r="K1780" s="8"/>
      <c r="L1780" s="58"/>
      <c r="M1780" s="8"/>
      <c r="N1780" s="8"/>
      <c r="O1780" s="58"/>
      <c r="P1780" s="8"/>
      <c r="Q1780" s="8"/>
      <c r="R1780" s="8"/>
      <c r="S1780" s="8"/>
    </row>
    <row r="1781" spans="1:19" hidden="1" outlineLevel="1">
      <c r="A1781" s="1">
        <v>1</v>
      </c>
      <c r="B1781" s="11">
        <v>44217</v>
      </c>
      <c r="C1781" s="160">
        <v>208</v>
      </c>
      <c r="E1781" s="1" t="s">
        <v>176</v>
      </c>
      <c r="F1781" s="22">
        <v>862531042601386</v>
      </c>
      <c r="M1781" s="2" t="s">
        <v>2343</v>
      </c>
      <c r="N1781" s="2" t="s">
        <v>1534</v>
      </c>
      <c r="O1781" s="18">
        <v>44223</v>
      </c>
      <c r="S1781" s="1" t="s">
        <v>675</v>
      </c>
    </row>
    <row r="1782" spans="1:19" hidden="1" outlineLevel="1">
      <c r="A1782" s="1">
        <v>2</v>
      </c>
      <c r="E1782" s="1" t="s">
        <v>176</v>
      </c>
      <c r="F1782" s="22">
        <v>862531042599705</v>
      </c>
      <c r="M1782" s="2" t="s">
        <v>2344</v>
      </c>
      <c r="N1782" s="2" t="s">
        <v>1534</v>
      </c>
      <c r="O1782" s="18">
        <v>44223</v>
      </c>
      <c r="S1782" s="1" t="s">
        <v>675</v>
      </c>
    </row>
    <row r="1783" spans="1:19" hidden="1" outlineLevel="1">
      <c r="A1783" s="1">
        <v>3</v>
      </c>
      <c r="E1783" s="1" t="s">
        <v>176</v>
      </c>
      <c r="F1783" s="22">
        <v>862531042765603</v>
      </c>
      <c r="M1783" s="2">
        <v>862531042765603</v>
      </c>
      <c r="N1783" s="2" t="s">
        <v>1534</v>
      </c>
      <c r="O1783" s="18">
        <v>44223</v>
      </c>
      <c r="S1783" s="1" t="s">
        <v>675</v>
      </c>
    </row>
    <row r="1784" spans="1:19" hidden="1" outlineLevel="1">
      <c r="A1784" s="1">
        <v>4</v>
      </c>
      <c r="E1784" s="1" t="s">
        <v>176</v>
      </c>
      <c r="F1784" s="22">
        <v>862531042570367</v>
      </c>
      <c r="M1784" s="2" t="s">
        <v>2345</v>
      </c>
      <c r="N1784" s="2" t="s">
        <v>1042</v>
      </c>
      <c r="O1784" s="18">
        <v>44228</v>
      </c>
      <c r="S1784" s="1" t="s">
        <v>676</v>
      </c>
    </row>
    <row r="1785" spans="1:19" hidden="1" outlineLevel="1">
      <c r="A1785" s="1">
        <v>5</v>
      </c>
      <c r="E1785" s="1" t="s">
        <v>176</v>
      </c>
      <c r="F1785" s="22" t="s">
        <v>497</v>
      </c>
      <c r="M1785" s="2" t="s">
        <v>2346</v>
      </c>
      <c r="N1785" s="2" t="s">
        <v>2347</v>
      </c>
      <c r="O1785" s="18">
        <v>44223</v>
      </c>
      <c r="S1785" s="1" t="s">
        <v>677</v>
      </c>
    </row>
    <row r="1786" spans="1:19" hidden="1" outlineLevel="1">
      <c r="A1786" s="1">
        <v>6</v>
      </c>
      <c r="E1786" s="1" t="s">
        <v>176</v>
      </c>
      <c r="F1786" s="22">
        <v>862531042755158</v>
      </c>
      <c r="M1786" s="2" t="s">
        <v>2348</v>
      </c>
      <c r="N1786" s="2" t="s">
        <v>1534</v>
      </c>
      <c r="O1786" s="18">
        <v>44223</v>
      </c>
      <c r="S1786" s="1" t="s">
        <v>675</v>
      </c>
    </row>
    <row r="1787" spans="1:19" hidden="1" outlineLevel="1">
      <c r="A1787" s="1">
        <v>7</v>
      </c>
      <c r="E1787" s="1" t="s">
        <v>176</v>
      </c>
      <c r="F1787" s="22">
        <v>862531042763285</v>
      </c>
      <c r="M1787" s="2" t="s">
        <v>2349</v>
      </c>
      <c r="N1787" s="2" t="s">
        <v>1534</v>
      </c>
      <c r="O1787" s="18">
        <v>44223</v>
      </c>
      <c r="S1787" s="1" t="s">
        <v>675</v>
      </c>
    </row>
    <row r="1788" spans="1:19" hidden="1" outlineLevel="1">
      <c r="A1788" s="1">
        <v>8</v>
      </c>
      <c r="E1788" s="1" t="s">
        <v>176</v>
      </c>
      <c r="F1788" s="22">
        <v>862531042067224</v>
      </c>
      <c r="M1788" s="2" t="s">
        <v>2350</v>
      </c>
      <c r="N1788" s="2" t="s">
        <v>2351</v>
      </c>
      <c r="O1788" s="18">
        <v>44222</v>
      </c>
      <c r="S1788" s="1" t="s">
        <v>678</v>
      </c>
    </row>
    <row r="1789" spans="1:19" hidden="1" outlineLevel="1">
      <c r="A1789" s="1">
        <v>9</v>
      </c>
      <c r="E1789" s="1" t="s">
        <v>176</v>
      </c>
      <c r="F1789" s="22">
        <v>862531042060724</v>
      </c>
      <c r="M1789" s="2" t="s">
        <v>2352</v>
      </c>
      <c r="N1789" s="2" t="s">
        <v>1534</v>
      </c>
      <c r="O1789" s="18">
        <v>44223</v>
      </c>
      <c r="S1789" s="1" t="s">
        <v>675</v>
      </c>
    </row>
    <row r="1790" spans="1:19" hidden="1" outlineLevel="1">
      <c r="A1790" s="1">
        <v>10</v>
      </c>
      <c r="E1790" s="1" t="s">
        <v>176</v>
      </c>
      <c r="F1790" s="22">
        <v>862531042589458</v>
      </c>
      <c r="M1790" s="2" t="s">
        <v>2353</v>
      </c>
      <c r="N1790" s="2" t="s">
        <v>1534</v>
      </c>
      <c r="O1790" s="18">
        <v>44223</v>
      </c>
      <c r="S1790" s="1" t="s">
        <v>675</v>
      </c>
    </row>
    <row r="1791" spans="1:19" hidden="1" outlineLevel="1">
      <c r="A1791" s="1">
        <v>11</v>
      </c>
      <c r="E1791" s="1" t="s">
        <v>176</v>
      </c>
      <c r="F1791" s="22">
        <v>862531042056383</v>
      </c>
      <c r="M1791" s="2" t="s">
        <v>2354</v>
      </c>
      <c r="N1791" s="2" t="s">
        <v>1534</v>
      </c>
      <c r="O1791" s="18">
        <v>44223</v>
      </c>
      <c r="S1791" s="1" t="s">
        <v>675</v>
      </c>
    </row>
    <row r="1792" spans="1:19" hidden="1" outlineLevel="1">
      <c r="A1792" s="1">
        <v>12</v>
      </c>
      <c r="E1792" s="1" t="s">
        <v>176</v>
      </c>
      <c r="F1792" s="22">
        <v>862531042628629</v>
      </c>
      <c r="M1792" s="2">
        <v>862531042628629</v>
      </c>
      <c r="N1792" s="2" t="s">
        <v>1534</v>
      </c>
      <c r="O1792" s="18">
        <v>44223</v>
      </c>
      <c r="S1792" s="1" t="s">
        <v>675</v>
      </c>
    </row>
    <row r="1793" spans="1:19" hidden="1" outlineLevel="1">
      <c r="A1793" s="1">
        <v>13</v>
      </c>
      <c r="E1793" s="1" t="s">
        <v>176</v>
      </c>
      <c r="F1793" s="22">
        <v>862531042767377</v>
      </c>
      <c r="M1793" s="2">
        <v>862531042767377</v>
      </c>
      <c r="N1793" s="2" t="s">
        <v>1534</v>
      </c>
      <c r="O1793" s="18">
        <v>44223</v>
      </c>
      <c r="S1793" s="1" t="s">
        <v>675</v>
      </c>
    </row>
    <row r="1794" spans="1:19" hidden="1" outlineLevel="1">
      <c r="A1794" s="1">
        <v>14</v>
      </c>
      <c r="E1794" s="1" t="s">
        <v>176</v>
      </c>
      <c r="F1794" s="22">
        <v>862531042032335</v>
      </c>
      <c r="M1794" s="2" t="s">
        <v>2355</v>
      </c>
      <c r="N1794" s="2" t="s">
        <v>1534</v>
      </c>
      <c r="O1794" s="18">
        <v>44225</v>
      </c>
      <c r="S1794" s="1" t="s">
        <v>675</v>
      </c>
    </row>
    <row r="1795" spans="1:19" hidden="1" outlineLevel="1">
      <c r="A1795" s="1">
        <v>15</v>
      </c>
      <c r="E1795" s="1" t="s">
        <v>176</v>
      </c>
      <c r="F1795" s="22">
        <v>862531042742586</v>
      </c>
      <c r="M1795" s="2" t="s">
        <v>2356</v>
      </c>
      <c r="N1795" s="2" t="s">
        <v>1534</v>
      </c>
      <c r="O1795" s="18">
        <v>44223</v>
      </c>
      <c r="S1795" s="1" t="s">
        <v>675</v>
      </c>
    </row>
    <row r="1796" spans="1:19" hidden="1" outlineLevel="1">
      <c r="A1796" s="8"/>
      <c r="B1796" s="58"/>
      <c r="C1796" s="159"/>
      <c r="D1796" s="8"/>
      <c r="E1796" s="8"/>
      <c r="F1796" s="9"/>
      <c r="G1796" s="8"/>
      <c r="H1796" s="8"/>
      <c r="I1796" s="8"/>
      <c r="J1796" s="58"/>
      <c r="K1796" s="8"/>
      <c r="L1796" s="58"/>
      <c r="M1796" s="8"/>
      <c r="N1796" s="8"/>
      <c r="O1796" s="58"/>
      <c r="P1796" s="8"/>
      <c r="Q1796" s="8"/>
      <c r="R1796" s="8"/>
      <c r="S1796" s="8"/>
    </row>
    <row r="1797" spans="1:19" hidden="1" outlineLevel="1">
      <c r="A1797" s="1">
        <v>1</v>
      </c>
      <c r="B1797" s="11">
        <v>44223</v>
      </c>
      <c r="C1797" s="160">
        <v>286</v>
      </c>
      <c r="E1797" s="1" t="s">
        <v>176</v>
      </c>
      <c r="F1797" s="22">
        <v>862531042542499</v>
      </c>
      <c r="M1797" s="2" t="s">
        <v>2357</v>
      </c>
      <c r="N1797" s="2" t="s">
        <v>1232</v>
      </c>
      <c r="O1797" s="18">
        <v>44264</v>
      </c>
      <c r="S1797" s="1" t="s">
        <v>679</v>
      </c>
    </row>
    <row r="1798" spans="1:19" hidden="1" outlineLevel="1">
      <c r="A1798" s="1">
        <v>2</v>
      </c>
      <c r="E1798" s="1" t="s">
        <v>176</v>
      </c>
      <c r="F1798" s="22">
        <v>862531042798935</v>
      </c>
      <c r="M1798" s="2" t="s">
        <v>2358</v>
      </c>
      <c r="N1798" s="2" t="s">
        <v>2359</v>
      </c>
      <c r="O1798" s="18">
        <v>44235</v>
      </c>
      <c r="S1798" s="1" t="s">
        <v>680</v>
      </c>
    </row>
    <row r="1799" spans="1:19" hidden="1" outlineLevel="1">
      <c r="A1799" s="1">
        <v>3</v>
      </c>
      <c r="E1799" s="1" t="s">
        <v>176</v>
      </c>
      <c r="F1799" s="22">
        <v>862531042559287</v>
      </c>
      <c r="N1799" s="2" t="s">
        <v>2360</v>
      </c>
      <c r="S1799" s="1" t="s">
        <v>681</v>
      </c>
    </row>
    <row r="1800" spans="1:19" hidden="1" outlineLevel="1">
      <c r="A1800" s="1">
        <v>4</v>
      </c>
      <c r="E1800" s="1" t="s">
        <v>176</v>
      </c>
      <c r="F1800" s="22">
        <v>862531042767351</v>
      </c>
      <c r="M1800" s="2" t="s">
        <v>2239</v>
      </c>
      <c r="N1800" s="2" t="s">
        <v>2361</v>
      </c>
      <c r="O1800" s="18">
        <v>44193</v>
      </c>
      <c r="S1800" s="1" t="s">
        <v>682</v>
      </c>
    </row>
    <row r="1801" spans="1:19" hidden="1" outlineLevel="1">
      <c r="A1801" s="1">
        <v>5</v>
      </c>
      <c r="E1801" s="1" t="s">
        <v>176</v>
      </c>
      <c r="F1801" s="22">
        <v>862531042632969</v>
      </c>
      <c r="M1801" s="2" t="s">
        <v>2362</v>
      </c>
      <c r="N1801" s="2" t="s">
        <v>1057</v>
      </c>
      <c r="O1801" s="18">
        <v>44230</v>
      </c>
      <c r="S1801" s="1" t="s">
        <v>683</v>
      </c>
    </row>
    <row r="1802" spans="1:19" hidden="1" outlineLevel="1">
      <c r="A1802" s="1">
        <v>6</v>
      </c>
      <c r="E1802" s="1" t="s">
        <v>176</v>
      </c>
      <c r="F1802" s="22">
        <v>862531042631219</v>
      </c>
      <c r="M1802" s="2" t="s">
        <v>2363</v>
      </c>
      <c r="N1802" s="2" t="s">
        <v>2364</v>
      </c>
      <c r="O1802" s="18">
        <v>44247</v>
      </c>
      <c r="S1802" s="1" t="s">
        <v>684</v>
      </c>
    </row>
    <row r="1803" spans="1:19" hidden="1" outlineLevel="1">
      <c r="A1803" s="1">
        <v>7</v>
      </c>
      <c r="E1803" s="1" t="s">
        <v>176</v>
      </c>
      <c r="F1803" s="22">
        <v>862531042763863</v>
      </c>
      <c r="M1803" s="2" t="s">
        <v>2365</v>
      </c>
      <c r="N1803" s="2" t="s">
        <v>2366</v>
      </c>
      <c r="O1803" s="18">
        <v>44229</v>
      </c>
      <c r="S1803" s="1" t="s">
        <v>685</v>
      </c>
    </row>
    <row r="1804" spans="1:19" hidden="1" outlineLevel="1">
      <c r="A1804" s="1">
        <v>8</v>
      </c>
      <c r="E1804" s="1" t="s">
        <v>176</v>
      </c>
      <c r="F1804" s="22">
        <v>862531042036542</v>
      </c>
      <c r="M1804" s="2" t="s">
        <v>2367</v>
      </c>
      <c r="N1804" s="2" t="s">
        <v>2368</v>
      </c>
      <c r="O1804" s="18">
        <v>44253</v>
      </c>
      <c r="S1804" s="1" t="s">
        <v>686</v>
      </c>
    </row>
    <row r="1805" spans="1:19" hidden="1" outlineLevel="1">
      <c r="A1805" s="1">
        <v>9</v>
      </c>
      <c r="E1805" s="1" t="s">
        <v>176</v>
      </c>
      <c r="F1805" s="22">
        <v>862531042763343</v>
      </c>
      <c r="G1805" s="4" t="s">
        <v>507</v>
      </c>
      <c r="I1805" s="2" t="s">
        <v>563</v>
      </c>
      <c r="M1805" s="2" t="s">
        <v>2369</v>
      </c>
      <c r="N1805" s="2" t="s">
        <v>942</v>
      </c>
      <c r="O1805" s="18">
        <v>43572</v>
      </c>
      <c r="S1805" s="1" t="s">
        <v>687</v>
      </c>
    </row>
    <row r="1806" spans="1:19" hidden="1" outlineLevel="1">
      <c r="A1806" s="1">
        <v>10</v>
      </c>
      <c r="E1806" s="1" t="s">
        <v>176</v>
      </c>
      <c r="F1806" s="22">
        <v>862531042767179</v>
      </c>
      <c r="M1806" s="2" t="s">
        <v>2370</v>
      </c>
      <c r="N1806" s="2" t="s">
        <v>1794</v>
      </c>
      <c r="O1806" s="18">
        <v>44252</v>
      </c>
      <c r="S1806" s="1" t="s">
        <v>688</v>
      </c>
    </row>
    <row r="1807" spans="1:19" hidden="1" outlineLevel="1">
      <c r="A1807" s="1">
        <v>11</v>
      </c>
      <c r="E1807" s="1" t="s">
        <v>176</v>
      </c>
      <c r="F1807" s="22">
        <v>862531042797218</v>
      </c>
      <c r="M1807" s="2" t="s">
        <v>2371</v>
      </c>
      <c r="N1807" s="2" t="s">
        <v>2372</v>
      </c>
      <c r="O1807" s="18">
        <v>43822</v>
      </c>
      <c r="S1807" s="1" t="s">
        <v>689</v>
      </c>
    </row>
    <row r="1808" spans="1:19" hidden="1" outlineLevel="1">
      <c r="A1808" s="1">
        <v>12</v>
      </c>
      <c r="E1808" s="1" t="s">
        <v>176</v>
      </c>
      <c r="F1808" s="22">
        <v>862531042035361</v>
      </c>
      <c r="M1808" s="2" t="s">
        <v>2373</v>
      </c>
      <c r="N1808" s="2" t="s">
        <v>2374</v>
      </c>
      <c r="O1808" s="18">
        <v>44229</v>
      </c>
      <c r="S1808" s="1" t="s">
        <v>685</v>
      </c>
    </row>
    <row r="1809" spans="1:19" hidden="1" outlineLevel="1">
      <c r="A1809" s="1">
        <v>13</v>
      </c>
      <c r="E1809" s="1" t="s">
        <v>176</v>
      </c>
      <c r="F1809" s="22">
        <v>862531042169947</v>
      </c>
      <c r="M1809" s="2" t="s">
        <v>2375</v>
      </c>
      <c r="N1809" s="2" t="s">
        <v>1360</v>
      </c>
      <c r="O1809" s="18">
        <v>41178</v>
      </c>
      <c r="S1809" s="1" t="s">
        <v>690</v>
      </c>
    </row>
    <row r="1810" spans="1:19" hidden="1" outlineLevel="1">
      <c r="A1810" s="1">
        <v>14</v>
      </c>
      <c r="E1810" s="1" t="s">
        <v>176</v>
      </c>
      <c r="F1810" s="22">
        <v>862531042599648</v>
      </c>
      <c r="M1810" s="2" t="s">
        <v>2376</v>
      </c>
      <c r="N1810" s="2" t="s">
        <v>2377</v>
      </c>
      <c r="O1810" s="18">
        <v>44229</v>
      </c>
      <c r="S1810" s="1" t="s">
        <v>691</v>
      </c>
    </row>
    <row r="1811" spans="1:19" hidden="1" outlineLevel="1">
      <c r="A1811" s="1">
        <v>15</v>
      </c>
      <c r="E1811" s="1" t="s">
        <v>176</v>
      </c>
      <c r="F1811" s="22">
        <v>862531042742016</v>
      </c>
      <c r="M1811" s="2" t="s">
        <v>2378</v>
      </c>
      <c r="N1811" s="2" t="s">
        <v>1775</v>
      </c>
      <c r="O1811" s="18">
        <v>44257</v>
      </c>
      <c r="S1811" s="1" t="s">
        <v>692</v>
      </c>
    </row>
    <row r="1812" spans="1:19" hidden="1" outlineLevel="1">
      <c r="A1812" s="1">
        <v>16</v>
      </c>
      <c r="E1812" s="1" t="s">
        <v>229</v>
      </c>
      <c r="F1812" s="22">
        <v>866795038279582</v>
      </c>
      <c r="M1812" s="2" t="s">
        <v>2379</v>
      </c>
      <c r="N1812" s="2" t="s">
        <v>2380</v>
      </c>
      <c r="S1812" s="1" t="s">
        <v>674</v>
      </c>
    </row>
    <row r="1813" spans="1:19" hidden="1" outlineLevel="1">
      <c r="A1813" s="1">
        <v>17</v>
      </c>
      <c r="E1813" s="1" t="s">
        <v>229</v>
      </c>
      <c r="F1813" s="22">
        <v>866795039922180</v>
      </c>
      <c r="M1813" s="2" t="s">
        <v>2381</v>
      </c>
      <c r="N1813" s="2" t="s">
        <v>2245</v>
      </c>
      <c r="O1813" s="18">
        <v>44228</v>
      </c>
      <c r="S1813" s="1" t="s">
        <v>693</v>
      </c>
    </row>
    <row r="1814" spans="1:19" hidden="1" outlineLevel="1">
      <c r="A1814" s="1">
        <v>18</v>
      </c>
      <c r="E1814" s="1" t="s">
        <v>229</v>
      </c>
      <c r="F1814" s="22">
        <v>862531040120306</v>
      </c>
      <c r="M1814" s="2" t="s">
        <v>2382</v>
      </c>
      <c r="N1814" s="2" t="s">
        <v>2217</v>
      </c>
      <c r="O1814" s="18">
        <v>44229</v>
      </c>
      <c r="S1814" s="1" t="s">
        <v>694</v>
      </c>
    </row>
    <row r="1815" spans="1:19" hidden="1" outlineLevel="1">
      <c r="A1815" s="1">
        <v>19</v>
      </c>
      <c r="E1815" s="1" t="s">
        <v>229</v>
      </c>
      <c r="F1815" s="22">
        <v>866795038326631</v>
      </c>
      <c r="M1815" s="2" t="s">
        <v>2383</v>
      </c>
      <c r="N1815" s="2" t="s">
        <v>1623</v>
      </c>
      <c r="O1815" s="18">
        <v>44237</v>
      </c>
      <c r="S1815" s="1" t="s">
        <v>695</v>
      </c>
    </row>
    <row r="1816" spans="1:19" hidden="1" outlineLevel="1">
      <c r="A1816" s="1">
        <v>20</v>
      </c>
      <c r="E1816" s="1" t="s">
        <v>229</v>
      </c>
      <c r="F1816" s="22">
        <v>866795037650734</v>
      </c>
      <c r="M1816" s="2" t="s">
        <v>2384</v>
      </c>
      <c r="N1816" s="2" t="s">
        <v>2332</v>
      </c>
      <c r="O1816" s="18">
        <v>44242</v>
      </c>
      <c r="S1816" s="1" t="s">
        <v>696</v>
      </c>
    </row>
    <row r="1817" spans="1:19" hidden="1" outlineLevel="1">
      <c r="A1817" s="1">
        <v>21</v>
      </c>
      <c r="E1817" s="1" t="s">
        <v>229</v>
      </c>
      <c r="F1817" s="22">
        <v>866795038352520</v>
      </c>
      <c r="M1817" s="2" t="s">
        <v>2385</v>
      </c>
      <c r="N1817" s="2" t="s">
        <v>2332</v>
      </c>
      <c r="O1817" s="18">
        <v>44242</v>
      </c>
      <c r="S1817" s="1" t="s">
        <v>696</v>
      </c>
    </row>
    <row r="1818" spans="1:19" hidden="1" outlineLevel="1">
      <c r="A1818" s="1">
        <v>22</v>
      </c>
      <c r="E1818" s="1" t="s">
        <v>229</v>
      </c>
      <c r="F1818" s="22">
        <v>866795039990542</v>
      </c>
      <c r="M1818" s="2" t="s">
        <v>2386</v>
      </c>
      <c r="N1818" s="2" t="s">
        <v>2332</v>
      </c>
      <c r="O1818" s="18">
        <v>44244</v>
      </c>
      <c r="S1818" s="1" t="s">
        <v>696</v>
      </c>
    </row>
    <row r="1819" spans="1:19" hidden="1" outlineLevel="1">
      <c r="A1819" s="1">
        <v>23</v>
      </c>
      <c r="E1819" s="1" t="s">
        <v>229</v>
      </c>
      <c r="F1819" s="22">
        <v>866795039943756</v>
      </c>
      <c r="M1819" s="2" t="s">
        <v>2387</v>
      </c>
      <c r="N1819" s="2" t="s">
        <v>1944</v>
      </c>
      <c r="O1819" s="18">
        <v>44243</v>
      </c>
      <c r="S1819" s="1" t="s">
        <v>697</v>
      </c>
    </row>
    <row r="1820" spans="1:19" hidden="1" outlineLevel="1">
      <c r="A1820" s="1">
        <v>24</v>
      </c>
      <c r="E1820" s="1" t="s">
        <v>229</v>
      </c>
      <c r="F1820" s="22">
        <v>866795038268882</v>
      </c>
      <c r="M1820" s="2" t="s">
        <v>2388</v>
      </c>
      <c r="N1820" s="2" t="s">
        <v>2389</v>
      </c>
      <c r="O1820" s="18">
        <v>44231</v>
      </c>
      <c r="S1820" s="1" t="s">
        <v>698</v>
      </c>
    </row>
    <row r="1821" spans="1:19" hidden="1" outlineLevel="1">
      <c r="A1821" s="1">
        <v>25</v>
      </c>
      <c r="E1821" s="1" t="s">
        <v>229</v>
      </c>
      <c r="F1821" s="22">
        <v>866795036214359</v>
      </c>
      <c r="M1821" s="2">
        <v>866795036214359</v>
      </c>
      <c r="N1821" s="2" t="s">
        <v>2324</v>
      </c>
      <c r="O1821" s="18">
        <v>44260</v>
      </c>
      <c r="S1821" s="1" t="s">
        <v>699</v>
      </c>
    </row>
    <row r="1822" spans="1:19" hidden="1" outlineLevel="1">
      <c r="A1822" s="8"/>
      <c r="B1822" s="58"/>
      <c r="C1822" s="159"/>
      <c r="D1822" s="8"/>
      <c r="E1822" s="8"/>
      <c r="F1822" s="9"/>
      <c r="G1822" s="8"/>
      <c r="H1822" s="8"/>
      <c r="I1822" s="8"/>
      <c r="J1822" s="58"/>
      <c r="K1822" s="8"/>
      <c r="L1822" s="58"/>
      <c r="M1822" s="8"/>
      <c r="N1822" s="8"/>
      <c r="O1822" s="58"/>
      <c r="P1822" s="8"/>
      <c r="Q1822" s="8"/>
      <c r="R1822" s="8"/>
      <c r="S1822" s="8"/>
    </row>
    <row r="1823" spans="1:19" hidden="1" outlineLevel="1">
      <c r="A1823" s="1">
        <v>1</v>
      </c>
      <c r="B1823" s="11">
        <v>44232</v>
      </c>
      <c r="C1823" s="160">
        <v>373</v>
      </c>
      <c r="E1823" s="1" t="s">
        <v>176</v>
      </c>
      <c r="F1823" s="22">
        <v>862531042742305</v>
      </c>
      <c r="M1823" s="2" t="s">
        <v>2390</v>
      </c>
      <c r="N1823" s="2" t="s">
        <v>126</v>
      </c>
      <c r="O1823" s="18">
        <v>43118</v>
      </c>
      <c r="S1823" s="1" t="s">
        <v>700</v>
      </c>
    </row>
    <row r="1824" spans="1:19" hidden="1" outlineLevel="1">
      <c r="A1824" s="1">
        <v>2</v>
      </c>
      <c r="E1824" s="1" t="s">
        <v>176</v>
      </c>
      <c r="F1824" s="22">
        <v>862531042057654</v>
      </c>
      <c r="M1824" s="2" t="s">
        <v>2391</v>
      </c>
      <c r="N1824" s="2" t="s">
        <v>2392</v>
      </c>
      <c r="O1824" s="18">
        <v>41915</v>
      </c>
      <c r="S1824" s="1" t="s">
        <v>701</v>
      </c>
    </row>
    <row r="1825" spans="1:19" hidden="1" outlineLevel="1">
      <c r="A1825" s="1">
        <v>3</v>
      </c>
      <c r="E1825" s="1" t="s">
        <v>176</v>
      </c>
      <c r="F1825" s="22">
        <v>862531042015033</v>
      </c>
      <c r="M1825" s="2" t="s">
        <v>2393</v>
      </c>
      <c r="N1825" s="2" t="s">
        <v>2394</v>
      </c>
      <c r="O1825" s="18">
        <v>43112</v>
      </c>
      <c r="S1825" s="1" t="s">
        <v>702</v>
      </c>
    </row>
    <row r="1826" spans="1:19" hidden="1" outlineLevel="1">
      <c r="A1826" s="1">
        <v>4</v>
      </c>
      <c r="E1826" s="1" t="s">
        <v>176</v>
      </c>
      <c r="F1826" s="22">
        <v>862531042057498</v>
      </c>
      <c r="M1826" s="2" t="s">
        <v>2395</v>
      </c>
      <c r="N1826" s="2" t="s">
        <v>1232</v>
      </c>
      <c r="O1826" s="18">
        <v>44264</v>
      </c>
      <c r="S1826" s="1" t="s">
        <v>679</v>
      </c>
    </row>
    <row r="1827" spans="1:19" hidden="1" outlineLevel="1">
      <c r="A1827" s="1">
        <v>5</v>
      </c>
      <c r="E1827" s="1" t="s">
        <v>176</v>
      </c>
      <c r="F1827" s="22">
        <v>862531042025644</v>
      </c>
      <c r="M1827" s="2" t="s">
        <v>2396</v>
      </c>
      <c r="N1827" s="2" t="s">
        <v>2397</v>
      </c>
      <c r="O1827" s="18">
        <v>44181</v>
      </c>
      <c r="S1827" s="1" t="s">
        <v>703</v>
      </c>
    </row>
    <row r="1828" spans="1:19" hidden="1" outlineLevel="1">
      <c r="A1828" s="1">
        <v>6</v>
      </c>
      <c r="E1828" s="1" t="s">
        <v>176</v>
      </c>
      <c r="F1828" s="22">
        <v>862531042821968</v>
      </c>
      <c r="M1828" s="2" t="s">
        <v>2398</v>
      </c>
      <c r="N1828" s="2" t="s">
        <v>2399</v>
      </c>
      <c r="O1828" s="18">
        <v>44239</v>
      </c>
      <c r="S1828" s="1" t="s">
        <v>704</v>
      </c>
    </row>
    <row r="1829" spans="1:19" hidden="1" outlineLevel="1">
      <c r="A1829" s="1">
        <v>7</v>
      </c>
      <c r="E1829" s="1" t="s">
        <v>176</v>
      </c>
      <c r="F1829" s="22">
        <v>862531042208976</v>
      </c>
      <c r="M1829" s="2" t="s">
        <v>2400</v>
      </c>
      <c r="N1829" s="2" t="s">
        <v>1881</v>
      </c>
      <c r="O1829" s="18">
        <v>44237</v>
      </c>
      <c r="S1829" s="1" t="s">
        <v>705</v>
      </c>
    </row>
    <row r="1830" spans="1:19" hidden="1" outlineLevel="1">
      <c r="A1830" s="1">
        <v>8</v>
      </c>
      <c r="E1830" s="1" t="s">
        <v>176</v>
      </c>
      <c r="F1830" s="22">
        <v>862531042766106</v>
      </c>
      <c r="M1830" s="2" t="s">
        <v>2401</v>
      </c>
      <c r="N1830" s="2" t="s">
        <v>2402</v>
      </c>
      <c r="O1830" s="18">
        <v>44239</v>
      </c>
      <c r="S1830" s="1" t="s">
        <v>706</v>
      </c>
    </row>
    <row r="1831" spans="1:19" hidden="1" outlineLevel="1">
      <c r="A1831" s="1">
        <v>9</v>
      </c>
      <c r="E1831" s="1" t="s">
        <v>176</v>
      </c>
      <c r="F1831" s="22">
        <v>862531042808353</v>
      </c>
      <c r="M1831" s="2" t="s">
        <v>2403</v>
      </c>
      <c r="N1831" s="2" t="s">
        <v>2404</v>
      </c>
      <c r="O1831" s="18">
        <v>44260</v>
      </c>
      <c r="S1831" s="1" t="s">
        <v>707</v>
      </c>
    </row>
    <row r="1832" spans="1:19" hidden="1" outlineLevel="1">
      <c r="A1832" s="1">
        <v>10</v>
      </c>
      <c r="E1832" s="1" t="s">
        <v>176</v>
      </c>
      <c r="F1832" s="22">
        <v>862531042161738</v>
      </c>
      <c r="M1832" s="2" t="s">
        <v>2405</v>
      </c>
      <c r="N1832" s="2" t="s">
        <v>2406</v>
      </c>
      <c r="O1832" s="18">
        <v>44236</v>
      </c>
      <c r="S1832" s="1" t="s">
        <v>708</v>
      </c>
    </row>
    <row r="1833" spans="1:19" hidden="1" outlineLevel="1">
      <c r="A1833" s="1">
        <v>11</v>
      </c>
      <c r="E1833" s="1" t="s">
        <v>609</v>
      </c>
      <c r="F1833" s="22">
        <v>866795039117922</v>
      </c>
      <c r="M1833" s="2" t="s">
        <v>2407</v>
      </c>
      <c r="N1833" s="2" t="s">
        <v>293</v>
      </c>
      <c r="O1833" s="18">
        <v>43376</v>
      </c>
    </row>
    <row r="1834" spans="1:19" hidden="1" outlineLevel="1">
      <c r="A1834" s="1">
        <v>12</v>
      </c>
      <c r="E1834" s="1" t="s">
        <v>609</v>
      </c>
      <c r="F1834" s="22">
        <v>866795039006497</v>
      </c>
      <c r="M1834" s="2" t="s">
        <v>2408</v>
      </c>
      <c r="N1834" s="2" t="s">
        <v>2328</v>
      </c>
      <c r="O1834" s="18">
        <v>44252</v>
      </c>
    </row>
    <row r="1835" spans="1:19" hidden="1" outlineLevel="1">
      <c r="A1835" s="8"/>
      <c r="B1835" s="58"/>
      <c r="C1835" s="159"/>
      <c r="D1835" s="8"/>
      <c r="E1835" s="8"/>
      <c r="F1835" s="9"/>
      <c r="G1835" s="8"/>
      <c r="H1835" s="8"/>
      <c r="I1835" s="8"/>
      <c r="J1835" s="58"/>
      <c r="K1835" s="8"/>
      <c r="L1835" s="58"/>
      <c r="M1835" s="8"/>
      <c r="N1835" s="8"/>
      <c r="O1835" s="58"/>
      <c r="P1835" s="8"/>
      <c r="Q1835" s="8"/>
      <c r="R1835" s="8"/>
      <c r="S1835" s="8"/>
    </row>
    <row r="1836" spans="1:19" hidden="1" outlineLevel="1">
      <c r="A1836" s="1">
        <v>1</v>
      </c>
      <c r="B1836" s="11">
        <v>44242</v>
      </c>
      <c r="C1836" s="160">
        <v>458</v>
      </c>
      <c r="E1836" s="1" t="s">
        <v>229</v>
      </c>
      <c r="F1836" s="22">
        <v>866795038252084</v>
      </c>
      <c r="G1836" s="4" t="s">
        <v>510</v>
      </c>
      <c r="M1836" s="2" t="s">
        <v>2409</v>
      </c>
      <c r="N1836" s="2" t="s">
        <v>2410</v>
      </c>
      <c r="O1836" s="18">
        <v>44244</v>
      </c>
      <c r="S1836" s="1" t="s">
        <v>709</v>
      </c>
    </row>
    <row r="1837" spans="1:19" hidden="1" outlineLevel="1">
      <c r="A1837" s="1">
        <v>2</v>
      </c>
      <c r="E1837" s="1" t="s">
        <v>229</v>
      </c>
      <c r="F1837" s="22">
        <v>866795037518758</v>
      </c>
      <c r="M1837" s="2" t="s">
        <v>2411</v>
      </c>
      <c r="N1837" s="2" t="s">
        <v>2410</v>
      </c>
      <c r="O1837" s="18">
        <v>44244</v>
      </c>
      <c r="S1837" s="1" t="s">
        <v>709</v>
      </c>
    </row>
    <row r="1838" spans="1:19" hidden="1" outlineLevel="1">
      <c r="A1838" s="1">
        <v>3</v>
      </c>
      <c r="E1838" s="1" t="s">
        <v>229</v>
      </c>
      <c r="F1838" s="22">
        <v>866795037479787</v>
      </c>
      <c r="M1838" s="2" t="s">
        <v>2412</v>
      </c>
      <c r="N1838" s="2" t="s">
        <v>2410</v>
      </c>
      <c r="O1838" s="18">
        <v>44244</v>
      </c>
      <c r="S1838" s="1" t="s">
        <v>709</v>
      </c>
    </row>
    <row r="1839" spans="1:19" hidden="1" outlineLevel="1">
      <c r="A1839" s="1">
        <v>4</v>
      </c>
      <c r="E1839" s="1" t="s">
        <v>229</v>
      </c>
      <c r="F1839" s="22">
        <v>866795037517560</v>
      </c>
      <c r="M1839" s="2" t="s">
        <v>2413</v>
      </c>
      <c r="N1839" s="2" t="s">
        <v>2410</v>
      </c>
      <c r="O1839" s="18">
        <v>44244</v>
      </c>
      <c r="S1839" s="1" t="s">
        <v>709</v>
      </c>
    </row>
    <row r="1840" spans="1:19" hidden="1" outlineLevel="1">
      <c r="A1840" s="1">
        <v>5</v>
      </c>
      <c r="E1840" s="1" t="s">
        <v>229</v>
      </c>
      <c r="F1840" s="22">
        <v>866795037519061</v>
      </c>
      <c r="M1840" s="2" t="s">
        <v>2414</v>
      </c>
      <c r="N1840" s="2" t="s">
        <v>2410</v>
      </c>
      <c r="O1840" s="18">
        <v>44244</v>
      </c>
      <c r="S1840" s="1" t="s">
        <v>709</v>
      </c>
    </row>
    <row r="1841" spans="1:19" hidden="1" outlineLevel="1">
      <c r="A1841" s="1">
        <v>6</v>
      </c>
      <c r="E1841" s="1" t="s">
        <v>229</v>
      </c>
      <c r="F1841" s="22">
        <v>866795037705090</v>
      </c>
      <c r="M1841" s="2" t="s">
        <v>2415</v>
      </c>
      <c r="N1841" s="2" t="s">
        <v>2410</v>
      </c>
      <c r="O1841" s="18">
        <v>44244</v>
      </c>
      <c r="S1841" s="1" t="s">
        <v>709</v>
      </c>
    </row>
    <row r="1842" spans="1:19" hidden="1" outlineLevel="1">
      <c r="A1842" s="1">
        <v>7</v>
      </c>
      <c r="E1842" s="1" t="s">
        <v>229</v>
      </c>
      <c r="F1842" s="22">
        <v>866795037702162</v>
      </c>
      <c r="M1842" s="2" t="s">
        <v>2416</v>
      </c>
      <c r="N1842" s="2" t="s">
        <v>2410</v>
      </c>
      <c r="O1842" s="18">
        <v>44244</v>
      </c>
      <c r="S1842" s="1" t="s">
        <v>709</v>
      </c>
    </row>
    <row r="1843" spans="1:19" hidden="1" outlineLevel="1">
      <c r="A1843" s="1">
        <v>8</v>
      </c>
      <c r="E1843" s="1" t="s">
        <v>229</v>
      </c>
      <c r="F1843" s="22">
        <v>866795038221121</v>
      </c>
      <c r="M1843" s="2">
        <v>866795038221121</v>
      </c>
      <c r="N1843" s="2" t="s">
        <v>2410</v>
      </c>
      <c r="O1843" s="18">
        <v>44244</v>
      </c>
      <c r="S1843" s="1" t="s">
        <v>709</v>
      </c>
    </row>
    <row r="1844" spans="1:19" hidden="1" outlineLevel="1">
      <c r="A1844" s="1">
        <v>9</v>
      </c>
      <c r="E1844" s="1" t="s">
        <v>229</v>
      </c>
      <c r="F1844" s="22">
        <v>866795037527411</v>
      </c>
      <c r="M1844" s="2" t="s">
        <v>2417</v>
      </c>
      <c r="N1844" s="2" t="s">
        <v>2410</v>
      </c>
      <c r="O1844" s="18">
        <v>44244</v>
      </c>
      <c r="S1844" s="1" t="s">
        <v>709</v>
      </c>
    </row>
    <row r="1845" spans="1:19" hidden="1" outlineLevel="1">
      <c r="A1845" s="1">
        <v>10</v>
      </c>
      <c r="E1845" s="1" t="s">
        <v>229</v>
      </c>
      <c r="F1845" s="22">
        <v>866795038218234</v>
      </c>
      <c r="M1845" s="2" t="s">
        <v>2418</v>
      </c>
      <c r="N1845" s="2" t="s">
        <v>2410</v>
      </c>
      <c r="O1845" s="18">
        <v>44244</v>
      </c>
      <c r="S1845" s="1" t="s">
        <v>709</v>
      </c>
    </row>
    <row r="1846" spans="1:19" hidden="1" outlineLevel="1">
      <c r="A1846" s="1">
        <v>11</v>
      </c>
      <c r="E1846" s="1" t="s">
        <v>627</v>
      </c>
      <c r="F1846" s="22">
        <v>862531041410680</v>
      </c>
      <c r="M1846" s="2" t="s">
        <v>2419</v>
      </c>
      <c r="N1846" s="2" t="s">
        <v>2186</v>
      </c>
      <c r="O1846" s="18">
        <v>44246</v>
      </c>
      <c r="S1846" s="1" t="s">
        <v>710</v>
      </c>
    </row>
    <row r="1847" spans="1:19" hidden="1" outlineLevel="1">
      <c r="A1847" s="8"/>
      <c r="B1847" s="58"/>
      <c r="C1847" s="159"/>
      <c r="D1847" s="8"/>
      <c r="E1847" s="8"/>
      <c r="F1847" s="9"/>
      <c r="G1847" s="8"/>
      <c r="H1847" s="8"/>
      <c r="I1847" s="8"/>
      <c r="J1847" s="58"/>
      <c r="K1847" s="8"/>
      <c r="L1847" s="58"/>
      <c r="M1847" s="8"/>
      <c r="N1847" s="8"/>
      <c r="O1847" s="58"/>
      <c r="P1847" s="8"/>
      <c r="Q1847" s="8"/>
      <c r="R1847" s="8"/>
      <c r="S1847" s="8"/>
    </row>
    <row r="1848" spans="1:19" hidden="1" outlineLevel="1">
      <c r="A1848" s="1">
        <v>1</v>
      </c>
      <c r="B1848" s="11">
        <v>44242</v>
      </c>
      <c r="C1848" s="160">
        <v>459</v>
      </c>
      <c r="E1848" s="1" t="s">
        <v>229</v>
      </c>
      <c r="F1848" s="22">
        <v>866795037699277</v>
      </c>
      <c r="M1848" s="2" t="s">
        <v>2420</v>
      </c>
      <c r="N1848" s="2" t="s">
        <v>2421</v>
      </c>
      <c r="O1848" s="18">
        <v>44257</v>
      </c>
      <c r="S1848" s="1" t="s">
        <v>711</v>
      </c>
    </row>
    <row r="1849" spans="1:19" hidden="1" outlineLevel="1">
      <c r="A1849" s="1">
        <v>2</v>
      </c>
      <c r="E1849" s="1" t="s">
        <v>229</v>
      </c>
      <c r="F1849" s="22">
        <v>866795038366611</v>
      </c>
      <c r="M1849" s="2" t="s">
        <v>2422</v>
      </c>
      <c r="N1849" s="2" t="s">
        <v>2421</v>
      </c>
      <c r="O1849" s="18">
        <v>44257</v>
      </c>
      <c r="S1849" s="1" t="s">
        <v>711</v>
      </c>
    </row>
    <row r="1850" spans="1:19" hidden="1" outlineLevel="1">
      <c r="A1850" s="1">
        <v>3</v>
      </c>
      <c r="E1850" s="1" t="s">
        <v>229</v>
      </c>
      <c r="F1850" s="22">
        <v>866795038214696</v>
      </c>
      <c r="M1850" s="2">
        <v>866795038214696</v>
      </c>
      <c r="N1850" s="2" t="s">
        <v>2423</v>
      </c>
      <c r="O1850" s="18">
        <v>44260</v>
      </c>
      <c r="S1850" s="1" t="s">
        <v>699</v>
      </c>
    </row>
    <row r="1851" spans="1:19" hidden="1" outlineLevel="1">
      <c r="A1851" s="1">
        <v>4</v>
      </c>
      <c r="E1851" s="1" t="s">
        <v>229</v>
      </c>
      <c r="F1851" s="22">
        <v>866795037699160</v>
      </c>
      <c r="M1851" s="2" t="s">
        <v>2424</v>
      </c>
      <c r="N1851" s="2" t="s">
        <v>1944</v>
      </c>
      <c r="O1851" s="18">
        <v>44175</v>
      </c>
      <c r="S1851" s="1" t="s">
        <v>712</v>
      </c>
    </row>
    <row r="1852" spans="1:19" hidden="1" outlineLevel="1">
      <c r="A1852" s="1">
        <v>5</v>
      </c>
      <c r="E1852" s="1" t="s">
        <v>229</v>
      </c>
      <c r="F1852" s="22">
        <v>866795037689013</v>
      </c>
      <c r="M1852" s="2" t="s">
        <v>2425</v>
      </c>
      <c r="N1852" s="2" t="s">
        <v>2426</v>
      </c>
      <c r="O1852" s="18">
        <v>44245</v>
      </c>
      <c r="S1852" s="1" t="s">
        <v>713</v>
      </c>
    </row>
    <row r="1853" spans="1:19" hidden="1" outlineLevel="1">
      <c r="A1853" s="8"/>
      <c r="B1853" s="58"/>
      <c r="C1853" s="159"/>
      <c r="D1853" s="8"/>
      <c r="E1853" s="8"/>
      <c r="F1853" s="9"/>
      <c r="G1853" s="8"/>
      <c r="H1853" s="8"/>
      <c r="I1853" s="8"/>
      <c r="J1853" s="58"/>
      <c r="K1853" s="8"/>
      <c r="L1853" s="58"/>
      <c r="M1853" s="8"/>
      <c r="N1853" s="8"/>
      <c r="O1853" s="58"/>
      <c r="P1853" s="8"/>
      <c r="Q1853" s="8"/>
      <c r="R1853" s="8"/>
      <c r="S1853" s="8"/>
    </row>
    <row r="1854" spans="1:19" hidden="1" outlineLevel="1">
      <c r="A1854" s="1">
        <v>1</v>
      </c>
      <c r="B1854" s="11">
        <v>44260</v>
      </c>
      <c r="C1854" s="160">
        <v>772</v>
      </c>
      <c r="E1854" s="1" t="s">
        <v>176</v>
      </c>
      <c r="F1854" s="22">
        <v>862531043242784</v>
      </c>
      <c r="M1854" s="2" t="s">
        <v>2427</v>
      </c>
      <c r="N1854" s="2" t="s">
        <v>2428</v>
      </c>
      <c r="O1854" s="18">
        <v>44275</v>
      </c>
      <c r="S1854" s="1" t="s">
        <v>714</v>
      </c>
    </row>
    <row r="1855" spans="1:19" hidden="1" outlineLevel="1">
      <c r="A1855" s="1">
        <v>2</v>
      </c>
      <c r="E1855" s="1" t="s">
        <v>176</v>
      </c>
      <c r="F1855" s="22">
        <v>862531043720706</v>
      </c>
      <c r="M1855" s="2" t="s">
        <v>2429</v>
      </c>
      <c r="N1855" s="2" t="s">
        <v>2430</v>
      </c>
      <c r="O1855" s="18">
        <v>44280</v>
      </c>
      <c r="S1855" s="1" t="s">
        <v>715</v>
      </c>
    </row>
    <row r="1856" spans="1:19" hidden="1" outlineLevel="1">
      <c r="A1856" s="1">
        <v>3</v>
      </c>
      <c r="E1856" s="1" t="s">
        <v>176</v>
      </c>
      <c r="F1856" s="22">
        <v>862531043670125</v>
      </c>
      <c r="M1856" s="2" t="s">
        <v>2431</v>
      </c>
      <c r="N1856" s="2" t="s">
        <v>2432</v>
      </c>
      <c r="O1856" s="18">
        <v>44278</v>
      </c>
      <c r="S1856" s="1" t="s">
        <v>716</v>
      </c>
    </row>
    <row r="1857" spans="1:19" hidden="1" outlineLevel="1">
      <c r="A1857" s="1">
        <v>4</v>
      </c>
      <c r="E1857" s="1" t="s">
        <v>176</v>
      </c>
      <c r="F1857" s="22">
        <v>862531043875351</v>
      </c>
      <c r="M1857" s="2" t="s">
        <v>2433</v>
      </c>
      <c r="N1857" s="2" t="s">
        <v>2428</v>
      </c>
      <c r="O1857" s="18">
        <v>44275</v>
      </c>
      <c r="S1857" s="1" t="s">
        <v>714</v>
      </c>
    </row>
    <row r="1858" spans="1:19" hidden="1" outlineLevel="1">
      <c r="A1858" s="1">
        <v>5</v>
      </c>
      <c r="E1858" s="1" t="s">
        <v>176</v>
      </c>
      <c r="F1858" s="22">
        <v>862531043873281</v>
      </c>
      <c r="M1858" s="2" t="s">
        <v>2434</v>
      </c>
      <c r="N1858" s="2" t="s">
        <v>2406</v>
      </c>
      <c r="O1858" s="18">
        <v>44273</v>
      </c>
      <c r="S1858" s="1" t="s">
        <v>717</v>
      </c>
    </row>
    <row r="1859" spans="1:19" hidden="1" outlineLevel="1">
      <c r="A1859" s="1">
        <v>6</v>
      </c>
      <c r="E1859" s="1" t="s">
        <v>176</v>
      </c>
      <c r="F1859" s="22">
        <v>862531043885160</v>
      </c>
      <c r="M1859" s="2" t="s">
        <v>2435</v>
      </c>
      <c r="N1859" s="2" t="s">
        <v>2406</v>
      </c>
      <c r="O1859" s="18">
        <v>44274</v>
      </c>
      <c r="S1859" s="1" t="s">
        <v>718</v>
      </c>
    </row>
    <row r="1860" spans="1:19" hidden="1" outlineLevel="1">
      <c r="A1860" s="1">
        <v>7</v>
      </c>
      <c r="E1860" s="1" t="s">
        <v>176</v>
      </c>
      <c r="F1860" s="22">
        <v>862531043817536</v>
      </c>
      <c r="G1860" s="4" t="s">
        <v>507</v>
      </c>
      <c r="M1860" s="2" t="s">
        <v>2436</v>
      </c>
      <c r="N1860" s="2" t="s">
        <v>896</v>
      </c>
      <c r="O1860" s="18">
        <v>44329</v>
      </c>
      <c r="S1860" s="1" t="s">
        <v>719</v>
      </c>
    </row>
    <row r="1861" spans="1:19" hidden="1" outlineLevel="1">
      <c r="A1861" s="1">
        <v>8</v>
      </c>
      <c r="E1861" s="1" t="s">
        <v>176</v>
      </c>
      <c r="F1861" s="22">
        <v>862531043263533</v>
      </c>
      <c r="G1861" s="4" t="s">
        <v>507</v>
      </c>
      <c r="S1861" s="1" t="s">
        <v>719</v>
      </c>
    </row>
    <row r="1862" spans="1:19" hidden="1" outlineLevel="1">
      <c r="A1862" s="1">
        <v>9</v>
      </c>
      <c r="E1862" s="1" t="s">
        <v>176</v>
      </c>
      <c r="F1862" s="22">
        <v>862531043722207</v>
      </c>
      <c r="M1862" s="2" t="s">
        <v>2437</v>
      </c>
      <c r="N1862" s="2" t="s">
        <v>2438</v>
      </c>
      <c r="O1862" s="18">
        <v>44272</v>
      </c>
      <c r="S1862" s="1" t="s">
        <v>720</v>
      </c>
    </row>
    <row r="1863" spans="1:19" hidden="1" outlineLevel="1">
      <c r="A1863" s="1">
        <v>10</v>
      </c>
      <c r="E1863" s="1" t="s">
        <v>176</v>
      </c>
      <c r="F1863" s="22">
        <v>862531043240143</v>
      </c>
      <c r="M1863" s="2" t="s">
        <v>2439</v>
      </c>
      <c r="N1863" s="2" t="s">
        <v>2440</v>
      </c>
      <c r="O1863" s="18">
        <v>44279</v>
      </c>
      <c r="S1863" s="1" t="s">
        <v>721</v>
      </c>
    </row>
    <row r="1864" spans="1:19" hidden="1" outlineLevel="1">
      <c r="A1864" s="1">
        <v>11</v>
      </c>
      <c r="E1864" s="1" t="s">
        <v>176</v>
      </c>
      <c r="F1864" s="22">
        <v>862531043242255</v>
      </c>
      <c r="M1864" s="2" t="s">
        <v>2441</v>
      </c>
      <c r="N1864" s="2" t="s">
        <v>2442</v>
      </c>
      <c r="O1864" s="18">
        <v>44265</v>
      </c>
      <c r="S1864" s="1" t="s">
        <v>722</v>
      </c>
    </row>
    <row r="1865" spans="1:19" hidden="1" outlineLevel="1">
      <c r="A1865" s="1">
        <v>12</v>
      </c>
      <c r="E1865" s="1" t="s">
        <v>176</v>
      </c>
      <c r="F1865" s="22">
        <v>862531043263350</v>
      </c>
      <c r="G1865" s="4" t="s">
        <v>507</v>
      </c>
      <c r="M1865" s="2" t="s">
        <v>2443</v>
      </c>
      <c r="N1865" s="2" t="s">
        <v>2444</v>
      </c>
      <c r="O1865" s="18">
        <v>44328</v>
      </c>
      <c r="S1865" s="1" t="s">
        <v>719</v>
      </c>
    </row>
    <row r="1866" spans="1:19" hidden="1" outlineLevel="1">
      <c r="A1866" s="1">
        <v>13</v>
      </c>
      <c r="E1866" s="1" t="s">
        <v>176</v>
      </c>
      <c r="F1866" s="22">
        <v>862531043669838</v>
      </c>
      <c r="M1866" s="2" t="s">
        <v>2445</v>
      </c>
      <c r="N1866" s="2" t="s">
        <v>1472</v>
      </c>
      <c r="O1866" s="18">
        <v>44277</v>
      </c>
      <c r="S1866" s="1" t="s">
        <v>723</v>
      </c>
    </row>
    <row r="1867" spans="1:19" hidden="1" outlineLevel="1">
      <c r="A1867" s="1">
        <v>14</v>
      </c>
      <c r="E1867" s="1" t="s">
        <v>176</v>
      </c>
      <c r="F1867" s="22">
        <v>862531043243568</v>
      </c>
      <c r="M1867" s="2" t="s">
        <v>2446</v>
      </c>
      <c r="N1867" s="2" t="s">
        <v>931</v>
      </c>
      <c r="O1867" s="18">
        <v>44265</v>
      </c>
      <c r="S1867" s="1" t="s">
        <v>724</v>
      </c>
    </row>
    <row r="1868" spans="1:19" hidden="1" outlineLevel="1">
      <c r="A1868" s="1">
        <v>15</v>
      </c>
      <c r="E1868" s="1" t="s">
        <v>176</v>
      </c>
      <c r="F1868" s="22">
        <v>862531043832642</v>
      </c>
      <c r="M1868" s="2" t="s">
        <v>2447</v>
      </c>
      <c r="N1868" s="2" t="s">
        <v>2430</v>
      </c>
      <c r="O1868" s="18">
        <v>44280</v>
      </c>
      <c r="S1868" s="1" t="s">
        <v>715</v>
      </c>
    </row>
    <row r="1869" spans="1:19" hidden="1" outlineLevel="1">
      <c r="A1869" s="1">
        <v>16</v>
      </c>
      <c r="E1869" s="1" t="s">
        <v>176</v>
      </c>
      <c r="F1869" s="22">
        <v>862531043670232</v>
      </c>
      <c r="M1869" s="2" t="s">
        <v>2448</v>
      </c>
      <c r="N1869" s="2" t="s">
        <v>1355</v>
      </c>
      <c r="O1869" s="18">
        <v>42250</v>
      </c>
      <c r="S1869" s="1" t="s">
        <v>725</v>
      </c>
    </row>
    <row r="1870" spans="1:19" hidden="1" outlineLevel="1">
      <c r="A1870" s="1">
        <v>17</v>
      </c>
      <c r="E1870" s="1" t="s">
        <v>176</v>
      </c>
      <c r="F1870" s="22">
        <v>862531043722314</v>
      </c>
      <c r="G1870" s="4" t="s">
        <v>507</v>
      </c>
      <c r="S1870" s="1" t="s">
        <v>719</v>
      </c>
    </row>
    <row r="1871" spans="1:19" hidden="1" outlineLevel="1">
      <c r="A1871" s="1">
        <v>18</v>
      </c>
      <c r="E1871" s="1" t="s">
        <v>176</v>
      </c>
      <c r="F1871" s="22">
        <v>862531043722371</v>
      </c>
      <c r="M1871" s="2" t="s">
        <v>2449</v>
      </c>
      <c r="N1871" s="2" t="s">
        <v>2450</v>
      </c>
      <c r="O1871" s="18">
        <v>41593</v>
      </c>
      <c r="S1871" s="1" t="s">
        <v>726</v>
      </c>
    </row>
    <row r="1872" spans="1:19" hidden="1" outlineLevel="1">
      <c r="A1872" s="1">
        <v>19</v>
      </c>
      <c r="E1872" s="1" t="s">
        <v>176</v>
      </c>
      <c r="F1872" s="22">
        <v>862531043722041</v>
      </c>
      <c r="M1872" s="2" t="s">
        <v>2451</v>
      </c>
      <c r="N1872" s="2" t="s">
        <v>2452</v>
      </c>
      <c r="O1872" s="18">
        <v>44279</v>
      </c>
      <c r="S1872" s="1" t="s">
        <v>727</v>
      </c>
    </row>
    <row r="1873" spans="1:19" hidden="1" outlineLevel="1">
      <c r="A1873" s="1">
        <v>20</v>
      </c>
      <c r="E1873" s="1" t="s">
        <v>176</v>
      </c>
      <c r="F1873" s="22">
        <v>862531043885343</v>
      </c>
      <c r="M1873" s="2" t="s">
        <v>2453</v>
      </c>
      <c r="N1873" s="2" t="s">
        <v>2454</v>
      </c>
      <c r="O1873" s="18">
        <v>44279</v>
      </c>
      <c r="S1873" s="1" t="s">
        <v>728</v>
      </c>
    </row>
    <row r="1874" spans="1:19" hidden="1" outlineLevel="1">
      <c r="A1874" s="1">
        <v>21</v>
      </c>
      <c r="E1874" s="1" t="s">
        <v>229</v>
      </c>
      <c r="F1874" s="22">
        <v>862531042110875</v>
      </c>
      <c r="G1874" s="4" t="s">
        <v>511</v>
      </c>
      <c r="M1874" s="2" t="s">
        <v>2455</v>
      </c>
      <c r="N1874" s="2" t="s">
        <v>2456</v>
      </c>
      <c r="O1874" s="18">
        <v>44299</v>
      </c>
    </row>
    <row r="1875" spans="1:19" hidden="1" outlineLevel="1">
      <c r="A1875" s="1">
        <v>22</v>
      </c>
      <c r="E1875" s="1" t="s">
        <v>229</v>
      </c>
      <c r="F1875" s="22">
        <v>862531042782137</v>
      </c>
      <c r="M1875" s="2" t="s">
        <v>2457</v>
      </c>
      <c r="N1875" s="2" t="s">
        <v>2458</v>
      </c>
      <c r="O1875" s="18">
        <v>44278</v>
      </c>
      <c r="S1875" s="1" t="s">
        <v>729</v>
      </c>
    </row>
    <row r="1876" spans="1:19" hidden="1" outlineLevel="1">
      <c r="A1876" s="1">
        <v>23</v>
      </c>
      <c r="E1876" s="1" t="s">
        <v>229</v>
      </c>
      <c r="F1876" s="22">
        <v>862531042170507</v>
      </c>
      <c r="G1876" s="4" t="s">
        <v>511</v>
      </c>
      <c r="M1876" s="2" t="s">
        <v>2459</v>
      </c>
      <c r="N1876" s="2" t="s">
        <v>2460</v>
      </c>
      <c r="O1876" s="18">
        <v>44309</v>
      </c>
    </row>
    <row r="1877" spans="1:19" hidden="1" outlineLevel="1">
      <c r="A1877" s="1">
        <v>24</v>
      </c>
      <c r="E1877" s="1" t="s">
        <v>229</v>
      </c>
      <c r="F1877" s="22">
        <v>862531042774480</v>
      </c>
      <c r="M1877" s="2" t="s">
        <v>2461</v>
      </c>
      <c r="N1877" s="2" t="s">
        <v>2462</v>
      </c>
      <c r="O1877" s="18">
        <v>44279</v>
      </c>
      <c r="S1877" s="1" t="s">
        <v>730</v>
      </c>
    </row>
    <row r="1878" spans="1:19" hidden="1" outlineLevel="1">
      <c r="A1878" s="1">
        <v>25</v>
      </c>
      <c r="E1878" s="1" t="s">
        <v>229</v>
      </c>
      <c r="F1878" s="22">
        <v>862531042045022</v>
      </c>
      <c r="G1878" s="4" t="s">
        <v>511</v>
      </c>
      <c r="M1878" s="2" t="s">
        <v>2463</v>
      </c>
      <c r="N1878" s="2" t="s">
        <v>2464</v>
      </c>
      <c r="O1878" s="18">
        <v>44309</v>
      </c>
    </row>
    <row r="1879" spans="1:19" hidden="1" outlineLevel="1">
      <c r="A1879" s="1">
        <v>26</v>
      </c>
      <c r="E1879" s="1" t="s">
        <v>229</v>
      </c>
      <c r="F1879" s="22">
        <v>862531042736521</v>
      </c>
      <c r="M1879" s="2">
        <v>862531042736521</v>
      </c>
      <c r="N1879" s="2" t="s">
        <v>1643</v>
      </c>
      <c r="O1879" s="18">
        <v>44266</v>
      </c>
      <c r="S1879" s="1" t="s">
        <v>731</v>
      </c>
    </row>
    <row r="1880" spans="1:19" hidden="1" outlineLevel="1">
      <c r="A1880" s="1">
        <v>27</v>
      </c>
      <c r="E1880" s="1" t="s">
        <v>229</v>
      </c>
      <c r="F1880" s="22">
        <v>862531042805953</v>
      </c>
      <c r="G1880" s="4" t="s">
        <v>511</v>
      </c>
      <c r="M1880" s="2" t="s">
        <v>2465</v>
      </c>
      <c r="N1880" s="2" t="s">
        <v>2466</v>
      </c>
      <c r="O1880" s="18">
        <v>44306</v>
      </c>
    </row>
    <row r="1881" spans="1:19" hidden="1" outlineLevel="1">
      <c r="A1881" s="1">
        <v>28</v>
      </c>
      <c r="E1881" s="1" t="s">
        <v>229</v>
      </c>
      <c r="F1881" s="22">
        <v>866795037622816</v>
      </c>
      <c r="M1881" s="2" t="s">
        <v>2467</v>
      </c>
      <c r="N1881" s="2" t="s">
        <v>2468</v>
      </c>
      <c r="O1881" s="18">
        <v>44274</v>
      </c>
      <c r="S1881" s="1" t="s">
        <v>732</v>
      </c>
    </row>
    <row r="1882" spans="1:19" hidden="1" outlineLevel="1">
      <c r="A1882" s="1">
        <v>29</v>
      </c>
      <c r="E1882" s="1" t="s">
        <v>229</v>
      </c>
      <c r="F1882" s="22">
        <v>866795037690516</v>
      </c>
      <c r="M1882" s="2" t="s">
        <v>2469</v>
      </c>
      <c r="N1882" s="2" t="s">
        <v>2470</v>
      </c>
      <c r="O1882" s="18">
        <v>44285</v>
      </c>
      <c r="S1882" s="1" t="s">
        <v>733</v>
      </c>
    </row>
    <row r="1883" spans="1:19" hidden="1" outlineLevel="1">
      <c r="A1883" s="1">
        <v>30</v>
      </c>
      <c r="E1883" s="1" t="s">
        <v>229</v>
      </c>
      <c r="F1883" s="22">
        <v>862531042806126</v>
      </c>
      <c r="G1883" s="4" t="s">
        <v>511</v>
      </c>
      <c r="M1883" s="2" t="s">
        <v>2471</v>
      </c>
      <c r="N1883" s="2" t="s">
        <v>2472</v>
      </c>
      <c r="O1883" s="18">
        <v>44313</v>
      </c>
    </row>
    <row r="1884" spans="1:19" hidden="1" outlineLevel="1">
      <c r="A1884" s="1">
        <v>31</v>
      </c>
      <c r="E1884" s="1" t="s">
        <v>609</v>
      </c>
      <c r="F1884" s="22">
        <v>866795039080450</v>
      </c>
      <c r="M1884" s="2" t="s">
        <v>2473</v>
      </c>
      <c r="N1884" s="2" t="s">
        <v>293</v>
      </c>
      <c r="O1884" s="18">
        <v>44271</v>
      </c>
    </row>
    <row r="1885" spans="1:19" hidden="1" outlineLevel="1">
      <c r="A1885" s="1">
        <v>32</v>
      </c>
      <c r="E1885" s="1" t="s">
        <v>628</v>
      </c>
      <c r="F1885" s="22">
        <v>868328057534410</v>
      </c>
      <c r="M1885" s="2" t="s">
        <v>2474</v>
      </c>
      <c r="N1885" s="2" t="s">
        <v>1929</v>
      </c>
      <c r="O1885" s="18">
        <v>44280</v>
      </c>
      <c r="S1885" s="1" t="s">
        <v>734</v>
      </c>
    </row>
    <row r="1886" spans="1:19" hidden="1" outlineLevel="1">
      <c r="A1886" s="8"/>
      <c r="B1886" s="58"/>
      <c r="C1886" s="159"/>
      <c r="D1886" s="8"/>
      <c r="E1886" s="8"/>
      <c r="F1886" s="9"/>
      <c r="G1886" s="8"/>
      <c r="H1886" s="8"/>
      <c r="I1886" s="8"/>
      <c r="J1886" s="58"/>
      <c r="K1886" s="8"/>
      <c r="L1886" s="58"/>
      <c r="M1886" s="8"/>
      <c r="N1886" s="8"/>
      <c r="O1886" s="58"/>
      <c r="P1886" s="8"/>
      <c r="Q1886" s="8"/>
      <c r="R1886" s="8"/>
      <c r="S1886" s="8"/>
    </row>
    <row r="1887" spans="1:19" hidden="1" outlineLevel="1">
      <c r="A1887" s="1">
        <v>1</v>
      </c>
      <c r="B1887" s="11">
        <v>44278</v>
      </c>
      <c r="C1887" s="160">
        <v>1089</v>
      </c>
      <c r="E1887" s="1" t="s">
        <v>609</v>
      </c>
      <c r="F1887" s="22">
        <v>866795034550218</v>
      </c>
      <c r="M1887" s="2" t="s">
        <v>2475</v>
      </c>
      <c r="N1887" s="2" t="s">
        <v>293</v>
      </c>
      <c r="O1887" s="18">
        <v>44309</v>
      </c>
    </row>
    <row r="1888" spans="1:19" hidden="1" outlineLevel="1">
      <c r="A1888" s="1">
        <v>2</v>
      </c>
      <c r="E1888" s="1" t="s">
        <v>628</v>
      </c>
      <c r="F1888" s="22">
        <v>869640059778350</v>
      </c>
      <c r="M1888" s="2" t="s">
        <v>2476</v>
      </c>
      <c r="N1888" s="2" t="s">
        <v>2477</v>
      </c>
      <c r="O1888" s="18">
        <v>44286</v>
      </c>
      <c r="S1888" s="1" t="s">
        <v>735</v>
      </c>
    </row>
    <row r="1889" spans="1:19" hidden="1" outlineLevel="1">
      <c r="A1889" s="1">
        <v>3</v>
      </c>
      <c r="F1889" s="22">
        <v>869640059843915</v>
      </c>
      <c r="M1889" s="2" t="s">
        <v>2478</v>
      </c>
      <c r="N1889" s="2" t="s">
        <v>1929</v>
      </c>
      <c r="O1889" s="18">
        <v>44281</v>
      </c>
      <c r="S1889" s="1" t="s">
        <v>734</v>
      </c>
    </row>
    <row r="1890" spans="1:19" hidden="1" outlineLevel="1">
      <c r="A1890" s="8"/>
      <c r="B1890" s="58"/>
      <c r="C1890" s="159"/>
      <c r="D1890" s="8"/>
      <c r="E1890" s="8"/>
      <c r="F1890" s="9"/>
      <c r="G1890" s="8"/>
      <c r="H1890" s="8"/>
      <c r="I1890" s="8"/>
      <c r="J1890" s="58"/>
      <c r="K1890" s="8"/>
      <c r="L1890" s="58"/>
      <c r="M1890" s="8"/>
      <c r="N1890" s="8"/>
      <c r="O1890" s="58"/>
      <c r="P1890" s="8"/>
      <c r="Q1890" s="8"/>
      <c r="R1890" s="8"/>
      <c r="S1890" s="8"/>
    </row>
    <row r="1891" spans="1:19" hidden="1" outlineLevel="1">
      <c r="A1891" s="1">
        <v>1</v>
      </c>
      <c r="B1891" s="11">
        <v>44278</v>
      </c>
      <c r="C1891" s="160">
        <v>1090</v>
      </c>
      <c r="E1891" s="1" t="s">
        <v>176</v>
      </c>
      <c r="F1891" s="22">
        <v>862531043915298</v>
      </c>
      <c r="M1891" s="2" t="s">
        <v>2479</v>
      </c>
      <c r="N1891" s="2" t="s">
        <v>2480</v>
      </c>
      <c r="O1891" s="18">
        <v>44284</v>
      </c>
      <c r="S1891" s="1" t="s">
        <v>736</v>
      </c>
    </row>
    <row r="1892" spans="1:19" hidden="1" outlineLevel="1">
      <c r="A1892" s="1">
        <v>2</v>
      </c>
      <c r="F1892" s="22">
        <v>862531043833004</v>
      </c>
      <c r="M1892" s="2" t="s">
        <v>2481</v>
      </c>
      <c r="N1892" s="2" t="s">
        <v>2482</v>
      </c>
      <c r="O1892" s="18">
        <v>44278</v>
      </c>
      <c r="S1892" s="1" t="s">
        <v>737</v>
      </c>
    </row>
    <row r="1893" spans="1:19" hidden="1" outlineLevel="1">
      <c r="A1893" s="1">
        <v>3</v>
      </c>
      <c r="F1893" s="22">
        <v>862531043823609</v>
      </c>
      <c r="M1893" s="2" t="s">
        <v>2483</v>
      </c>
      <c r="N1893" s="2" t="s">
        <v>2484</v>
      </c>
      <c r="O1893" s="18">
        <v>44288</v>
      </c>
    </row>
    <row r="1894" spans="1:19" hidden="1" outlineLevel="1">
      <c r="A1894" s="1">
        <v>4</v>
      </c>
      <c r="F1894" s="22">
        <v>862531043599704</v>
      </c>
      <c r="M1894" s="2" t="s">
        <v>2485</v>
      </c>
      <c r="N1894" s="2" t="s">
        <v>958</v>
      </c>
      <c r="O1894" s="18">
        <v>44351</v>
      </c>
    </row>
    <row r="1895" spans="1:19" hidden="1" outlineLevel="1">
      <c r="A1895" s="1">
        <v>5</v>
      </c>
      <c r="F1895" s="22">
        <v>862531043752410</v>
      </c>
      <c r="M1895" s="2" t="s">
        <v>2486</v>
      </c>
      <c r="N1895" s="2" t="s">
        <v>2487</v>
      </c>
      <c r="O1895" s="18">
        <v>44288</v>
      </c>
    </row>
    <row r="1896" spans="1:19" hidden="1" outlineLevel="1">
      <c r="A1896" s="1">
        <v>6</v>
      </c>
      <c r="F1896" s="22">
        <v>862531043792044</v>
      </c>
      <c r="M1896" s="2" t="s">
        <v>2488</v>
      </c>
      <c r="N1896" s="2" t="s">
        <v>2487</v>
      </c>
      <c r="O1896" s="18">
        <v>44288</v>
      </c>
    </row>
    <row r="1897" spans="1:19" hidden="1" outlineLevel="1">
      <c r="A1897" s="1">
        <v>7</v>
      </c>
      <c r="F1897" s="22">
        <v>862531043778514</v>
      </c>
      <c r="M1897" s="2" t="s">
        <v>2489</v>
      </c>
      <c r="N1897" s="2" t="s">
        <v>2490</v>
      </c>
      <c r="O1897" s="18">
        <v>44286</v>
      </c>
      <c r="S1897" s="1" t="s">
        <v>738</v>
      </c>
    </row>
    <row r="1898" spans="1:19" hidden="1" outlineLevel="1">
      <c r="A1898" s="1">
        <v>8</v>
      </c>
      <c r="F1898" s="22">
        <v>862531043900993</v>
      </c>
      <c r="M1898" s="2" t="s">
        <v>2491</v>
      </c>
      <c r="N1898" s="2" t="s">
        <v>2490</v>
      </c>
      <c r="O1898" s="18">
        <v>44286</v>
      </c>
      <c r="S1898" s="1" t="s">
        <v>738</v>
      </c>
    </row>
    <row r="1899" spans="1:19" hidden="1" outlineLevel="1">
      <c r="A1899" s="1">
        <v>9</v>
      </c>
      <c r="F1899" s="22">
        <v>862531043779009</v>
      </c>
      <c r="M1899" s="2" t="s">
        <v>2492</v>
      </c>
      <c r="N1899" s="2" t="s">
        <v>1610</v>
      </c>
      <c r="O1899" s="18">
        <v>44287</v>
      </c>
    </row>
    <row r="1900" spans="1:19" hidden="1" outlineLevel="1">
      <c r="A1900" s="1">
        <v>10</v>
      </c>
      <c r="F1900" s="22">
        <v>862531043779058</v>
      </c>
      <c r="M1900" s="2" t="s">
        <v>2493</v>
      </c>
      <c r="N1900" s="2" t="s">
        <v>2484</v>
      </c>
      <c r="O1900" s="18">
        <v>44288</v>
      </c>
    </row>
    <row r="1901" spans="1:19" hidden="1" outlineLevel="1">
      <c r="A1901" s="1">
        <v>11</v>
      </c>
      <c r="F1901" s="22">
        <v>862531043755751</v>
      </c>
      <c r="M1901" s="2" t="s">
        <v>2494</v>
      </c>
      <c r="N1901" s="2" t="s">
        <v>2484</v>
      </c>
      <c r="O1901" s="18">
        <v>44288</v>
      </c>
    </row>
    <row r="1902" spans="1:19" hidden="1" outlineLevel="1">
      <c r="A1902" s="1">
        <v>12</v>
      </c>
      <c r="F1902" s="22">
        <v>862531043904003</v>
      </c>
    </row>
    <row r="1903" spans="1:19" hidden="1" outlineLevel="1">
      <c r="A1903" s="1">
        <v>13</v>
      </c>
      <c r="F1903" s="22">
        <v>862531043815761</v>
      </c>
      <c r="M1903" s="2" t="s">
        <v>2495</v>
      </c>
      <c r="N1903" s="2" t="s">
        <v>841</v>
      </c>
      <c r="O1903" s="18">
        <v>44281</v>
      </c>
      <c r="S1903" s="1" t="s">
        <v>739</v>
      </c>
    </row>
    <row r="1904" spans="1:19" hidden="1" outlineLevel="1">
      <c r="A1904" s="1">
        <v>14</v>
      </c>
      <c r="F1904" s="22">
        <v>862531043751867</v>
      </c>
      <c r="M1904" s="2" t="s">
        <v>2496</v>
      </c>
      <c r="N1904" s="2" t="s">
        <v>1454</v>
      </c>
      <c r="O1904" s="18">
        <v>44281</v>
      </c>
      <c r="S1904" s="1" t="s">
        <v>740</v>
      </c>
    </row>
    <row r="1905" spans="1:19" hidden="1" outlineLevel="1">
      <c r="A1905" s="1">
        <v>15</v>
      </c>
      <c r="F1905" s="22">
        <v>862531043752428</v>
      </c>
      <c r="G1905" s="4" t="s">
        <v>508</v>
      </c>
      <c r="M1905" s="2" t="s">
        <v>2497</v>
      </c>
      <c r="N1905" s="2" t="s">
        <v>1181</v>
      </c>
      <c r="O1905" s="18">
        <v>44333</v>
      </c>
    </row>
    <row r="1906" spans="1:19" hidden="1" outlineLevel="1">
      <c r="A1906" s="8"/>
      <c r="B1906" s="58"/>
      <c r="C1906" s="159"/>
      <c r="D1906" s="8"/>
      <c r="E1906" s="8"/>
      <c r="F1906" s="9"/>
      <c r="G1906" s="8"/>
      <c r="H1906" s="8"/>
      <c r="I1906" s="8"/>
      <c r="J1906" s="58"/>
      <c r="K1906" s="8"/>
      <c r="L1906" s="58"/>
      <c r="M1906" s="8"/>
      <c r="N1906" s="8"/>
      <c r="O1906" s="58"/>
      <c r="P1906" s="8"/>
      <c r="Q1906" s="8"/>
      <c r="R1906" s="8"/>
      <c r="S1906" s="8"/>
    </row>
    <row r="1907" spans="1:19" hidden="1" outlineLevel="1">
      <c r="A1907" s="1">
        <v>1</v>
      </c>
      <c r="B1907" s="11">
        <v>44284</v>
      </c>
      <c r="C1907" s="160">
        <v>1147</v>
      </c>
      <c r="E1907" s="1" t="s">
        <v>629</v>
      </c>
      <c r="F1907" s="22">
        <v>862531043227058</v>
      </c>
      <c r="M1907" s="2" t="s">
        <v>2498</v>
      </c>
      <c r="N1907" s="2" t="s">
        <v>1686</v>
      </c>
      <c r="O1907" s="18">
        <v>44285</v>
      </c>
      <c r="S1907" s="1" t="s">
        <v>741</v>
      </c>
    </row>
    <row r="1908" spans="1:19" hidden="1" outlineLevel="1">
      <c r="A1908" s="1">
        <v>2</v>
      </c>
      <c r="F1908" s="22">
        <v>862531043261362</v>
      </c>
      <c r="M1908" s="2" t="s">
        <v>2499</v>
      </c>
      <c r="N1908" s="2" t="s">
        <v>1686</v>
      </c>
      <c r="O1908" s="18">
        <v>44285</v>
      </c>
      <c r="S1908" s="1" t="s">
        <v>741</v>
      </c>
    </row>
    <row r="1909" spans="1:19" hidden="1" outlineLevel="1">
      <c r="A1909" s="1">
        <v>3</v>
      </c>
      <c r="F1909" s="22">
        <v>862531043232330</v>
      </c>
      <c r="M1909" s="2" t="s">
        <v>2500</v>
      </c>
      <c r="N1909" s="2" t="s">
        <v>1686</v>
      </c>
      <c r="O1909" s="18">
        <v>44285</v>
      </c>
      <c r="S1909" s="1" t="s">
        <v>741</v>
      </c>
    </row>
    <row r="1910" spans="1:19" hidden="1" outlineLevel="1">
      <c r="A1910" s="1">
        <v>4</v>
      </c>
      <c r="F1910" s="22">
        <v>862531043232322</v>
      </c>
      <c r="M1910" s="2" t="s">
        <v>2501</v>
      </c>
      <c r="N1910" s="2" t="s">
        <v>1686</v>
      </c>
      <c r="O1910" s="18">
        <v>44285</v>
      </c>
      <c r="S1910" s="1" t="s">
        <v>741</v>
      </c>
    </row>
    <row r="1911" spans="1:19" hidden="1" outlineLevel="1">
      <c r="A1911" s="1">
        <v>5</v>
      </c>
      <c r="F1911" s="22">
        <v>862531043239004</v>
      </c>
      <c r="M1911" s="2" t="s">
        <v>2502</v>
      </c>
      <c r="N1911" s="2" t="s">
        <v>1686</v>
      </c>
      <c r="O1911" s="18">
        <v>44285</v>
      </c>
      <c r="S1911" s="1" t="s">
        <v>741</v>
      </c>
    </row>
    <row r="1912" spans="1:19" hidden="1" outlineLevel="1">
      <c r="A1912" s="1">
        <v>6</v>
      </c>
      <c r="F1912" s="22">
        <v>862531043836080</v>
      </c>
      <c r="M1912" s="2" t="s">
        <v>2503</v>
      </c>
      <c r="N1912" s="2" t="s">
        <v>1686</v>
      </c>
      <c r="O1912" s="18">
        <v>44285</v>
      </c>
      <c r="S1912" s="1" t="s">
        <v>741</v>
      </c>
    </row>
    <row r="1913" spans="1:19" hidden="1" outlineLevel="1">
      <c r="A1913" s="1">
        <v>7</v>
      </c>
      <c r="F1913" s="22">
        <v>862531043709261</v>
      </c>
      <c r="M1913" s="2" t="s">
        <v>2504</v>
      </c>
      <c r="N1913" s="2" t="s">
        <v>1686</v>
      </c>
      <c r="O1913" s="18">
        <v>44285</v>
      </c>
      <c r="S1913" s="1" t="s">
        <v>741</v>
      </c>
    </row>
    <row r="1914" spans="1:19" hidden="1" outlineLevel="1">
      <c r="A1914" s="1">
        <v>8</v>
      </c>
      <c r="F1914" s="22">
        <v>862531043807842</v>
      </c>
      <c r="M1914" s="2" t="s">
        <v>2505</v>
      </c>
      <c r="N1914" s="2" t="s">
        <v>1686</v>
      </c>
      <c r="O1914" s="18">
        <v>44285</v>
      </c>
      <c r="S1914" s="1" t="s">
        <v>741</v>
      </c>
    </row>
    <row r="1915" spans="1:19" hidden="1" outlineLevel="1">
      <c r="A1915" s="1">
        <v>9</v>
      </c>
      <c r="F1915" s="22">
        <v>862531043752360</v>
      </c>
      <c r="M1915" s="2" t="s">
        <v>2506</v>
      </c>
      <c r="N1915" s="2" t="s">
        <v>1686</v>
      </c>
      <c r="O1915" s="18">
        <v>44285</v>
      </c>
      <c r="S1915" s="1" t="s">
        <v>741</v>
      </c>
    </row>
    <row r="1916" spans="1:19" hidden="1" outlineLevel="1">
      <c r="A1916" s="1">
        <v>10</v>
      </c>
      <c r="F1916" s="22">
        <v>862531043815712</v>
      </c>
      <c r="M1916" s="2" t="s">
        <v>2507</v>
      </c>
      <c r="N1916" s="2" t="s">
        <v>1686</v>
      </c>
      <c r="O1916" s="18">
        <v>44285</v>
      </c>
      <c r="S1916" s="1" t="s">
        <v>741</v>
      </c>
    </row>
    <row r="1917" spans="1:19" hidden="1" outlineLevel="1">
      <c r="A1917" s="1">
        <v>11</v>
      </c>
      <c r="F1917" s="22">
        <v>862531043863316</v>
      </c>
      <c r="M1917" s="2" t="s">
        <v>2508</v>
      </c>
      <c r="N1917" s="2" t="s">
        <v>1686</v>
      </c>
      <c r="O1917" s="18">
        <v>44285</v>
      </c>
      <c r="S1917" s="1" t="s">
        <v>741</v>
      </c>
    </row>
    <row r="1918" spans="1:19" hidden="1" outlineLevel="1">
      <c r="A1918" s="1">
        <v>12</v>
      </c>
      <c r="F1918" s="22">
        <v>862531043191460</v>
      </c>
      <c r="M1918" s="2" t="s">
        <v>2509</v>
      </c>
      <c r="N1918" s="2" t="s">
        <v>1686</v>
      </c>
      <c r="O1918" s="18">
        <v>44285</v>
      </c>
      <c r="S1918" s="1" t="s">
        <v>741</v>
      </c>
    </row>
    <row r="1919" spans="1:19" hidden="1" outlineLevel="1">
      <c r="A1919" s="1">
        <v>13</v>
      </c>
      <c r="F1919" s="22">
        <v>862531043650945</v>
      </c>
      <c r="M1919" s="2" t="s">
        <v>2510</v>
      </c>
      <c r="N1919" s="2" t="s">
        <v>1686</v>
      </c>
      <c r="O1919" s="18">
        <v>44285</v>
      </c>
      <c r="S1919" s="1" t="s">
        <v>741</v>
      </c>
    </row>
    <row r="1920" spans="1:19" hidden="1" outlineLevel="1">
      <c r="A1920" s="1">
        <v>14</v>
      </c>
      <c r="F1920" s="22">
        <v>862531043234344</v>
      </c>
      <c r="M1920" s="2" t="s">
        <v>2511</v>
      </c>
      <c r="N1920" s="2" t="s">
        <v>1686</v>
      </c>
      <c r="O1920" s="18">
        <v>44285</v>
      </c>
      <c r="S1920" s="1" t="s">
        <v>741</v>
      </c>
    </row>
    <row r="1921" spans="1:19" hidden="1" outlineLevel="1">
      <c r="A1921" s="1">
        <v>15</v>
      </c>
      <c r="F1921" s="22">
        <v>862531043651547</v>
      </c>
      <c r="M1921" s="2" t="s">
        <v>2512</v>
      </c>
      <c r="N1921" s="2" t="s">
        <v>1686</v>
      </c>
      <c r="O1921" s="18">
        <v>44285</v>
      </c>
      <c r="S1921" s="1" t="s">
        <v>741</v>
      </c>
    </row>
    <row r="1922" spans="1:19" hidden="1" outlineLevel="1">
      <c r="A1922" s="8"/>
      <c r="B1922" s="58"/>
      <c r="C1922" s="159"/>
      <c r="D1922" s="8"/>
      <c r="E1922" s="8"/>
      <c r="F1922" s="9"/>
      <c r="G1922" s="8"/>
      <c r="H1922" s="8"/>
      <c r="I1922" s="8"/>
      <c r="J1922" s="58"/>
      <c r="K1922" s="8"/>
      <c r="L1922" s="58"/>
      <c r="M1922" s="8"/>
      <c r="N1922" s="8"/>
      <c r="O1922" s="58"/>
      <c r="P1922" s="8"/>
      <c r="Q1922" s="8"/>
      <c r="R1922" s="8"/>
      <c r="S1922" s="8"/>
    </row>
    <row r="1923" spans="1:19" hidden="1" outlineLevel="1">
      <c r="A1923" s="1">
        <v>1</v>
      </c>
      <c r="B1923" s="11">
        <v>44284</v>
      </c>
      <c r="C1923" s="160">
        <v>1151</v>
      </c>
      <c r="E1923" s="1" t="s">
        <v>176</v>
      </c>
      <c r="F1923" s="22">
        <v>862531043751891</v>
      </c>
      <c r="M1923" s="2" t="s">
        <v>2513</v>
      </c>
      <c r="N1923" s="2" t="s">
        <v>2514</v>
      </c>
      <c r="O1923" s="18">
        <v>43080</v>
      </c>
    </row>
    <row r="1924" spans="1:19" hidden="1" outlineLevel="1">
      <c r="A1924" s="1">
        <v>2</v>
      </c>
      <c r="F1924" s="22">
        <v>862531043899914</v>
      </c>
      <c r="M1924" s="2" t="s">
        <v>2515</v>
      </c>
      <c r="N1924" s="2" t="s">
        <v>2487</v>
      </c>
      <c r="O1924" s="18">
        <v>44293</v>
      </c>
    </row>
    <row r="1925" spans="1:19" hidden="1" outlineLevel="1">
      <c r="A1925" s="1">
        <v>3</v>
      </c>
      <c r="F1925" s="22">
        <v>862531043901355</v>
      </c>
      <c r="M1925" s="2" t="s">
        <v>2516</v>
      </c>
      <c r="N1925" s="2" t="s">
        <v>2487</v>
      </c>
      <c r="O1925" s="18">
        <v>44293</v>
      </c>
    </row>
    <row r="1926" spans="1:19" hidden="1" outlineLevel="1">
      <c r="A1926" s="1">
        <v>4</v>
      </c>
      <c r="F1926" s="22">
        <v>862531043807523</v>
      </c>
    </row>
    <row r="1927" spans="1:19" hidden="1" outlineLevel="1">
      <c r="A1927" s="1">
        <v>5</v>
      </c>
      <c r="F1927" s="22">
        <v>862531043713248</v>
      </c>
      <c r="M1927" s="2" t="s">
        <v>2517</v>
      </c>
      <c r="N1927" s="2" t="s">
        <v>2487</v>
      </c>
      <c r="O1927" s="18">
        <v>44293</v>
      </c>
    </row>
    <row r="1928" spans="1:19" hidden="1" outlineLevel="1">
      <c r="A1928" s="1">
        <v>6</v>
      </c>
      <c r="F1928" s="22">
        <v>862531043242958</v>
      </c>
      <c r="M1928" s="2" t="s">
        <v>2518</v>
      </c>
      <c r="N1928" s="2" t="s">
        <v>2074</v>
      </c>
      <c r="O1928" s="18">
        <v>44313</v>
      </c>
    </row>
    <row r="1929" spans="1:19" hidden="1" outlineLevel="1">
      <c r="A1929" s="1">
        <v>7</v>
      </c>
      <c r="F1929" s="22">
        <v>862531043229013</v>
      </c>
      <c r="M1929" s="2" t="s">
        <v>2519</v>
      </c>
      <c r="N1929" s="2" t="s">
        <v>1412</v>
      </c>
      <c r="O1929" s="18">
        <v>44309</v>
      </c>
    </row>
    <row r="1930" spans="1:19" hidden="1" outlineLevel="1">
      <c r="A1930" s="1">
        <v>8</v>
      </c>
      <c r="F1930" s="22">
        <v>862531043226175</v>
      </c>
      <c r="M1930" s="2" t="s">
        <v>2520</v>
      </c>
      <c r="N1930" s="2" t="s">
        <v>2487</v>
      </c>
      <c r="O1930" s="18">
        <v>44293</v>
      </c>
    </row>
    <row r="1931" spans="1:19" hidden="1" outlineLevel="1">
      <c r="A1931" s="1">
        <v>9</v>
      </c>
      <c r="F1931" s="22">
        <v>862531043753400</v>
      </c>
      <c r="M1931" s="2" t="s">
        <v>2521</v>
      </c>
      <c r="N1931" s="2" t="s">
        <v>1044</v>
      </c>
      <c r="O1931" s="18">
        <v>44295</v>
      </c>
    </row>
    <row r="1932" spans="1:19" hidden="1" outlineLevel="1">
      <c r="A1932" s="1">
        <v>10</v>
      </c>
      <c r="F1932" s="22">
        <v>862531043902338</v>
      </c>
      <c r="M1932" s="2" t="s">
        <v>2522</v>
      </c>
      <c r="N1932" s="2" t="s">
        <v>2523</v>
      </c>
      <c r="O1932" s="18">
        <v>44301</v>
      </c>
    </row>
    <row r="1933" spans="1:19" hidden="1" outlineLevel="1">
      <c r="A1933" s="1">
        <v>11</v>
      </c>
      <c r="F1933" s="22">
        <v>862531043836304</v>
      </c>
      <c r="M1933" s="2" t="s">
        <v>2524</v>
      </c>
      <c r="N1933" s="2" t="s">
        <v>2484</v>
      </c>
      <c r="O1933" s="18">
        <v>44305</v>
      </c>
    </row>
    <row r="1934" spans="1:19" hidden="1" outlineLevel="1">
      <c r="A1934" s="1">
        <v>12</v>
      </c>
      <c r="F1934" s="22">
        <v>862531043902080</v>
      </c>
      <c r="M1934" s="2" t="s">
        <v>2525</v>
      </c>
      <c r="N1934" s="2" t="s">
        <v>2487</v>
      </c>
      <c r="O1934" s="18">
        <v>44307</v>
      </c>
    </row>
    <row r="1935" spans="1:19" hidden="1" outlineLevel="1">
      <c r="A1935" s="1">
        <v>13</v>
      </c>
      <c r="F1935" s="22">
        <v>862531043798793</v>
      </c>
      <c r="M1935" s="2" t="s">
        <v>2526</v>
      </c>
      <c r="N1935" s="2" t="s">
        <v>1497</v>
      </c>
      <c r="O1935" s="18">
        <v>44308</v>
      </c>
    </row>
    <row r="1936" spans="1:19" hidden="1" outlineLevel="1">
      <c r="A1936" s="1">
        <v>14</v>
      </c>
      <c r="F1936" s="22">
        <v>862531043902346</v>
      </c>
      <c r="M1936" s="2" t="s">
        <v>1746</v>
      </c>
      <c r="N1936" s="2" t="s">
        <v>2527</v>
      </c>
      <c r="O1936" s="18">
        <v>44308</v>
      </c>
    </row>
    <row r="1937" spans="1:19" hidden="1" outlineLevel="1">
      <c r="A1937" s="1">
        <v>15</v>
      </c>
      <c r="F1937" s="22">
        <v>862531043227611</v>
      </c>
      <c r="M1937" s="2" t="s">
        <v>2528</v>
      </c>
      <c r="N1937" s="2" t="s">
        <v>2487</v>
      </c>
      <c r="O1937" s="18">
        <v>44293</v>
      </c>
    </row>
    <row r="1938" spans="1:19" hidden="1" outlineLevel="1">
      <c r="A1938" s="1">
        <v>16</v>
      </c>
      <c r="F1938" s="22">
        <v>862531043227561</v>
      </c>
      <c r="M1938" s="2" t="s">
        <v>2529</v>
      </c>
      <c r="N1938" s="2" t="s">
        <v>2484</v>
      </c>
      <c r="O1938" s="18">
        <v>44305</v>
      </c>
    </row>
    <row r="1939" spans="1:19" hidden="1" outlineLevel="1">
      <c r="A1939" s="1">
        <v>17</v>
      </c>
      <c r="F1939" s="22">
        <v>862531043259507</v>
      </c>
      <c r="M1939" s="2" t="s">
        <v>2530</v>
      </c>
      <c r="N1939" s="2" t="s">
        <v>2484</v>
      </c>
      <c r="O1939" s="18">
        <v>44305</v>
      </c>
    </row>
    <row r="1940" spans="1:19" hidden="1" outlineLevel="1">
      <c r="A1940" s="1">
        <v>18</v>
      </c>
      <c r="F1940" s="22">
        <v>862531043228999</v>
      </c>
      <c r="M1940" s="2" t="s">
        <v>2531</v>
      </c>
      <c r="N1940" s="2" t="s">
        <v>1044</v>
      </c>
      <c r="O1940" s="18">
        <v>44293</v>
      </c>
    </row>
    <row r="1941" spans="1:19" hidden="1" outlineLevel="1">
      <c r="A1941" s="1">
        <v>19</v>
      </c>
      <c r="F1941" s="22">
        <v>862531043714287</v>
      </c>
      <c r="M1941" s="2" t="s">
        <v>2532</v>
      </c>
      <c r="N1941" s="2" t="s">
        <v>2487</v>
      </c>
      <c r="O1941" s="18">
        <v>44293</v>
      </c>
    </row>
    <row r="1942" spans="1:19" hidden="1" outlineLevel="1">
      <c r="A1942" s="1">
        <v>20</v>
      </c>
      <c r="F1942" s="22">
        <v>862531043722165</v>
      </c>
      <c r="M1942" s="2" t="s">
        <v>2533</v>
      </c>
      <c r="N1942" s="2" t="s">
        <v>2438</v>
      </c>
      <c r="O1942" s="18">
        <v>44293</v>
      </c>
    </row>
    <row r="1943" spans="1:19" hidden="1" outlineLevel="1">
      <c r="A1943" s="8"/>
      <c r="B1943" s="58"/>
      <c r="C1943" s="159"/>
      <c r="D1943" s="8"/>
      <c r="E1943" s="8"/>
      <c r="F1943" s="9"/>
      <c r="G1943" s="8"/>
      <c r="H1943" s="8"/>
      <c r="I1943" s="8"/>
      <c r="J1943" s="58"/>
      <c r="K1943" s="8"/>
      <c r="L1943" s="58"/>
      <c r="M1943" s="8"/>
      <c r="N1943" s="8"/>
      <c r="O1943" s="58"/>
      <c r="P1943" s="8"/>
      <c r="Q1943" s="8"/>
      <c r="R1943" s="8"/>
      <c r="S1943" s="8"/>
    </row>
    <row r="1944" spans="1:19" hidden="1" outlineLevel="1">
      <c r="A1944" s="1">
        <v>1</v>
      </c>
      <c r="B1944" s="11">
        <v>44287</v>
      </c>
      <c r="C1944" s="160">
        <v>1197</v>
      </c>
      <c r="E1944" s="1" t="s">
        <v>609</v>
      </c>
      <c r="F1944" s="22">
        <v>866795039025513</v>
      </c>
      <c r="M1944" s="2" t="s">
        <v>2534</v>
      </c>
      <c r="N1944" s="2" t="s">
        <v>1625</v>
      </c>
      <c r="O1944" s="18">
        <v>44294</v>
      </c>
    </row>
    <row r="1945" spans="1:19" hidden="1" outlineLevel="1">
      <c r="A1945" s="1">
        <v>2</v>
      </c>
      <c r="F1945" s="22">
        <v>866795039029432</v>
      </c>
      <c r="M1945" s="2" t="s">
        <v>2535</v>
      </c>
      <c r="N1945" s="2" t="s">
        <v>1625</v>
      </c>
      <c r="O1945" s="18">
        <v>44294</v>
      </c>
    </row>
    <row r="1946" spans="1:19" hidden="1" outlineLevel="1">
      <c r="A1946" s="1">
        <v>3</v>
      </c>
      <c r="E1946" s="1" t="s">
        <v>313</v>
      </c>
      <c r="F1946" s="22">
        <v>869640051827981</v>
      </c>
      <c r="M1946" s="2" t="s">
        <v>2536</v>
      </c>
      <c r="N1946" s="2" t="s">
        <v>2487</v>
      </c>
      <c r="O1946" s="18">
        <v>44288</v>
      </c>
      <c r="S1946" s="1" t="s">
        <v>742</v>
      </c>
    </row>
    <row r="1947" spans="1:19" hidden="1" outlineLevel="1">
      <c r="A1947" s="1">
        <v>4</v>
      </c>
      <c r="F1947" s="22">
        <v>869640051702531</v>
      </c>
      <c r="M1947" s="2">
        <v>869640051702531</v>
      </c>
      <c r="N1947" s="2" t="s">
        <v>2487</v>
      </c>
      <c r="O1947" s="18">
        <v>44288</v>
      </c>
      <c r="S1947" s="1" t="s">
        <v>742</v>
      </c>
    </row>
    <row r="1948" spans="1:19" hidden="1" outlineLevel="1">
      <c r="A1948" s="1">
        <v>5</v>
      </c>
      <c r="F1948" s="22">
        <v>869640051827312</v>
      </c>
      <c r="M1948" s="2" t="s">
        <v>2537</v>
      </c>
      <c r="N1948" s="2" t="s">
        <v>2487</v>
      </c>
      <c r="O1948" s="18">
        <v>44288</v>
      </c>
      <c r="S1948" s="1" t="s">
        <v>742</v>
      </c>
    </row>
    <row r="1949" spans="1:19" hidden="1" outlineLevel="1">
      <c r="A1949" s="1">
        <v>6</v>
      </c>
      <c r="E1949" s="1" t="s">
        <v>229</v>
      </c>
      <c r="F1949" s="22">
        <v>862531042824301</v>
      </c>
      <c r="M1949" s="2" t="s">
        <v>2538</v>
      </c>
      <c r="N1949" s="2" t="s">
        <v>2539</v>
      </c>
      <c r="O1949" s="18">
        <v>44292</v>
      </c>
    </row>
    <row r="1950" spans="1:19" hidden="1" outlineLevel="1">
      <c r="A1950" s="1">
        <v>7</v>
      </c>
      <c r="E1950" s="1" t="s">
        <v>229</v>
      </c>
      <c r="F1950" s="22">
        <v>862531042032848</v>
      </c>
      <c r="M1950" s="2" t="s">
        <v>2540</v>
      </c>
      <c r="N1950" s="2" t="s">
        <v>2539</v>
      </c>
      <c r="O1950" s="18">
        <v>44292</v>
      </c>
    </row>
    <row r="1951" spans="1:19" hidden="1" outlineLevel="1">
      <c r="A1951" s="1">
        <v>8</v>
      </c>
      <c r="E1951" s="1" t="s">
        <v>229</v>
      </c>
      <c r="F1951" s="22">
        <v>862531042569674</v>
      </c>
      <c r="M1951" s="2" t="s">
        <v>2541</v>
      </c>
      <c r="N1951" s="2" t="s">
        <v>2539</v>
      </c>
      <c r="O1951" s="18">
        <v>44292</v>
      </c>
    </row>
    <row r="1952" spans="1:19" hidden="1" outlineLevel="1">
      <c r="A1952" s="1">
        <v>9</v>
      </c>
      <c r="E1952" s="1" t="s">
        <v>229</v>
      </c>
      <c r="F1952" s="22">
        <v>862531042013509</v>
      </c>
      <c r="M1952" s="2" t="s">
        <v>2542</v>
      </c>
      <c r="N1952" s="2" t="s">
        <v>2543</v>
      </c>
      <c r="O1952" s="18">
        <v>44298</v>
      </c>
    </row>
    <row r="1953" spans="1:19" hidden="1" outlineLevel="1">
      <c r="A1953" s="1">
        <v>10</v>
      </c>
      <c r="E1953" s="1" t="s">
        <v>229</v>
      </c>
      <c r="F1953" s="22">
        <v>862531042109281</v>
      </c>
      <c r="G1953" s="4" t="s">
        <v>512</v>
      </c>
      <c r="M1953" s="2" t="s">
        <v>2544</v>
      </c>
      <c r="N1953" s="2" t="s">
        <v>1063</v>
      </c>
      <c r="O1953" s="18">
        <v>44312</v>
      </c>
    </row>
    <row r="1954" spans="1:19" hidden="1" outlineLevel="1">
      <c r="A1954" s="1">
        <v>11</v>
      </c>
      <c r="E1954" s="1" t="s">
        <v>229</v>
      </c>
      <c r="F1954" s="22">
        <v>862531042734138</v>
      </c>
      <c r="M1954" s="2" t="s">
        <v>2545</v>
      </c>
      <c r="N1954" s="2" t="s">
        <v>2543</v>
      </c>
      <c r="O1954" s="18">
        <v>44298</v>
      </c>
    </row>
    <row r="1955" spans="1:19" hidden="1" outlineLevel="1">
      <c r="A1955" s="1">
        <v>12</v>
      </c>
      <c r="E1955" s="1" t="s">
        <v>229</v>
      </c>
      <c r="F1955" s="22">
        <v>862531042613787</v>
      </c>
      <c r="M1955" s="2" t="s">
        <v>2546</v>
      </c>
      <c r="N1955" s="2" t="s">
        <v>2543</v>
      </c>
      <c r="O1955" s="18">
        <v>44298</v>
      </c>
    </row>
    <row r="1956" spans="1:19" hidden="1" outlineLevel="1">
      <c r="A1956" s="1">
        <v>13</v>
      </c>
      <c r="E1956" s="1" t="s">
        <v>229</v>
      </c>
      <c r="F1956" s="22">
        <v>862531042782426</v>
      </c>
      <c r="G1956" s="4" t="s">
        <v>512</v>
      </c>
      <c r="M1956" s="2" t="s">
        <v>2547</v>
      </c>
      <c r="N1956" s="2" t="s">
        <v>1515</v>
      </c>
      <c r="O1956" s="18">
        <v>44308</v>
      </c>
    </row>
    <row r="1957" spans="1:19" hidden="1" outlineLevel="1">
      <c r="A1957" s="1">
        <v>14</v>
      </c>
      <c r="E1957" s="1" t="s">
        <v>229</v>
      </c>
      <c r="F1957" s="22">
        <v>862531042188681</v>
      </c>
      <c r="M1957" s="2" t="s">
        <v>2548</v>
      </c>
      <c r="N1957" s="2" t="s">
        <v>2539</v>
      </c>
      <c r="O1957" s="18">
        <v>44292</v>
      </c>
    </row>
    <row r="1958" spans="1:19" hidden="1" outlineLevel="1">
      <c r="A1958" s="8"/>
      <c r="B1958" s="58"/>
      <c r="C1958" s="159"/>
      <c r="D1958" s="8"/>
      <c r="E1958" s="8"/>
      <c r="F1958" s="9"/>
      <c r="G1958" s="8"/>
      <c r="H1958" s="8"/>
      <c r="I1958" s="8"/>
      <c r="J1958" s="58"/>
      <c r="K1958" s="8"/>
      <c r="L1958" s="58"/>
      <c r="M1958" s="8"/>
      <c r="N1958" s="8"/>
      <c r="O1958" s="58"/>
      <c r="P1958" s="8"/>
      <c r="Q1958" s="8"/>
      <c r="R1958" s="8"/>
      <c r="S1958" s="8"/>
    </row>
    <row r="1959" spans="1:19" hidden="1" outlineLevel="1">
      <c r="A1959" s="1">
        <v>1</v>
      </c>
      <c r="B1959" s="11">
        <v>44288</v>
      </c>
      <c r="C1959" s="160">
        <v>1201</v>
      </c>
      <c r="E1959" s="1" t="s">
        <v>630</v>
      </c>
      <c r="F1959" s="22">
        <v>869640051831694</v>
      </c>
      <c r="M1959" s="2" t="s">
        <v>2549</v>
      </c>
      <c r="N1959" s="2" t="s">
        <v>1625</v>
      </c>
      <c r="O1959" s="18">
        <v>44295</v>
      </c>
      <c r="S1959" s="1" t="s">
        <v>743</v>
      </c>
    </row>
    <row r="1960" spans="1:19" hidden="1" outlineLevel="1">
      <c r="A1960" s="8"/>
      <c r="B1960" s="58"/>
      <c r="C1960" s="159"/>
      <c r="D1960" s="8"/>
      <c r="E1960" s="8"/>
      <c r="F1960" s="9"/>
      <c r="G1960" s="8"/>
      <c r="H1960" s="8"/>
      <c r="I1960" s="8"/>
      <c r="J1960" s="58"/>
      <c r="K1960" s="8"/>
      <c r="L1960" s="58"/>
      <c r="M1960" s="8"/>
      <c r="N1960" s="8"/>
      <c r="O1960" s="58"/>
      <c r="P1960" s="8"/>
      <c r="Q1960" s="8"/>
      <c r="R1960" s="8"/>
      <c r="S1960" s="8"/>
    </row>
    <row r="1961" spans="1:19" hidden="1" outlineLevel="1">
      <c r="A1961" s="1">
        <v>1</v>
      </c>
      <c r="B1961" s="11">
        <v>44292</v>
      </c>
      <c r="C1961" s="160">
        <v>1240</v>
      </c>
      <c r="E1961" s="1" t="s">
        <v>631</v>
      </c>
      <c r="F1961" s="22">
        <v>868328058760352</v>
      </c>
      <c r="M1961" s="2" t="s">
        <v>2550</v>
      </c>
      <c r="N1961" s="2" t="s">
        <v>2551</v>
      </c>
      <c r="O1961" s="18">
        <v>44419</v>
      </c>
      <c r="S1961" s="1" t="s">
        <v>744</v>
      </c>
    </row>
    <row r="1962" spans="1:19" hidden="1" outlineLevel="1">
      <c r="A1962" s="1">
        <v>2</v>
      </c>
      <c r="F1962" s="22">
        <v>868328058805819</v>
      </c>
      <c r="M1962" s="2" t="s">
        <v>2552</v>
      </c>
      <c r="N1962" s="2" t="s">
        <v>293</v>
      </c>
      <c r="O1962" s="18">
        <v>44358</v>
      </c>
      <c r="S1962" s="1" t="s">
        <v>745</v>
      </c>
    </row>
    <row r="1963" spans="1:19" hidden="1" outlineLevel="1">
      <c r="A1963" s="1">
        <v>3</v>
      </c>
      <c r="F1963" s="22">
        <v>868328058791522</v>
      </c>
      <c r="M1963" s="2" t="s">
        <v>2553</v>
      </c>
      <c r="N1963" s="2" t="s">
        <v>2554</v>
      </c>
      <c r="O1963" s="18">
        <v>44311</v>
      </c>
      <c r="S1963" s="1" t="s">
        <v>746</v>
      </c>
    </row>
    <row r="1964" spans="1:19" hidden="1" outlineLevel="1">
      <c r="A1964" s="1">
        <v>4</v>
      </c>
      <c r="F1964" s="22">
        <v>868328058791886</v>
      </c>
      <c r="M1964" s="2" t="s">
        <v>2555</v>
      </c>
      <c r="N1964" s="2" t="s">
        <v>2487</v>
      </c>
      <c r="O1964" s="18">
        <v>44336</v>
      </c>
      <c r="S1964" s="1" t="s">
        <v>747</v>
      </c>
    </row>
    <row r="1965" spans="1:19" hidden="1" outlineLevel="1">
      <c r="A1965" s="1">
        <v>5</v>
      </c>
      <c r="F1965" s="22">
        <v>868328058801925</v>
      </c>
      <c r="M1965" s="2" t="s">
        <v>2556</v>
      </c>
      <c r="N1965" s="2" t="s">
        <v>2487</v>
      </c>
      <c r="O1965" s="18">
        <v>44336</v>
      </c>
      <c r="S1965" s="1" t="s">
        <v>747</v>
      </c>
    </row>
    <row r="1966" spans="1:19" hidden="1" outlineLevel="1">
      <c r="A1966" s="1">
        <v>6</v>
      </c>
      <c r="F1966" s="22">
        <v>868328058791720</v>
      </c>
      <c r="M1966" s="2" t="s">
        <v>2557</v>
      </c>
      <c r="N1966" s="2" t="s">
        <v>2554</v>
      </c>
      <c r="O1966" s="18">
        <v>44311</v>
      </c>
      <c r="S1966" s="1" t="s">
        <v>746</v>
      </c>
    </row>
    <row r="1967" spans="1:19" hidden="1" outlineLevel="1">
      <c r="A1967" s="1">
        <v>7</v>
      </c>
      <c r="F1967" s="22">
        <v>868328058770773</v>
      </c>
      <c r="M1967" s="2" t="s">
        <v>2558</v>
      </c>
      <c r="N1967" s="2" t="s">
        <v>2554</v>
      </c>
      <c r="O1967" s="18">
        <v>44311</v>
      </c>
      <c r="S1967" s="1" t="s">
        <v>746</v>
      </c>
    </row>
    <row r="1968" spans="1:19" hidden="1" outlineLevel="1">
      <c r="A1968" s="1">
        <v>8</v>
      </c>
      <c r="F1968" s="22">
        <v>868328058792389</v>
      </c>
      <c r="M1968" s="2" t="s">
        <v>2559</v>
      </c>
      <c r="N1968" s="2" t="s">
        <v>2554</v>
      </c>
      <c r="O1968" s="18">
        <v>44311</v>
      </c>
      <c r="S1968" s="1" t="s">
        <v>746</v>
      </c>
    </row>
    <row r="1969" spans="1:19" hidden="1" outlineLevel="1">
      <c r="A1969" s="1">
        <v>9</v>
      </c>
      <c r="F1969" s="22">
        <v>868328058796729</v>
      </c>
      <c r="M1969" s="2" t="s">
        <v>2560</v>
      </c>
      <c r="N1969" s="2" t="s">
        <v>2487</v>
      </c>
      <c r="O1969" s="18">
        <v>44294</v>
      </c>
      <c r="S1969" s="1" t="s">
        <v>748</v>
      </c>
    </row>
    <row r="1970" spans="1:19" hidden="1" outlineLevel="1">
      <c r="A1970" s="1">
        <v>10</v>
      </c>
      <c r="F1970" s="22">
        <v>868328058805728</v>
      </c>
      <c r="M1970" s="2" t="s">
        <v>2561</v>
      </c>
      <c r="N1970" s="2" t="s">
        <v>2554</v>
      </c>
      <c r="O1970" s="18">
        <v>44311</v>
      </c>
      <c r="S1970" s="1" t="s">
        <v>746</v>
      </c>
    </row>
    <row r="1971" spans="1:19" hidden="1" outlineLevel="1">
      <c r="A1971" s="8"/>
      <c r="B1971" s="58"/>
      <c r="C1971" s="159"/>
      <c r="D1971" s="8"/>
      <c r="E1971" s="8"/>
      <c r="F1971" s="9"/>
      <c r="G1971" s="8"/>
      <c r="H1971" s="8"/>
      <c r="I1971" s="8"/>
      <c r="J1971" s="58"/>
      <c r="K1971" s="8"/>
      <c r="L1971" s="58"/>
      <c r="M1971" s="8"/>
      <c r="N1971" s="8"/>
      <c r="O1971" s="58"/>
      <c r="P1971" s="8"/>
      <c r="Q1971" s="8"/>
      <c r="R1971" s="8"/>
      <c r="S1971" s="8"/>
    </row>
    <row r="1972" spans="1:19" hidden="1" outlineLevel="1">
      <c r="A1972" s="1">
        <v>1</v>
      </c>
      <c r="B1972" s="11">
        <v>44295</v>
      </c>
      <c r="C1972" s="160">
        <v>1256</v>
      </c>
      <c r="E1972" s="1" t="s">
        <v>176</v>
      </c>
      <c r="F1972" s="22">
        <v>862531043191502</v>
      </c>
      <c r="M1972" s="2" t="s">
        <v>2562</v>
      </c>
      <c r="N1972" s="2" t="s">
        <v>2563</v>
      </c>
      <c r="O1972" s="18">
        <v>43349</v>
      </c>
    </row>
    <row r="1973" spans="1:19" hidden="1" outlineLevel="1">
      <c r="A1973" s="1">
        <v>2</v>
      </c>
      <c r="F1973" s="22">
        <v>862531043255166</v>
      </c>
      <c r="M1973" s="2" t="s">
        <v>2564</v>
      </c>
      <c r="N1973" s="2" t="s">
        <v>2565</v>
      </c>
      <c r="O1973" s="18">
        <v>44335</v>
      </c>
    </row>
    <row r="1974" spans="1:19" hidden="1" outlineLevel="1">
      <c r="A1974" s="1">
        <v>3</v>
      </c>
      <c r="F1974" s="22">
        <v>862531043905349</v>
      </c>
      <c r="M1974" s="2" t="s">
        <v>2566</v>
      </c>
      <c r="N1974" s="2" t="s">
        <v>942</v>
      </c>
      <c r="O1974" s="18">
        <v>44334</v>
      </c>
    </row>
    <row r="1975" spans="1:19" hidden="1" outlineLevel="1">
      <c r="A1975" s="1">
        <v>4</v>
      </c>
      <c r="F1975" s="22">
        <v>862531043214023</v>
      </c>
      <c r="M1975" s="2" t="s">
        <v>2567</v>
      </c>
      <c r="N1975" s="2" t="s">
        <v>963</v>
      </c>
      <c r="O1975" s="18">
        <v>44316</v>
      </c>
    </row>
    <row r="1976" spans="1:19" hidden="1" outlineLevel="1">
      <c r="A1976" s="1">
        <v>5</v>
      </c>
      <c r="F1976" s="22">
        <v>862531043225540</v>
      </c>
      <c r="M1976" s="2" t="s">
        <v>2568</v>
      </c>
      <c r="N1976" s="2" t="s">
        <v>1741</v>
      </c>
      <c r="O1976" s="18">
        <v>44309</v>
      </c>
    </row>
    <row r="1977" spans="1:19" hidden="1" outlineLevel="1">
      <c r="A1977" s="1">
        <v>6</v>
      </c>
      <c r="F1977" s="22">
        <v>862531043900498</v>
      </c>
      <c r="M1977" s="2" t="s">
        <v>2569</v>
      </c>
      <c r="N1977" s="2" t="s">
        <v>2570</v>
      </c>
      <c r="O1977" s="18">
        <v>44321</v>
      </c>
    </row>
    <row r="1978" spans="1:19" hidden="1" outlineLevel="1">
      <c r="A1978" s="1">
        <v>7</v>
      </c>
      <c r="F1978" s="22">
        <v>862531043186197</v>
      </c>
      <c r="M1978" s="2" t="s">
        <v>2571</v>
      </c>
      <c r="N1978" s="2" t="s">
        <v>2428</v>
      </c>
      <c r="O1978" s="18">
        <v>44321</v>
      </c>
    </row>
    <row r="1979" spans="1:19" hidden="1" outlineLevel="1">
      <c r="A1979" s="1">
        <v>8</v>
      </c>
      <c r="F1979" s="22">
        <v>862531043189407</v>
      </c>
      <c r="M1979" s="2" t="s">
        <v>2572</v>
      </c>
      <c r="N1979" s="2" t="s">
        <v>2573</v>
      </c>
      <c r="O1979" s="18">
        <v>44336</v>
      </c>
    </row>
    <row r="1980" spans="1:19" hidden="1" outlineLevel="1">
      <c r="A1980" s="1">
        <v>9</v>
      </c>
      <c r="F1980" s="22">
        <v>862531043247700</v>
      </c>
      <c r="M1980" s="2" t="s">
        <v>2574</v>
      </c>
      <c r="N1980" s="2" t="s">
        <v>1057</v>
      </c>
      <c r="O1980" s="18">
        <v>42019</v>
      </c>
    </row>
    <row r="1981" spans="1:19" hidden="1" outlineLevel="1">
      <c r="A1981" s="1">
        <v>10</v>
      </c>
      <c r="F1981" s="22">
        <v>862531043257931</v>
      </c>
      <c r="M1981" s="2" t="s">
        <v>2575</v>
      </c>
      <c r="N1981" s="2" t="s">
        <v>1741</v>
      </c>
      <c r="O1981" s="18">
        <v>44309</v>
      </c>
    </row>
    <row r="1982" spans="1:19" hidden="1" outlineLevel="1">
      <c r="A1982" s="1">
        <v>11</v>
      </c>
      <c r="F1982" s="22">
        <v>862531043254748</v>
      </c>
      <c r="M1982" s="2" t="s">
        <v>2576</v>
      </c>
      <c r="N1982" s="2" t="s">
        <v>2392</v>
      </c>
      <c r="O1982" s="18">
        <v>41681</v>
      </c>
    </row>
    <row r="1983" spans="1:19" hidden="1" outlineLevel="1">
      <c r="A1983" s="1">
        <v>12</v>
      </c>
      <c r="F1983" s="22">
        <v>862531043258350</v>
      </c>
      <c r="M1983" s="2" t="s">
        <v>2577</v>
      </c>
      <c r="N1983" s="2" t="s">
        <v>1741</v>
      </c>
      <c r="O1983" s="18">
        <v>44309</v>
      </c>
    </row>
    <row r="1984" spans="1:19" hidden="1" outlineLevel="1">
      <c r="A1984" s="1">
        <v>13</v>
      </c>
      <c r="F1984" s="22">
        <v>862531043255380</v>
      </c>
      <c r="G1984" s="4" t="s">
        <v>513</v>
      </c>
      <c r="M1984" s="2" t="s">
        <v>2578</v>
      </c>
      <c r="N1984" s="2" t="s">
        <v>2579</v>
      </c>
      <c r="O1984" s="18">
        <v>44337</v>
      </c>
    </row>
    <row r="1985" spans="1:19" hidden="1" outlineLevel="1">
      <c r="A1985" s="1">
        <v>14</v>
      </c>
      <c r="F1985" s="22">
        <v>862531043255208</v>
      </c>
      <c r="M1985" s="2" t="s">
        <v>2580</v>
      </c>
      <c r="N1985" s="2" t="s">
        <v>1741</v>
      </c>
      <c r="O1985" s="18">
        <v>44315</v>
      </c>
    </row>
    <row r="1986" spans="1:19" hidden="1" outlineLevel="1">
      <c r="A1986" s="1">
        <v>15</v>
      </c>
      <c r="F1986" s="22">
        <v>862531043206383</v>
      </c>
      <c r="M1986" s="2" t="s">
        <v>2581</v>
      </c>
      <c r="N1986" s="2" t="s">
        <v>2582</v>
      </c>
      <c r="O1986" s="18">
        <v>44316</v>
      </c>
    </row>
    <row r="1987" spans="1:19" hidden="1" outlineLevel="1">
      <c r="A1987" s="1">
        <v>16</v>
      </c>
      <c r="F1987" s="22">
        <v>862531043900514</v>
      </c>
      <c r="M1987" s="2" t="s">
        <v>2583</v>
      </c>
      <c r="N1987" s="2" t="s">
        <v>1708</v>
      </c>
      <c r="O1987" s="18">
        <v>44329</v>
      </c>
    </row>
    <row r="1988" spans="1:19" hidden="1" outlineLevel="1">
      <c r="A1988" s="1">
        <v>17</v>
      </c>
      <c r="F1988" s="22">
        <v>862531043258046</v>
      </c>
      <c r="M1988" s="2" t="s">
        <v>2584</v>
      </c>
      <c r="N1988" s="2" t="s">
        <v>1741</v>
      </c>
      <c r="O1988" s="18">
        <v>44315</v>
      </c>
    </row>
    <row r="1989" spans="1:19" hidden="1" outlineLevel="1">
      <c r="A1989" s="1">
        <v>18</v>
      </c>
      <c r="F1989" s="22">
        <v>862531043255646</v>
      </c>
      <c r="M1989" s="2" t="s">
        <v>2585</v>
      </c>
      <c r="N1989" s="2" t="s">
        <v>2249</v>
      </c>
      <c r="O1989" s="18">
        <v>44315</v>
      </c>
    </row>
    <row r="1990" spans="1:19" hidden="1" outlineLevel="1">
      <c r="A1990" s="1">
        <v>19</v>
      </c>
      <c r="F1990" s="22">
        <v>862531043257907</v>
      </c>
      <c r="M1990" s="2" t="s">
        <v>2586</v>
      </c>
      <c r="N1990" s="2" t="s">
        <v>2587</v>
      </c>
      <c r="O1990" s="18">
        <v>44333</v>
      </c>
    </row>
    <row r="1991" spans="1:19" hidden="1" outlineLevel="1">
      <c r="A1991" s="1">
        <v>20</v>
      </c>
      <c r="F1991" s="22">
        <v>862531043234963</v>
      </c>
      <c r="M1991" s="2" t="s">
        <v>2588</v>
      </c>
      <c r="N1991" s="2" t="s">
        <v>2589</v>
      </c>
      <c r="O1991" s="18">
        <v>44316</v>
      </c>
    </row>
    <row r="1992" spans="1:19" hidden="1" outlineLevel="1">
      <c r="A1992" s="8"/>
      <c r="B1992" s="58"/>
      <c r="C1992" s="159"/>
      <c r="D1992" s="8"/>
      <c r="E1992" s="8"/>
      <c r="F1992" s="9"/>
      <c r="G1992" s="8"/>
      <c r="H1992" s="8"/>
      <c r="I1992" s="8"/>
      <c r="J1992" s="58"/>
      <c r="K1992" s="8"/>
      <c r="L1992" s="58"/>
      <c r="M1992" s="8"/>
      <c r="N1992" s="8"/>
      <c r="O1992" s="58"/>
      <c r="P1992" s="8"/>
      <c r="Q1992" s="8"/>
      <c r="R1992" s="8"/>
      <c r="S1992" s="8"/>
    </row>
    <row r="1993" spans="1:19" hidden="1" outlineLevel="1">
      <c r="A1993" s="1">
        <v>1</v>
      </c>
      <c r="B1993" s="11">
        <v>44295</v>
      </c>
      <c r="C1993" s="160">
        <v>1257</v>
      </c>
      <c r="E1993" s="1" t="s">
        <v>632</v>
      </c>
      <c r="F1993" s="22">
        <v>862531043240531</v>
      </c>
      <c r="M1993" s="2" t="s">
        <v>2590</v>
      </c>
      <c r="O1993" s="18">
        <v>44533</v>
      </c>
    </row>
    <row r="1994" spans="1:19" hidden="1" outlineLevel="1">
      <c r="A1994" s="1">
        <v>2</v>
      </c>
      <c r="F1994" s="22">
        <v>862531043245332</v>
      </c>
      <c r="M1994" s="2" t="s">
        <v>2591</v>
      </c>
      <c r="N1994" s="2" t="s">
        <v>2430</v>
      </c>
      <c r="O1994" s="18">
        <v>44468</v>
      </c>
    </row>
    <row r="1995" spans="1:19" hidden="1" outlineLevel="1">
      <c r="A1995" s="1">
        <v>3</v>
      </c>
      <c r="F1995" s="22">
        <v>862531043240689</v>
      </c>
      <c r="M1995" s="2" t="s">
        <v>2592</v>
      </c>
      <c r="N1995" s="2" t="s">
        <v>2430</v>
      </c>
      <c r="O1995" s="18">
        <v>44468</v>
      </c>
    </row>
    <row r="1996" spans="1:19" hidden="1" outlineLevel="1">
      <c r="A1996" s="8"/>
      <c r="B1996" s="58"/>
      <c r="C1996" s="159"/>
      <c r="D1996" s="8"/>
      <c r="E1996" s="8"/>
      <c r="F1996" s="9"/>
      <c r="G1996" s="8"/>
      <c r="H1996" s="8"/>
      <c r="I1996" s="8"/>
      <c r="J1996" s="58"/>
      <c r="K1996" s="8"/>
      <c r="L1996" s="58"/>
      <c r="M1996" s="8"/>
      <c r="N1996" s="8"/>
      <c r="O1996" s="58"/>
      <c r="P1996" s="8"/>
      <c r="Q1996" s="8"/>
      <c r="R1996" s="8"/>
      <c r="S1996" s="8"/>
    </row>
    <row r="1997" spans="1:19" hidden="1" outlineLevel="1">
      <c r="A1997" s="1">
        <v>1</v>
      </c>
      <c r="B1997" s="11">
        <v>44300</v>
      </c>
      <c r="C1997" s="160">
        <v>1309</v>
      </c>
      <c r="E1997" s="1" t="s">
        <v>229</v>
      </c>
      <c r="F1997" s="22">
        <v>862531042006636</v>
      </c>
      <c r="M1997" s="2" t="s">
        <v>2593</v>
      </c>
      <c r="N1997" s="2" t="s">
        <v>2594</v>
      </c>
      <c r="O1997" s="18">
        <v>44316</v>
      </c>
    </row>
    <row r="1998" spans="1:19" hidden="1" outlineLevel="1">
      <c r="A1998" s="1">
        <v>2</v>
      </c>
      <c r="F1998" s="22">
        <v>862531042568122</v>
      </c>
      <c r="M1998" s="2" t="s">
        <v>2595</v>
      </c>
      <c r="N1998" s="2" t="s">
        <v>2596</v>
      </c>
      <c r="O1998" s="18">
        <v>44329</v>
      </c>
    </row>
    <row r="1999" spans="1:19" hidden="1" outlineLevel="1">
      <c r="A1999" s="1">
        <v>3</v>
      </c>
      <c r="F1999" s="22">
        <v>862531042612250</v>
      </c>
      <c r="M1999" s="2" t="s">
        <v>2597</v>
      </c>
      <c r="N1999" s="2" t="s">
        <v>2598</v>
      </c>
      <c r="O1999" s="18">
        <v>44314</v>
      </c>
    </row>
    <row r="2000" spans="1:19" hidden="1" outlineLevel="1">
      <c r="A2000" s="1">
        <v>4</v>
      </c>
      <c r="F2000" s="22">
        <v>862531042734922</v>
      </c>
      <c r="M2000" s="2" t="s">
        <v>2599</v>
      </c>
      <c r="N2000" s="2" t="s">
        <v>2389</v>
      </c>
      <c r="O2000" s="18">
        <v>42107</v>
      </c>
    </row>
    <row r="2001" spans="1:19" hidden="1" outlineLevel="1">
      <c r="A2001" s="1">
        <v>5</v>
      </c>
      <c r="F2001" s="22">
        <v>862531042048604</v>
      </c>
      <c r="M2001" s="2" t="s">
        <v>2600</v>
      </c>
      <c r="N2001" s="2" t="s">
        <v>1811</v>
      </c>
      <c r="O2001" s="18">
        <v>41890</v>
      </c>
    </row>
    <row r="2002" spans="1:19" hidden="1" outlineLevel="1">
      <c r="A2002" s="1">
        <v>6</v>
      </c>
      <c r="F2002" s="22">
        <v>862531042025891</v>
      </c>
      <c r="M2002" s="2" t="s">
        <v>2601</v>
      </c>
      <c r="N2002" s="2" t="s">
        <v>2245</v>
      </c>
      <c r="O2002" s="18">
        <v>44329</v>
      </c>
    </row>
    <row r="2003" spans="1:19" hidden="1" outlineLevel="1">
      <c r="A2003" s="1">
        <v>7</v>
      </c>
      <c r="F2003" s="22">
        <v>862531042200932</v>
      </c>
      <c r="M2003" s="2" t="s">
        <v>2602</v>
      </c>
      <c r="N2003" s="2" t="s">
        <v>2603</v>
      </c>
      <c r="O2003" s="18">
        <v>44335</v>
      </c>
    </row>
    <row r="2004" spans="1:19" hidden="1" outlineLevel="1">
      <c r="A2004" s="1">
        <v>8</v>
      </c>
      <c r="F2004" s="22">
        <v>862531042105529</v>
      </c>
      <c r="M2004" s="2" t="s">
        <v>2604</v>
      </c>
      <c r="N2004" s="2" t="s">
        <v>2605</v>
      </c>
      <c r="O2004" s="18">
        <v>44313</v>
      </c>
    </row>
    <row r="2005" spans="1:19" hidden="1" outlineLevel="1">
      <c r="A2005" s="1">
        <v>9</v>
      </c>
      <c r="F2005" s="22">
        <v>862531042098450</v>
      </c>
      <c r="M2005" s="2" t="s">
        <v>2606</v>
      </c>
      <c r="N2005" s="2" t="s">
        <v>2598</v>
      </c>
      <c r="O2005" s="18">
        <v>44313</v>
      </c>
    </row>
    <row r="2006" spans="1:19" hidden="1" outlineLevel="1">
      <c r="A2006" s="1">
        <v>10</v>
      </c>
      <c r="F2006" s="22">
        <v>862531042052689</v>
      </c>
      <c r="M2006" s="2" t="s">
        <v>2607</v>
      </c>
      <c r="N2006" s="2" t="s">
        <v>2608</v>
      </c>
      <c r="O2006" s="18">
        <v>44315</v>
      </c>
    </row>
    <row r="2007" spans="1:19" hidden="1" outlineLevel="1">
      <c r="A2007" s="1">
        <v>11</v>
      </c>
      <c r="E2007" s="1" t="s">
        <v>628</v>
      </c>
      <c r="F2007" s="22">
        <v>869640059757669</v>
      </c>
      <c r="M2007" s="2" t="s">
        <v>2609</v>
      </c>
      <c r="N2007" s="2" t="s">
        <v>2177</v>
      </c>
      <c r="O2007" s="18">
        <v>44307</v>
      </c>
      <c r="S2007" s="1" t="s">
        <v>749</v>
      </c>
    </row>
    <row r="2008" spans="1:19" hidden="1" outlineLevel="1">
      <c r="A2008" s="1">
        <v>12</v>
      </c>
      <c r="E2008" s="1" t="s">
        <v>633</v>
      </c>
      <c r="F2008" s="22">
        <v>869640051804550</v>
      </c>
      <c r="M2008" s="2" t="s">
        <v>2610</v>
      </c>
      <c r="N2008" s="2" t="s">
        <v>1007</v>
      </c>
      <c r="O2008" s="18">
        <v>44306</v>
      </c>
      <c r="S2008" s="1" t="s">
        <v>750</v>
      </c>
    </row>
    <row r="2009" spans="1:19" hidden="1" outlineLevel="1">
      <c r="A2009" s="8"/>
      <c r="B2009" s="58"/>
      <c r="C2009" s="159"/>
      <c r="D2009" s="8"/>
      <c r="E2009" s="8"/>
      <c r="F2009" s="9"/>
      <c r="G2009" s="8"/>
      <c r="H2009" s="8"/>
      <c r="I2009" s="8"/>
      <c r="J2009" s="58"/>
      <c r="K2009" s="8"/>
      <c r="L2009" s="58"/>
      <c r="M2009" s="8"/>
      <c r="N2009" s="8"/>
      <c r="O2009" s="58"/>
      <c r="P2009" s="8"/>
      <c r="Q2009" s="8"/>
      <c r="R2009" s="8"/>
      <c r="S2009" s="8"/>
    </row>
    <row r="2010" spans="1:19" hidden="1" outlineLevel="1">
      <c r="A2010" s="1">
        <v>1</v>
      </c>
      <c r="B2010" s="11">
        <v>44308</v>
      </c>
      <c r="C2010" s="160">
        <v>1547</v>
      </c>
      <c r="E2010" s="1" t="s">
        <v>628</v>
      </c>
      <c r="F2010" s="22">
        <v>869640051807686</v>
      </c>
      <c r="M2010" s="2" t="s">
        <v>2611</v>
      </c>
      <c r="N2010" s="2" t="s">
        <v>2612</v>
      </c>
      <c r="O2010" s="18">
        <v>44406</v>
      </c>
      <c r="S2010" s="1" t="s">
        <v>751</v>
      </c>
    </row>
    <row r="2011" spans="1:19" hidden="1" outlineLevel="1">
      <c r="A2011" s="1">
        <v>2</v>
      </c>
      <c r="F2011" s="22">
        <v>869640059796840</v>
      </c>
      <c r="M2011" s="2" t="s">
        <v>2613</v>
      </c>
      <c r="N2011" s="2" t="s">
        <v>2477</v>
      </c>
      <c r="O2011" s="18">
        <v>44312</v>
      </c>
      <c r="S2011" s="1" t="s">
        <v>752</v>
      </c>
    </row>
    <row r="2012" spans="1:19" hidden="1" outlineLevel="1">
      <c r="A2012" s="8"/>
      <c r="B2012" s="58"/>
      <c r="C2012" s="159"/>
      <c r="D2012" s="8"/>
      <c r="E2012" s="8"/>
      <c r="F2012" s="9"/>
      <c r="G2012" s="8"/>
      <c r="H2012" s="8"/>
      <c r="I2012" s="8"/>
      <c r="J2012" s="58"/>
      <c r="K2012" s="8"/>
      <c r="L2012" s="58"/>
      <c r="M2012" s="8"/>
      <c r="N2012" s="8"/>
      <c r="O2012" s="58"/>
      <c r="P2012" s="8"/>
      <c r="Q2012" s="8"/>
      <c r="R2012" s="8"/>
      <c r="S2012" s="8"/>
    </row>
    <row r="2013" spans="1:19" hidden="1" outlineLevel="1">
      <c r="A2013" s="1">
        <v>1</v>
      </c>
      <c r="B2013" s="11">
        <v>44314</v>
      </c>
      <c r="C2013" s="160">
        <v>1642</v>
      </c>
      <c r="E2013" s="1" t="s">
        <v>270</v>
      </c>
      <c r="F2013" s="22">
        <v>862531046741071</v>
      </c>
      <c r="M2013" s="2" t="s">
        <v>2614</v>
      </c>
      <c r="N2013" s="2" t="s">
        <v>2615</v>
      </c>
      <c r="O2013" s="18">
        <v>44382</v>
      </c>
      <c r="S2013" s="1">
        <v>935</v>
      </c>
    </row>
    <row r="2014" spans="1:19" hidden="1" outlineLevel="1">
      <c r="A2014" s="1">
        <v>2</v>
      </c>
      <c r="F2014" s="22">
        <v>862531046664521</v>
      </c>
      <c r="M2014" s="2" t="s">
        <v>2616</v>
      </c>
      <c r="N2014" s="2" t="s">
        <v>2615</v>
      </c>
      <c r="O2014" s="18">
        <v>44382</v>
      </c>
      <c r="S2014" s="1">
        <v>935</v>
      </c>
    </row>
    <row r="2015" spans="1:19" hidden="1" outlineLevel="1">
      <c r="A2015" s="1">
        <v>3</v>
      </c>
      <c r="F2015" s="22">
        <v>862531046751005</v>
      </c>
      <c r="M2015" s="2" t="s">
        <v>2617</v>
      </c>
      <c r="N2015" s="2" t="s">
        <v>1741</v>
      </c>
      <c r="O2015" s="18">
        <v>44369</v>
      </c>
      <c r="S2015" s="1">
        <v>719</v>
      </c>
    </row>
    <row r="2016" spans="1:19" hidden="1" outlineLevel="1">
      <c r="A2016" s="1">
        <v>4</v>
      </c>
      <c r="F2016" s="22">
        <v>862531046750247</v>
      </c>
      <c r="M2016" s="2" t="s">
        <v>2618</v>
      </c>
      <c r="N2016" s="2" t="s">
        <v>2619</v>
      </c>
      <c r="O2016" s="18">
        <v>44403</v>
      </c>
      <c r="S2016" s="1" t="s">
        <v>753</v>
      </c>
    </row>
    <row r="2017" spans="1:19" hidden="1" outlineLevel="1">
      <c r="A2017" s="1">
        <v>5</v>
      </c>
      <c r="F2017" s="22">
        <v>862531046702438</v>
      </c>
      <c r="M2017" s="2" t="s">
        <v>2620</v>
      </c>
      <c r="N2017" s="2" t="s">
        <v>1741</v>
      </c>
      <c r="O2017" s="18">
        <v>44369</v>
      </c>
      <c r="S2017" s="1">
        <v>719</v>
      </c>
    </row>
    <row r="2018" spans="1:19" hidden="1" outlineLevel="1">
      <c r="A2018" s="1">
        <v>6</v>
      </c>
      <c r="F2018" s="22">
        <v>862531046751070</v>
      </c>
      <c r="M2018" s="2" t="s">
        <v>2621</v>
      </c>
      <c r="N2018" s="2" t="s">
        <v>1741</v>
      </c>
      <c r="O2018" s="18">
        <v>44369</v>
      </c>
      <c r="S2018" s="1">
        <v>719</v>
      </c>
    </row>
    <row r="2019" spans="1:19" hidden="1" outlineLevel="1">
      <c r="A2019" s="1">
        <v>7</v>
      </c>
      <c r="F2019" s="22">
        <v>862531046676301</v>
      </c>
      <c r="M2019" s="2" t="s">
        <v>2622</v>
      </c>
      <c r="N2019" s="2" t="s">
        <v>1569</v>
      </c>
      <c r="O2019" s="18">
        <v>44392</v>
      </c>
      <c r="S2019" s="1">
        <v>923</v>
      </c>
    </row>
    <row r="2020" spans="1:19" hidden="1" outlineLevel="1">
      <c r="A2020" s="1">
        <v>8</v>
      </c>
      <c r="F2020" s="22">
        <v>862531046747417</v>
      </c>
      <c r="M2020" s="2" t="s">
        <v>2623</v>
      </c>
      <c r="N2020" s="2" t="s">
        <v>1569</v>
      </c>
      <c r="O2020" s="18">
        <v>44392</v>
      </c>
      <c r="S2020" s="1">
        <v>923</v>
      </c>
    </row>
    <row r="2021" spans="1:19" hidden="1" outlineLevel="1">
      <c r="A2021" s="1">
        <v>9</v>
      </c>
      <c r="F2021" s="22">
        <v>862531046744224</v>
      </c>
      <c r="M2021" s="2" t="s">
        <v>2624</v>
      </c>
      <c r="N2021" s="2" t="s">
        <v>2615</v>
      </c>
      <c r="O2021" s="18">
        <v>44382</v>
      </c>
      <c r="S2021" s="1">
        <v>938</v>
      </c>
    </row>
    <row r="2022" spans="1:19" hidden="1" outlineLevel="1">
      <c r="A2022" s="1">
        <v>10</v>
      </c>
      <c r="F2022" s="22">
        <v>862531046741055</v>
      </c>
      <c r="M2022" s="2" t="s">
        <v>2625</v>
      </c>
      <c r="N2022" s="2" t="s">
        <v>2615</v>
      </c>
      <c r="O2022" s="18">
        <v>44382</v>
      </c>
      <c r="S2022" s="1">
        <v>938</v>
      </c>
    </row>
    <row r="2023" spans="1:19" hidden="1" outlineLevel="1">
      <c r="A2023" s="8"/>
      <c r="B2023" s="58"/>
      <c r="C2023" s="159"/>
      <c r="D2023" s="8"/>
      <c r="E2023" s="8"/>
      <c r="F2023" s="9"/>
      <c r="G2023" s="8"/>
      <c r="H2023" s="8"/>
      <c r="I2023" s="8"/>
      <c r="J2023" s="58"/>
      <c r="K2023" s="8"/>
      <c r="L2023" s="58"/>
      <c r="M2023" s="8"/>
      <c r="N2023" s="8"/>
      <c r="O2023" s="58"/>
      <c r="P2023" s="8"/>
      <c r="Q2023" s="8"/>
      <c r="R2023" s="8"/>
      <c r="S2023" s="8"/>
    </row>
    <row r="2024" spans="1:19" hidden="1" outlineLevel="1">
      <c r="A2024" s="1">
        <v>1</v>
      </c>
      <c r="B2024" s="11">
        <v>44314</v>
      </c>
      <c r="C2024" s="160">
        <v>1643</v>
      </c>
      <c r="E2024" s="1" t="s">
        <v>270</v>
      </c>
      <c r="F2024" s="22">
        <v>862531046662939</v>
      </c>
      <c r="M2024" s="2" t="s">
        <v>2626</v>
      </c>
      <c r="N2024" s="2" t="s">
        <v>2627</v>
      </c>
      <c r="O2024" s="18">
        <v>44420</v>
      </c>
      <c r="S2024" s="1" t="s">
        <v>753</v>
      </c>
    </row>
    <row r="2025" spans="1:19" hidden="1" outlineLevel="1">
      <c r="A2025" s="1">
        <v>2</v>
      </c>
      <c r="F2025" s="22">
        <v>862531046745247</v>
      </c>
      <c r="M2025" s="2" t="s">
        <v>2628</v>
      </c>
      <c r="N2025" s="2" t="s">
        <v>2629</v>
      </c>
      <c r="O2025" s="18">
        <v>44470</v>
      </c>
      <c r="S2025" s="1">
        <v>1427</v>
      </c>
    </row>
    <row r="2026" spans="1:19" hidden="1" outlineLevel="1">
      <c r="A2026" s="1">
        <v>3</v>
      </c>
      <c r="F2026" s="22">
        <v>862531046748548</v>
      </c>
      <c r="M2026" s="2" t="s">
        <v>2630</v>
      </c>
      <c r="N2026" s="2" t="s">
        <v>2631</v>
      </c>
      <c r="O2026" s="18">
        <v>44376</v>
      </c>
      <c r="S2026" s="1">
        <v>715</v>
      </c>
    </row>
    <row r="2027" spans="1:19" hidden="1" outlineLevel="1">
      <c r="A2027" s="8"/>
      <c r="B2027" s="58"/>
      <c r="C2027" s="159"/>
      <c r="D2027" s="8"/>
      <c r="E2027" s="8"/>
      <c r="F2027" s="9"/>
      <c r="G2027" s="8"/>
      <c r="H2027" s="8"/>
      <c r="I2027" s="8"/>
      <c r="J2027" s="58"/>
      <c r="K2027" s="8"/>
      <c r="L2027" s="58"/>
      <c r="M2027" s="8"/>
      <c r="N2027" s="8"/>
      <c r="O2027" s="58"/>
      <c r="P2027" s="8"/>
      <c r="Q2027" s="8"/>
      <c r="R2027" s="8"/>
      <c r="S2027" s="8"/>
    </row>
    <row r="2028" spans="1:19" hidden="1" outlineLevel="1">
      <c r="A2028" s="1">
        <v>1</v>
      </c>
      <c r="B2028" s="11">
        <v>44314</v>
      </c>
      <c r="C2028" s="160">
        <v>1644</v>
      </c>
      <c r="E2028" s="1" t="s">
        <v>270</v>
      </c>
      <c r="F2028" s="22">
        <v>862531046663119</v>
      </c>
      <c r="M2028" s="2">
        <v>862531046663119</v>
      </c>
      <c r="N2028" s="2" t="s">
        <v>2328</v>
      </c>
      <c r="O2028" s="18">
        <v>44316</v>
      </c>
      <c r="S2028" s="1">
        <v>451</v>
      </c>
    </row>
    <row r="2029" spans="1:19" hidden="1" outlineLevel="1">
      <c r="A2029" s="1">
        <v>2</v>
      </c>
      <c r="F2029" s="22">
        <v>862531046664802</v>
      </c>
      <c r="M2029" s="2">
        <v>862531046664802</v>
      </c>
      <c r="N2029" s="2" t="s">
        <v>2328</v>
      </c>
      <c r="O2029" s="18">
        <v>44315</v>
      </c>
      <c r="S2029" s="1">
        <v>451</v>
      </c>
    </row>
    <row r="2030" spans="1:19" hidden="1" outlineLevel="1">
      <c r="A2030" s="1">
        <v>3</v>
      </c>
      <c r="F2030" s="22">
        <v>862531046754843</v>
      </c>
      <c r="M2030" s="2">
        <v>862531046754843</v>
      </c>
      <c r="N2030" s="2" t="s">
        <v>2328</v>
      </c>
      <c r="O2030" s="18">
        <v>44315</v>
      </c>
      <c r="S2030" s="1">
        <v>451</v>
      </c>
    </row>
    <row r="2031" spans="1:19" hidden="1" outlineLevel="1">
      <c r="A2031" s="1">
        <v>4</v>
      </c>
      <c r="F2031" s="22">
        <v>862531046676210</v>
      </c>
      <c r="M2031" s="2">
        <v>862531046676210</v>
      </c>
      <c r="N2031" s="2" t="s">
        <v>2328</v>
      </c>
      <c r="O2031" s="18">
        <v>44315</v>
      </c>
      <c r="S2031" s="1">
        <v>451</v>
      </c>
    </row>
    <row r="2032" spans="1:19" hidden="1" outlineLevel="1">
      <c r="A2032" s="1">
        <v>5</v>
      </c>
      <c r="F2032" s="22">
        <v>862531046743507</v>
      </c>
      <c r="M2032" s="2">
        <v>862531046743507</v>
      </c>
      <c r="N2032" s="2" t="s">
        <v>2328</v>
      </c>
      <c r="O2032" s="18">
        <v>44316</v>
      </c>
      <c r="S2032" s="1">
        <v>451</v>
      </c>
    </row>
    <row r="2033" spans="1:19" hidden="1" outlineLevel="1">
      <c r="A2033" s="1">
        <v>6</v>
      </c>
      <c r="F2033" s="22">
        <v>862531046668787</v>
      </c>
      <c r="M2033" s="2">
        <v>862531046668787</v>
      </c>
      <c r="N2033" s="2" t="s">
        <v>2328</v>
      </c>
      <c r="O2033" s="18">
        <v>44315</v>
      </c>
      <c r="S2033" s="1">
        <v>451</v>
      </c>
    </row>
    <row r="2034" spans="1:19" hidden="1" outlineLevel="1">
      <c r="A2034" s="1">
        <v>7</v>
      </c>
      <c r="F2034" s="22">
        <v>862531046696705</v>
      </c>
      <c r="M2034" s="2">
        <v>862531046696705</v>
      </c>
      <c r="N2034" s="2" t="s">
        <v>2328</v>
      </c>
      <c r="O2034" s="18">
        <v>44316</v>
      </c>
      <c r="S2034" s="1">
        <v>451</v>
      </c>
    </row>
    <row r="2035" spans="1:19" hidden="1" outlineLevel="1">
      <c r="A2035" s="1">
        <v>8</v>
      </c>
      <c r="F2035" s="22">
        <v>862531046755881</v>
      </c>
      <c r="M2035" s="2">
        <v>862531046755881</v>
      </c>
      <c r="N2035" s="2" t="s">
        <v>2328</v>
      </c>
      <c r="O2035" s="18">
        <v>44316</v>
      </c>
      <c r="S2035" s="1">
        <v>451</v>
      </c>
    </row>
    <row r="2036" spans="1:19" hidden="1" outlineLevel="1">
      <c r="A2036" s="1">
        <v>9</v>
      </c>
      <c r="F2036" s="22">
        <v>862531046738598</v>
      </c>
      <c r="M2036" s="2">
        <v>862531046738598</v>
      </c>
      <c r="N2036" s="2" t="s">
        <v>2328</v>
      </c>
      <c r="O2036" s="18">
        <v>44316</v>
      </c>
      <c r="S2036" s="1">
        <v>451</v>
      </c>
    </row>
    <row r="2037" spans="1:19" hidden="1" outlineLevel="1">
      <c r="A2037" s="1">
        <v>10</v>
      </c>
      <c r="F2037" s="22">
        <v>862531046750858</v>
      </c>
      <c r="M2037" s="2">
        <v>862531046750858</v>
      </c>
      <c r="N2037" s="2" t="s">
        <v>2328</v>
      </c>
      <c r="O2037" s="18">
        <v>44315</v>
      </c>
      <c r="S2037" s="1">
        <v>451</v>
      </c>
    </row>
    <row r="2038" spans="1:19" hidden="1" outlineLevel="1">
      <c r="A2038" s="1">
        <v>11</v>
      </c>
      <c r="F2038" s="22">
        <v>862531046749512</v>
      </c>
      <c r="M2038" s="2">
        <v>862531046749512</v>
      </c>
      <c r="N2038" s="2" t="s">
        <v>2328</v>
      </c>
      <c r="O2038" s="18">
        <v>44316</v>
      </c>
      <c r="S2038" s="1">
        <v>451</v>
      </c>
    </row>
    <row r="2039" spans="1:19" hidden="1" outlineLevel="1">
      <c r="A2039" s="1">
        <v>12</v>
      </c>
      <c r="F2039" s="22">
        <v>862531046737236</v>
      </c>
      <c r="M2039" s="2">
        <v>862531046737236</v>
      </c>
      <c r="N2039" s="2" t="s">
        <v>2328</v>
      </c>
      <c r="O2039" s="18">
        <v>44316</v>
      </c>
      <c r="S2039" s="1">
        <v>451</v>
      </c>
    </row>
    <row r="2040" spans="1:19" hidden="1" outlineLevel="1">
      <c r="A2040" s="1">
        <v>13</v>
      </c>
      <c r="F2040" s="22">
        <v>862531046696192</v>
      </c>
      <c r="M2040" s="2">
        <v>862531046696192</v>
      </c>
      <c r="N2040" s="2" t="s">
        <v>2328</v>
      </c>
      <c r="O2040" s="18">
        <v>44316</v>
      </c>
      <c r="S2040" s="1">
        <v>451</v>
      </c>
    </row>
    <row r="2041" spans="1:19" hidden="1" outlineLevel="1">
      <c r="A2041" s="1">
        <v>14</v>
      </c>
      <c r="F2041" s="22">
        <v>862531046749660</v>
      </c>
      <c r="M2041" s="2">
        <v>862531046749660</v>
      </c>
      <c r="N2041" s="2" t="s">
        <v>2328</v>
      </c>
      <c r="O2041" s="18">
        <v>44315</v>
      </c>
      <c r="S2041" s="1">
        <v>451</v>
      </c>
    </row>
    <row r="2042" spans="1:19" hidden="1" outlineLevel="1">
      <c r="A2042" s="1">
        <v>15</v>
      </c>
      <c r="F2042" s="22">
        <v>862531046740925</v>
      </c>
      <c r="M2042" s="2">
        <v>862531046740925</v>
      </c>
      <c r="N2042" s="2" t="s">
        <v>2328</v>
      </c>
      <c r="O2042" s="18">
        <v>44315</v>
      </c>
      <c r="S2042" s="1">
        <v>451</v>
      </c>
    </row>
    <row r="2043" spans="1:19" hidden="1" outlineLevel="1">
      <c r="A2043" s="1">
        <v>16</v>
      </c>
      <c r="F2043" s="22">
        <v>862531046746799</v>
      </c>
      <c r="M2043" s="2">
        <v>862531046746799</v>
      </c>
      <c r="N2043" s="2" t="s">
        <v>2328</v>
      </c>
      <c r="O2043" s="18">
        <v>44315</v>
      </c>
      <c r="S2043" s="1">
        <v>451</v>
      </c>
    </row>
    <row r="2044" spans="1:19" hidden="1" outlineLevel="1">
      <c r="A2044" s="1">
        <v>17</v>
      </c>
      <c r="F2044" s="22">
        <v>862531046744323</v>
      </c>
      <c r="M2044" s="2">
        <v>862531046744323</v>
      </c>
      <c r="N2044" s="2" t="s">
        <v>2328</v>
      </c>
      <c r="O2044" s="18">
        <v>44315</v>
      </c>
      <c r="S2044" s="1">
        <v>451</v>
      </c>
    </row>
    <row r="2045" spans="1:19" hidden="1" outlineLevel="1">
      <c r="A2045" s="1">
        <v>18</v>
      </c>
      <c r="F2045" s="22">
        <v>862531046676178</v>
      </c>
      <c r="M2045" s="2">
        <v>862531046676178</v>
      </c>
      <c r="N2045" s="2" t="s">
        <v>2328</v>
      </c>
      <c r="O2045" s="18">
        <v>44315</v>
      </c>
      <c r="S2045" s="1">
        <v>451</v>
      </c>
    </row>
    <row r="2046" spans="1:19" hidden="1" outlineLevel="1">
      <c r="A2046" s="1">
        <v>19</v>
      </c>
      <c r="F2046" s="22">
        <v>862531046744380</v>
      </c>
      <c r="M2046" s="2">
        <v>862531046744380</v>
      </c>
      <c r="N2046" s="2" t="s">
        <v>2328</v>
      </c>
      <c r="O2046" s="18">
        <v>44315</v>
      </c>
      <c r="S2046" s="1">
        <v>451</v>
      </c>
    </row>
    <row r="2047" spans="1:19" hidden="1" outlineLevel="1">
      <c r="A2047" s="1">
        <v>20</v>
      </c>
      <c r="F2047" s="22">
        <v>862531046665957</v>
      </c>
      <c r="M2047" s="2">
        <v>862531046665957</v>
      </c>
      <c r="N2047" s="2" t="s">
        <v>2328</v>
      </c>
      <c r="O2047" s="18">
        <v>44316</v>
      </c>
      <c r="S2047" s="1">
        <v>451</v>
      </c>
    </row>
    <row r="2048" spans="1:19" hidden="1" outlineLevel="1">
      <c r="A2048" s="1">
        <v>21</v>
      </c>
      <c r="F2048" s="22">
        <v>862531046750437</v>
      </c>
      <c r="M2048" s="2">
        <v>862531046750437</v>
      </c>
      <c r="N2048" s="2" t="s">
        <v>2328</v>
      </c>
      <c r="O2048" s="18">
        <v>44316</v>
      </c>
      <c r="S2048" s="1">
        <v>451</v>
      </c>
    </row>
    <row r="2049" spans="1:19" hidden="1" outlineLevel="1">
      <c r="A2049" s="1">
        <v>22</v>
      </c>
      <c r="F2049" s="22">
        <v>862531046696846</v>
      </c>
      <c r="M2049" s="2">
        <v>862531046696846</v>
      </c>
      <c r="N2049" s="2" t="s">
        <v>2328</v>
      </c>
      <c r="O2049" s="18">
        <v>44316</v>
      </c>
      <c r="S2049" s="1">
        <v>451</v>
      </c>
    </row>
    <row r="2050" spans="1:19" hidden="1" outlineLevel="1">
      <c r="A2050" s="1">
        <v>23</v>
      </c>
      <c r="F2050" s="22">
        <v>862531046744091</v>
      </c>
      <c r="M2050" s="2">
        <v>862531046744091</v>
      </c>
      <c r="N2050" s="2" t="s">
        <v>2328</v>
      </c>
      <c r="O2050" s="18">
        <v>44315</v>
      </c>
      <c r="S2050" s="1">
        <v>451</v>
      </c>
    </row>
    <row r="2051" spans="1:19" hidden="1" outlineLevel="1">
      <c r="A2051" s="1">
        <v>24</v>
      </c>
      <c r="F2051" s="22">
        <v>862531046674959</v>
      </c>
      <c r="M2051" s="2">
        <v>862531046674959</v>
      </c>
      <c r="N2051" s="2" t="s">
        <v>2328</v>
      </c>
      <c r="O2051" s="18">
        <v>44315</v>
      </c>
      <c r="S2051" s="1">
        <v>451</v>
      </c>
    </row>
    <row r="2052" spans="1:19" hidden="1" outlineLevel="1">
      <c r="A2052" s="1">
        <v>25</v>
      </c>
      <c r="F2052" s="22">
        <v>862531046696648</v>
      </c>
      <c r="M2052" s="2">
        <v>862531046696648</v>
      </c>
      <c r="N2052" s="2" t="s">
        <v>2328</v>
      </c>
      <c r="O2052" s="18">
        <v>44315</v>
      </c>
      <c r="S2052" s="1">
        <v>451</v>
      </c>
    </row>
    <row r="2053" spans="1:19" hidden="1" outlineLevel="1">
      <c r="A2053" s="1">
        <v>26</v>
      </c>
      <c r="F2053" s="22">
        <v>862531046745825</v>
      </c>
      <c r="M2053" s="2">
        <v>862531046745825</v>
      </c>
      <c r="N2053" s="2" t="s">
        <v>2328</v>
      </c>
      <c r="O2053" s="18">
        <v>44315</v>
      </c>
      <c r="S2053" s="1">
        <v>451</v>
      </c>
    </row>
    <row r="2054" spans="1:19" hidden="1" outlineLevel="1">
      <c r="A2054" s="1">
        <v>27</v>
      </c>
      <c r="F2054" s="22">
        <v>862531046668118</v>
      </c>
      <c r="M2054" s="2">
        <v>862531046668118</v>
      </c>
      <c r="N2054" s="2" t="s">
        <v>2328</v>
      </c>
      <c r="O2054" s="18">
        <v>44315</v>
      </c>
      <c r="S2054" s="1">
        <v>451</v>
      </c>
    </row>
    <row r="2055" spans="1:19" hidden="1" outlineLevel="1">
      <c r="A2055" s="1">
        <v>28</v>
      </c>
      <c r="F2055" s="22">
        <v>862531046755493</v>
      </c>
      <c r="M2055" s="2">
        <v>862531046755493</v>
      </c>
      <c r="N2055" s="2" t="s">
        <v>2328</v>
      </c>
      <c r="O2055" s="18">
        <v>44315</v>
      </c>
      <c r="S2055" s="1">
        <v>451</v>
      </c>
    </row>
    <row r="2056" spans="1:19" hidden="1" outlineLevel="1">
      <c r="A2056" s="1">
        <v>29</v>
      </c>
      <c r="F2056" s="22">
        <v>862531046662228</v>
      </c>
      <c r="M2056" s="2">
        <v>862531046662228</v>
      </c>
      <c r="N2056" s="2" t="s">
        <v>2328</v>
      </c>
      <c r="O2056" s="18">
        <v>44315</v>
      </c>
      <c r="S2056" s="1">
        <v>451</v>
      </c>
    </row>
    <row r="2057" spans="1:19" hidden="1" outlineLevel="1">
      <c r="A2057" s="1">
        <v>30</v>
      </c>
      <c r="F2057" s="22" t="s">
        <v>498</v>
      </c>
      <c r="N2057" s="2" t="s">
        <v>2328</v>
      </c>
      <c r="O2057" s="18">
        <v>44315</v>
      </c>
      <c r="S2057" s="1">
        <v>451</v>
      </c>
    </row>
    <row r="2058" spans="1:19" hidden="1" outlineLevel="1">
      <c r="A2058" s="8"/>
      <c r="B2058" s="58"/>
      <c r="C2058" s="159"/>
      <c r="D2058" s="8"/>
      <c r="E2058" s="8"/>
      <c r="F2058" s="9"/>
      <c r="G2058" s="8"/>
      <c r="H2058" s="8"/>
      <c r="I2058" s="8"/>
      <c r="J2058" s="58"/>
      <c r="K2058" s="8"/>
      <c r="L2058" s="58"/>
      <c r="M2058" s="8"/>
      <c r="N2058" s="8"/>
      <c r="O2058" s="58"/>
      <c r="P2058" s="8"/>
      <c r="Q2058" s="8"/>
      <c r="R2058" s="8"/>
      <c r="S2058" s="8"/>
    </row>
    <row r="2059" spans="1:19" hidden="1" outlineLevel="1">
      <c r="A2059" s="1">
        <v>1</v>
      </c>
      <c r="B2059" s="11">
        <v>44315</v>
      </c>
      <c r="C2059" s="160">
        <v>1658</v>
      </c>
      <c r="E2059" s="1" t="s">
        <v>229</v>
      </c>
      <c r="F2059" s="22">
        <v>862531043265322</v>
      </c>
      <c r="M2059" s="2" t="s">
        <v>2632</v>
      </c>
      <c r="N2059" s="2" t="s">
        <v>2633</v>
      </c>
      <c r="O2059" s="18">
        <v>44348</v>
      </c>
    </row>
    <row r="2060" spans="1:19" hidden="1" outlineLevel="1">
      <c r="A2060" s="1">
        <v>2</v>
      </c>
      <c r="F2060" s="22">
        <v>862531044595290</v>
      </c>
    </row>
    <row r="2061" spans="1:19" hidden="1" outlineLevel="1">
      <c r="A2061" s="1">
        <v>3</v>
      </c>
      <c r="F2061" s="22">
        <v>862531044625300</v>
      </c>
      <c r="M2061" s="2">
        <v>862531044625300</v>
      </c>
      <c r="N2061" s="2" t="s">
        <v>1813</v>
      </c>
      <c r="O2061" s="18">
        <v>44343</v>
      </c>
    </row>
    <row r="2062" spans="1:19" hidden="1" outlineLevel="1">
      <c r="A2062" s="1">
        <v>4</v>
      </c>
      <c r="F2062" s="22">
        <v>862531045117216</v>
      </c>
      <c r="M2062" s="2" t="s">
        <v>2634</v>
      </c>
      <c r="N2062" s="2" t="s">
        <v>1813</v>
      </c>
      <c r="O2062" s="18">
        <v>44343</v>
      </c>
    </row>
    <row r="2063" spans="1:19" hidden="1" outlineLevel="1">
      <c r="A2063" s="1">
        <v>5</v>
      </c>
      <c r="F2063" s="22">
        <v>862531043238824</v>
      </c>
      <c r="M2063" s="2" t="s">
        <v>2635</v>
      </c>
      <c r="N2063" s="2" t="s">
        <v>2219</v>
      </c>
      <c r="O2063" s="18">
        <v>44348</v>
      </c>
    </row>
    <row r="2064" spans="1:19" hidden="1" outlineLevel="1">
      <c r="A2064" s="1">
        <v>6</v>
      </c>
      <c r="F2064" s="22">
        <v>862531043265306</v>
      </c>
      <c r="M2064" s="2" t="s">
        <v>2636</v>
      </c>
      <c r="N2064" s="2" t="s">
        <v>2219</v>
      </c>
      <c r="O2064" s="18">
        <v>44348</v>
      </c>
    </row>
    <row r="2065" spans="1:15" hidden="1" outlineLevel="1">
      <c r="A2065" s="1">
        <v>7</v>
      </c>
      <c r="F2065" s="22">
        <v>862531044525914</v>
      </c>
      <c r="M2065" s="2" t="s">
        <v>2637</v>
      </c>
      <c r="N2065" s="2" t="s">
        <v>1813</v>
      </c>
      <c r="O2065" s="18">
        <v>44343</v>
      </c>
    </row>
    <row r="2066" spans="1:15" hidden="1" outlineLevel="1">
      <c r="A2066" s="1">
        <v>8</v>
      </c>
      <c r="F2066" s="22">
        <v>862531043177667</v>
      </c>
      <c r="M2066" s="2" t="s">
        <v>2638</v>
      </c>
      <c r="N2066" s="2" t="s">
        <v>1813</v>
      </c>
      <c r="O2066" s="18">
        <v>44343</v>
      </c>
    </row>
    <row r="2067" spans="1:15" hidden="1" outlineLevel="1">
      <c r="A2067" s="1">
        <v>9</v>
      </c>
      <c r="F2067" s="22">
        <v>862531043265199</v>
      </c>
      <c r="M2067" s="2" t="s">
        <v>2639</v>
      </c>
      <c r="N2067" s="2" t="s">
        <v>1813</v>
      </c>
      <c r="O2067" s="18">
        <v>44343</v>
      </c>
    </row>
    <row r="2068" spans="1:15" hidden="1" outlineLevel="1">
      <c r="A2068" s="1">
        <v>10</v>
      </c>
      <c r="F2068" s="22">
        <v>862531044627470</v>
      </c>
      <c r="M2068" s="2" t="s">
        <v>2640</v>
      </c>
      <c r="N2068" s="2" t="s">
        <v>1813</v>
      </c>
      <c r="O2068" s="18">
        <v>44343</v>
      </c>
    </row>
    <row r="2069" spans="1:15" hidden="1" outlineLevel="1">
      <c r="A2069" s="1">
        <v>11</v>
      </c>
      <c r="F2069" s="22">
        <v>862531043265108</v>
      </c>
      <c r="M2069" s="2" t="s">
        <v>2641</v>
      </c>
      <c r="N2069" s="2" t="s">
        <v>1813</v>
      </c>
      <c r="O2069" s="18">
        <v>44343</v>
      </c>
    </row>
    <row r="2070" spans="1:15" hidden="1" outlineLevel="1">
      <c r="A2070" s="1">
        <v>12</v>
      </c>
      <c r="F2070" s="22">
        <v>862531044604099</v>
      </c>
      <c r="M2070" s="2" t="s">
        <v>2642</v>
      </c>
      <c r="N2070" s="2" t="s">
        <v>1813</v>
      </c>
      <c r="O2070" s="18">
        <v>44343</v>
      </c>
    </row>
    <row r="2071" spans="1:15" hidden="1" outlineLevel="1">
      <c r="A2071" s="1">
        <v>13</v>
      </c>
      <c r="F2071" s="22">
        <v>862531044545391</v>
      </c>
      <c r="M2071" s="2">
        <v>862531044545391</v>
      </c>
      <c r="N2071" s="2" t="s">
        <v>1813</v>
      </c>
      <c r="O2071" s="18">
        <v>44343</v>
      </c>
    </row>
    <row r="2072" spans="1:15" hidden="1" outlineLevel="1">
      <c r="A2072" s="1">
        <v>14</v>
      </c>
      <c r="F2072" s="22">
        <v>862531044544816</v>
      </c>
      <c r="M2072" s="2" t="s">
        <v>2643</v>
      </c>
      <c r="N2072" s="2" t="s">
        <v>2219</v>
      </c>
      <c r="O2072" s="18">
        <v>44350</v>
      </c>
    </row>
    <row r="2073" spans="1:15" hidden="1" outlineLevel="1">
      <c r="A2073" s="1">
        <v>15</v>
      </c>
      <c r="F2073" s="22">
        <v>862531043197665</v>
      </c>
      <c r="M2073" s="2" t="s">
        <v>2644</v>
      </c>
      <c r="N2073" s="2" t="s">
        <v>2219</v>
      </c>
      <c r="O2073" s="18">
        <v>44350</v>
      </c>
    </row>
    <row r="2074" spans="1:15" hidden="1" outlineLevel="1">
      <c r="A2074" s="1">
        <v>16</v>
      </c>
      <c r="E2074" s="1" t="s">
        <v>149</v>
      </c>
      <c r="F2074" s="22">
        <v>862531041996712</v>
      </c>
    </row>
    <row r="2075" spans="1:15" hidden="1" outlineLevel="1">
      <c r="A2075" s="1">
        <v>17</v>
      </c>
      <c r="F2075" s="22">
        <v>862531042140443</v>
      </c>
      <c r="M2075" s="2" t="s">
        <v>2645</v>
      </c>
      <c r="N2075" s="2" t="s">
        <v>1024</v>
      </c>
      <c r="O2075" s="18">
        <v>44368</v>
      </c>
    </row>
    <row r="2076" spans="1:15" hidden="1" outlineLevel="1">
      <c r="A2076" s="1">
        <v>18</v>
      </c>
      <c r="F2076" s="22">
        <v>862531042140492</v>
      </c>
    </row>
    <row r="2077" spans="1:15" hidden="1" outlineLevel="1">
      <c r="A2077" s="1">
        <v>19</v>
      </c>
      <c r="F2077" s="22">
        <v>862531042079658</v>
      </c>
      <c r="M2077" s="2" t="s">
        <v>2646</v>
      </c>
      <c r="N2077" s="2" t="s">
        <v>2587</v>
      </c>
      <c r="O2077" s="18">
        <v>44333</v>
      </c>
    </row>
    <row r="2078" spans="1:15" hidden="1" outlineLevel="1">
      <c r="A2078" s="1">
        <v>20</v>
      </c>
      <c r="F2078" s="22">
        <v>862531042559618</v>
      </c>
      <c r="M2078" s="2" t="s">
        <v>2647</v>
      </c>
      <c r="N2078" s="2" t="s">
        <v>2648</v>
      </c>
      <c r="O2078" s="18">
        <v>44368</v>
      </c>
    </row>
    <row r="2079" spans="1:15" hidden="1" outlineLevel="1">
      <c r="A2079" s="1">
        <v>21</v>
      </c>
      <c r="F2079" s="22">
        <v>862531042155664</v>
      </c>
    </row>
    <row r="2080" spans="1:15" hidden="1" outlineLevel="1">
      <c r="A2080" s="1">
        <v>22</v>
      </c>
      <c r="F2080" s="22">
        <v>862531042218686</v>
      </c>
    </row>
    <row r="2081" spans="1:19" hidden="1" outlineLevel="1">
      <c r="A2081" s="1">
        <v>23</v>
      </c>
      <c r="F2081" s="22">
        <v>862531042134156</v>
      </c>
      <c r="M2081" s="2" t="s">
        <v>2649</v>
      </c>
      <c r="N2081" s="2" t="s">
        <v>2648</v>
      </c>
      <c r="O2081" s="18">
        <v>44368</v>
      </c>
    </row>
    <row r="2082" spans="1:19" hidden="1" outlineLevel="1">
      <c r="A2082" s="1">
        <v>24</v>
      </c>
      <c r="F2082" s="22">
        <v>862531042155706</v>
      </c>
      <c r="M2082" s="2" t="s">
        <v>2650</v>
      </c>
      <c r="N2082" s="2" t="s">
        <v>2651</v>
      </c>
      <c r="O2082" s="18">
        <v>41557</v>
      </c>
    </row>
    <row r="2083" spans="1:19" hidden="1" outlineLevel="1">
      <c r="A2083" s="1">
        <v>25</v>
      </c>
      <c r="F2083" s="22">
        <v>862531042155672</v>
      </c>
    </row>
    <row r="2084" spans="1:19" hidden="1" outlineLevel="1">
      <c r="A2084" s="1">
        <v>26</v>
      </c>
      <c r="F2084" s="22">
        <v>862531042088857</v>
      </c>
    </row>
    <row r="2085" spans="1:19" hidden="1" outlineLevel="1">
      <c r="A2085" s="1">
        <v>27</v>
      </c>
      <c r="F2085" s="22">
        <v>862531042085390</v>
      </c>
      <c r="M2085" s="2" t="s">
        <v>2652</v>
      </c>
      <c r="N2085" s="2" t="s">
        <v>2648</v>
      </c>
      <c r="O2085" s="18">
        <v>44368</v>
      </c>
    </row>
    <row r="2086" spans="1:19" hidden="1" outlineLevel="1">
      <c r="A2086" s="1">
        <v>28</v>
      </c>
      <c r="F2086" s="22">
        <v>862531042191404</v>
      </c>
    </row>
    <row r="2087" spans="1:19" hidden="1" outlineLevel="1">
      <c r="A2087" s="1">
        <v>29</v>
      </c>
      <c r="F2087" s="22">
        <v>862531042130352</v>
      </c>
      <c r="M2087" s="2" t="s">
        <v>2653</v>
      </c>
      <c r="N2087" s="2" t="s">
        <v>2648</v>
      </c>
      <c r="O2087" s="18">
        <v>44368</v>
      </c>
    </row>
    <row r="2088" spans="1:19" hidden="1" outlineLevel="1">
      <c r="A2088" s="1">
        <v>30</v>
      </c>
      <c r="E2088" s="1" t="s">
        <v>609</v>
      </c>
      <c r="F2088" s="22">
        <v>862531041265365</v>
      </c>
      <c r="M2088" s="2" t="s">
        <v>2654</v>
      </c>
      <c r="N2088" s="2" t="s">
        <v>2655</v>
      </c>
      <c r="O2088" s="18">
        <v>44407</v>
      </c>
    </row>
    <row r="2089" spans="1:19" hidden="1" outlineLevel="1">
      <c r="A2089" s="8"/>
      <c r="B2089" s="58"/>
      <c r="C2089" s="159"/>
      <c r="D2089" s="8"/>
      <c r="E2089" s="8"/>
      <c r="F2089" s="9"/>
      <c r="G2089" s="8"/>
      <c r="H2089" s="8"/>
      <c r="I2089" s="8"/>
      <c r="J2089" s="58"/>
      <c r="K2089" s="8"/>
      <c r="L2089" s="58"/>
      <c r="M2089" s="8"/>
      <c r="N2089" s="8"/>
      <c r="O2089" s="58"/>
      <c r="P2089" s="8"/>
      <c r="Q2089" s="8"/>
      <c r="R2089" s="8"/>
      <c r="S2089" s="8"/>
    </row>
    <row r="2090" spans="1:19" hidden="1" outlineLevel="1">
      <c r="A2090" s="1">
        <v>1</v>
      </c>
      <c r="B2090" s="11">
        <v>44328</v>
      </c>
      <c r="C2090" s="160">
        <v>1733</v>
      </c>
      <c r="E2090" s="1" t="s">
        <v>627</v>
      </c>
      <c r="F2090" s="22">
        <v>862531045950467</v>
      </c>
      <c r="M2090" s="2" t="s">
        <v>2656</v>
      </c>
      <c r="N2090" s="2" t="s">
        <v>2657</v>
      </c>
      <c r="O2090" s="18">
        <v>44133</v>
      </c>
    </row>
    <row r="2091" spans="1:19" hidden="1" outlineLevel="1">
      <c r="A2091" s="8"/>
      <c r="B2091" s="58"/>
      <c r="C2091" s="159"/>
      <c r="D2091" s="8"/>
      <c r="E2091" s="8"/>
      <c r="F2091" s="9"/>
      <c r="G2091" s="8"/>
      <c r="H2091" s="8"/>
      <c r="I2091" s="8"/>
      <c r="J2091" s="58"/>
      <c r="K2091" s="8"/>
      <c r="L2091" s="58"/>
      <c r="M2091" s="8"/>
      <c r="N2091" s="8"/>
      <c r="O2091" s="58"/>
      <c r="P2091" s="8"/>
      <c r="Q2091" s="8"/>
      <c r="R2091" s="8"/>
      <c r="S2091" s="8"/>
    </row>
    <row r="2092" spans="1:19" hidden="1" outlineLevel="1">
      <c r="A2092" s="1">
        <v>1</v>
      </c>
      <c r="B2092" s="11">
        <v>44340</v>
      </c>
      <c r="C2092" s="160">
        <v>1988</v>
      </c>
      <c r="E2092" s="1" t="s">
        <v>149</v>
      </c>
      <c r="F2092" s="22">
        <v>866795039887615</v>
      </c>
      <c r="M2092" s="2" t="s">
        <v>2658</v>
      </c>
      <c r="N2092" s="2" t="s">
        <v>2651</v>
      </c>
      <c r="O2092" s="18">
        <v>41509</v>
      </c>
    </row>
    <row r="2093" spans="1:19" hidden="1" outlineLevel="1">
      <c r="A2093" s="1">
        <v>2</v>
      </c>
      <c r="F2093" s="22">
        <v>899795039854318</v>
      </c>
    </row>
    <row r="2094" spans="1:19" hidden="1" outlineLevel="1">
      <c r="A2094" s="1">
        <v>3</v>
      </c>
      <c r="F2094" s="22">
        <v>866795039991623</v>
      </c>
      <c r="M2094" s="2" t="s">
        <v>2659</v>
      </c>
      <c r="N2094" s="2" t="s">
        <v>2660</v>
      </c>
      <c r="O2094" s="18">
        <v>44341</v>
      </c>
    </row>
    <row r="2095" spans="1:19" hidden="1" outlineLevel="1">
      <c r="A2095" s="1">
        <v>4</v>
      </c>
      <c r="F2095" s="22">
        <v>866795039936511</v>
      </c>
      <c r="M2095" s="2" t="s">
        <v>2661</v>
      </c>
      <c r="N2095" s="2" t="s">
        <v>2662</v>
      </c>
      <c r="O2095" s="18">
        <v>44348</v>
      </c>
    </row>
    <row r="2096" spans="1:19" hidden="1" outlineLevel="1">
      <c r="A2096" s="1">
        <v>5</v>
      </c>
      <c r="F2096" s="22">
        <v>866795039999816</v>
      </c>
      <c r="M2096" s="2" t="s">
        <v>2663</v>
      </c>
      <c r="N2096" s="2" t="s">
        <v>1625</v>
      </c>
      <c r="O2096" s="18">
        <v>44348</v>
      </c>
    </row>
    <row r="2097" spans="1:19" hidden="1" outlineLevel="1">
      <c r="A2097" s="1">
        <v>6</v>
      </c>
      <c r="F2097" s="22">
        <v>866795039940992</v>
      </c>
      <c r="M2097" s="2" t="s">
        <v>2664</v>
      </c>
      <c r="N2097" s="2" t="s">
        <v>2237</v>
      </c>
      <c r="O2097" s="18">
        <v>44349</v>
      </c>
    </row>
    <row r="2098" spans="1:19" hidden="1" outlineLevel="1">
      <c r="A2098" s="1">
        <v>7</v>
      </c>
      <c r="F2098" s="22">
        <v>862531040078546</v>
      </c>
      <c r="M2098" s="2" t="s">
        <v>2665</v>
      </c>
      <c r="N2098" s="2" t="s">
        <v>2662</v>
      </c>
      <c r="O2098" s="18">
        <v>42443</v>
      </c>
    </row>
    <row r="2099" spans="1:19" hidden="1" outlineLevel="1">
      <c r="A2099" s="1">
        <v>8</v>
      </c>
      <c r="F2099" s="22">
        <v>866795037073358</v>
      </c>
      <c r="M2099" s="2" t="s">
        <v>2666</v>
      </c>
      <c r="N2099" s="2" t="s">
        <v>2662</v>
      </c>
      <c r="O2099" s="18">
        <v>44343</v>
      </c>
    </row>
    <row r="2100" spans="1:19" hidden="1" outlineLevel="1">
      <c r="A2100" s="1">
        <v>9</v>
      </c>
      <c r="F2100" s="22">
        <v>866795039877822</v>
      </c>
      <c r="M2100" s="2" t="s">
        <v>2667</v>
      </c>
      <c r="N2100" s="2" t="s">
        <v>2430</v>
      </c>
      <c r="O2100" s="18">
        <v>44341</v>
      </c>
    </row>
    <row r="2101" spans="1:19" hidden="1" outlineLevel="1">
      <c r="A2101" s="1">
        <v>10</v>
      </c>
      <c r="F2101" s="22">
        <v>866795039869811</v>
      </c>
      <c r="M2101" s="2" t="s">
        <v>2668</v>
      </c>
      <c r="N2101" s="2" t="s">
        <v>2662</v>
      </c>
      <c r="O2101" s="18">
        <v>44342</v>
      </c>
    </row>
    <row r="2102" spans="1:19" hidden="1" outlineLevel="1">
      <c r="A2102" s="1">
        <v>11</v>
      </c>
      <c r="F2102" s="22">
        <v>866795039854995</v>
      </c>
      <c r="M2102" s="2" t="s">
        <v>2669</v>
      </c>
      <c r="N2102" s="2" t="s">
        <v>2074</v>
      </c>
      <c r="O2102" s="18">
        <v>44343</v>
      </c>
    </row>
    <row r="2103" spans="1:19" hidden="1" outlineLevel="1">
      <c r="A2103" s="8"/>
      <c r="B2103" s="58"/>
      <c r="C2103" s="159"/>
      <c r="D2103" s="8"/>
      <c r="E2103" s="8"/>
      <c r="F2103" s="9"/>
      <c r="G2103" s="8"/>
      <c r="H2103" s="8"/>
      <c r="I2103" s="8"/>
      <c r="J2103" s="58"/>
      <c r="K2103" s="8"/>
      <c r="L2103" s="58"/>
      <c r="M2103" s="8"/>
      <c r="N2103" s="8"/>
      <c r="O2103" s="58"/>
      <c r="P2103" s="8"/>
      <c r="Q2103" s="8"/>
      <c r="R2103" s="8"/>
      <c r="S2103" s="8"/>
    </row>
    <row r="2104" spans="1:19" hidden="1" outlineLevel="1">
      <c r="A2104" s="1">
        <v>1</v>
      </c>
      <c r="B2104" s="11">
        <v>44341</v>
      </c>
      <c r="C2104" s="160">
        <v>2001</v>
      </c>
      <c r="E2104" s="1" t="s">
        <v>149</v>
      </c>
      <c r="F2104" s="22">
        <v>862531042156746</v>
      </c>
      <c r="M2104" s="2" t="s">
        <v>2670</v>
      </c>
      <c r="N2104" s="2" t="s">
        <v>2662</v>
      </c>
      <c r="O2104" s="18">
        <v>44356</v>
      </c>
    </row>
    <row r="2105" spans="1:19" hidden="1" outlineLevel="1">
      <c r="A2105" s="1">
        <v>2</v>
      </c>
      <c r="F2105" s="22">
        <v>862531042080011</v>
      </c>
    </row>
    <row r="2106" spans="1:19" hidden="1" outlineLevel="1">
      <c r="A2106" s="1">
        <v>3</v>
      </c>
      <c r="F2106" s="22">
        <v>862531042204249</v>
      </c>
      <c r="M2106" s="2" t="s">
        <v>2671</v>
      </c>
      <c r="N2106" s="2" t="s">
        <v>2662</v>
      </c>
      <c r="O2106" s="18">
        <v>44357</v>
      </c>
    </row>
    <row r="2107" spans="1:19" hidden="1" outlineLevel="1">
      <c r="A2107" s="1">
        <v>4</v>
      </c>
      <c r="F2107" s="22">
        <v>866795037072699</v>
      </c>
      <c r="M2107" s="2" t="s">
        <v>2672</v>
      </c>
      <c r="N2107" s="2" t="s">
        <v>1639</v>
      </c>
      <c r="O2107" s="18">
        <v>44352</v>
      </c>
    </row>
    <row r="2108" spans="1:19" hidden="1" outlineLevel="1">
      <c r="A2108" s="1">
        <v>5</v>
      </c>
      <c r="F2108" s="22">
        <v>866795037185848</v>
      </c>
      <c r="M2108" s="2" t="s">
        <v>2673</v>
      </c>
      <c r="N2108" s="2" t="s">
        <v>968</v>
      </c>
      <c r="O2108" s="18">
        <v>44358</v>
      </c>
    </row>
    <row r="2109" spans="1:19" hidden="1" outlineLevel="1">
      <c r="A2109" s="1">
        <v>6</v>
      </c>
      <c r="F2109" s="22">
        <v>862531042084633</v>
      </c>
      <c r="M2109" s="2" t="s">
        <v>2674</v>
      </c>
      <c r="N2109" s="2" t="s">
        <v>2662</v>
      </c>
      <c r="O2109" s="18">
        <v>44356</v>
      </c>
    </row>
    <row r="2110" spans="1:19" hidden="1" outlineLevel="1">
      <c r="A2110" s="1">
        <v>7</v>
      </c>
      <c r="F2110" s="22">
        <v>862531042153339</v>
      </c>
      <c r="M2110" s="2" t="s">
        <v>2675</v>
      </c>
      <c r="N2110" s="2" t="s">
        <v>2662</v>
      </c>
      <c r="O2110" s="18">
        <v>44356</v>
      </c>
    </row>
    <row r="2111" spans="1:19" hidden="1" outlineLevel="1">
      <c r="A2111" s="1">
        <v>8</v>
      </c>
      <c r="F2111" s="22">
        <v>862531042172727</v>
      </c>
      <c r="M2111" s="2" t="s">
        <v>2676</v>
      </c>
      <c r="N2111" s="2" t="s">
        <v>2677</v>
      </c>
      <c r="O2111" s="18">
        <v>44354</v>
      </c>
    </row>
    <row r="2112" spans="1:19" hidden="1" outlineLevel="1">
      <c r="A2112" s="1">
        <v>9</v>
      </c>
      <c r="F2112" s="22">
        <v>862531042118092</v>
      </c>
      <c r="M2112" s="2" t="s">
        <v>2678</v>
      </c>
      <c r="N2112" s="2" t="s">
        <v>2202</v>
      </c>
      <c r="O2112" s="18">
        <v>44351</v>
      </c>
    </row>
    <row r="2113" spans="1:19" hidden="1" outlineLevel="1">
      <c r="A2113" s="1">
        <v>10</v>
      </c>
      <c r="F2113" s="22">
        <v>862531042014457</v>
      </c>
      <c r="M2113" s="2" t="s">
        <v>2679</v>
      </c>
      <c r="N2113" s="2" t="s">
        <v>267</v>
      </c>
      <c r="O2113" s="18">
        <v>44350</v>
      </c>
    </row>
    <row r="2114" spans="1:19" hidden="1" outlineLevel="1">
      <c r="A2114" s="1">
        <v>11</v>
      </c>
      <c r="F2114" s="22">
        <v>866795036926945</v>
      </c>
      <c r="M2114" s="2" t="s">
        <v>2680</v>
      </c>
      <c r="N2114" s="2" t="s">
        <v>2438</v>
      </c>
      <c r="O2114" s="18">
        <v>44348</v>
      </c>
    </row>
    <row r="2115" spans="1:19" hidden="1" outlineLevel="1">
      <c r="A2115" s="1">
        <v>12</v>
      </c>
      <c r="F2115" s="22">
        <v>862531042130428</v>
      </c>
      <c r="M2115" s="2" t="s">
        <v>2681</v>
      </c>
      <c r="N2115" s="2" t="s">
        <v>2662</v>
      </c>
      <c r="O2115" s="18">
        <v>44348</v>
      </c>
    </row>
    <row r="2116" spans="1:19" hidden="1" outlineLevel="1">
      <c r="A2116" s="1">
        <v>13</v>
      </c>
      <c r="F2116" s="22">
        <v>866795037147194</v>
      </c>
      <c r="M2116" s="2" t="s">
        <v>2682</v>
      </c>
      <c r="N2116" s="2" t="s">
        <v>2662</v>
      </c>
      <c r="O2116" s="18">
        <v>44348</v>
      </c>
    </row>
    <row r="2117" spans="1:19" hidden="1" outlineLevel="1">
      <c r="A2117" s="1">
        <v>14</v>
      </c>
      <c r="F2117" s="22">
        <v>862531042235037</v>
      </c>
      <c r="M2117" s="2" t="s">
        <v>2683</v>
      </c>
      <c r="N2117" s="2" t="s">
        <v>1005</v>
      </c>
      <c r="O2117" s="18">
        <v>41320</v>
      </c>
    </row>
    <row r="2118" spans="1:19" hidden="1" outlineLevel="1">
      <c r="A2118" s="1">
        <v>15</v>
      </c>
      <c r="F2118" s="22">
        <v>862531042203886</v>
      </c>
      <c r="M2118" s="2" t="s">
        <v>2684</v>
      </c>
      <c r="N2118" s="2" t="s">
        <v>2662</v>
      </c>
      <c r="O2118" s="18">
        <v>44363</v>
      </c>
    </row>
    <row r="2119" spans="1:19" hidden="1" outlineLevel="1">
      <c r="A2119" s="1">
        <v>16</v>
      </c>
      <c r="F2119" s="22">
        <v>862531042783614</v>
      </c>
      <c r="M2119" s="2" t="s">
        <v>2685</v>
      </c>
      <c r="N2119" s="2" t="s">
        <v>1643</v>
      </c>
      <c r="O2119" s="18">
        <v>44365</v>
      </c>
    </row>
    <row r="2120" spans="1:19" hidden="1" outlineLevel="1">
      <c r="A2120" s="1">
        <v>17</v>
      </c>
      <c r="F2120" s="22">
        <v>862531042813916</v>
      </c>
      <c r="M2120" s="2" t="s">
        <v>2686</v>
      </c>
      <c r="N2120" s="2" t="s">
        <v>2662</v>
      </c>
      <c r="O2120" s="18">
        <v>44357</v>
      </c>
    </row>
    <row r="2121" spans="1:19" hidden="1" outlineLevel="1">
      <c r="A2121" s="1">
        <v>18</v>
      </c>
      <c r="F2121" s="22">
        <v>862531042201732</v>
      </c>
      <c r="M2121" s="2" t="s">
        <v>2687</v>
      </c>
      <c r="N2121" s="2" t="s">
        <v>1643</v>
      </c>
      <c r="O2121" s="18">
        <v>44365</v>
      </c>
    </row>
    <row r="2122" spans="1:19" hidden="1" outlineLevel="1">
      <c r="A2122" s="1">
        <v>19</v>
      </c>
      <c r="F2122" s="22">
        <v>866795037185954</v>
      </c>
      <c r="M2122" s="2" t="s">
        <v>2688</v>
      </c>
      <c r="N2122" s="2" t="s">
        <v>2662</v>
      </c>
      <c r="O2122" s="18">
        <v>44356</v>
      </c>
    </row>
    <row r="2123" spans="1:19" hidden="1" outlineLevel="1">
      <c r="A2123" s="1">
        <v>20</v>
      </c>
      <c r="F2123" s="22">
        <v>866795037122692</v>
      </c>
      <c r="M2123" s="2" t="s">
        <v>2689</v>
      </c>
      <c r="N2123" s="2" t="s">
        <v>2662</v>
      </c>
      <c r="O2123" s="18">
        <v>44347</v>
      </c>
    </row>
    <row r="2124" spans="1:19" hidden="1" outlineLevel="1">
      <c r="A2124" s="8"/>
      <c r="B2124" s="58"/>
      <c r="C2124" s="159"/>
      <c r="D2124" s="8"/>
      <c r="E2124" s="8"/>
      <c r="F2124" s="9"/>
      <c r="G2124" s="8"/>
      <c r="H2124" s="8"/>
      <c r="I2124" s="8"/>
      <c r="J2124" s="58"/>
      <c r="K2124" s="8"/>
      <c r="L2124" s="58"/>
      <c r="M2124" s="8"/>
      <c r="N2124" s="8"/>
      <c r="O2124" s="58"/>
      <c r="P2124" s="8"/>
      <c r="Q2124" s="8"/>
      <c r="R2124" s="8"/>
      <c r="S2124" s="8"/>
    </row>
    <row r="2125" spans="1:19" hidden="1" outlineLevel="1">
      <c r="A2125" s="1">
        <v>1</v>
      </c>
      <c r="B2125" s="11">
        <v>44347</v>
      </c>
      <c r="C2125" s="160">
        <v>2072</v>
      </c>
      <c r="E2125" s="1" t="s">
        <v>634</v>
      </c>
      <c r="F2125" s="22">
        <v>354515106296329</v>
      </c>
      <c r="N2125" s="2" t="s">
        <v>2690</v>
      </c>
    </row>
    <row r="2126" spans="1:19" hidden="1" outlineLevel="1">
      <c r="A2126" s="8"/>
      <c r="B2126" s="58"/>
      <c r="C2126" s="159"/>
      <c r="D2126" s="8"/>
      <c r="E2126" s="8"/>
      <c r="F2126" s="9"/>
      <c r="G2126" s="8"/>
      <c r="H2126" s="8"/>
      <c r="I2126" s="8"/>
      <c r="J2126" s="58"/>
      <c r="K2126" s="8"/>
      <c r="L2126" s="58"/>
      <c r="M2126" s="8"/>
      <c r="N2126" s="8"/>
      <c r="O2126" s="58"/>
      <c r="P2126" s="8"/>
      <c r="Q2126" s="8"/>
      <c r="R2126" s="8"/>
      <c r="S2126" s="8"/>
    </row>
    <row r="2127" spans="1:19" hidden="1" outlineLevel="1">
      <c r="A2127" s="1">
        <v>1</v>
      </c>
      <c r="B2127" s="11">
        <v>44350</v>
      </c>
      <c r="C2127" s="160">
        <v>2100</v>
      </c>
      <c r="E2127" s="1" t="s">
        <v>608</v>
      </c>
      <c r="F2127" s="22">
        <v>862531042177999</v>
      </c>
      <c r="M2127" s="2" t="s">
        <v>2691</v>
      </c>
      <c r="N2127" s="2" t="s">
        <v>2692</v>
      </c>
      <c r="O2127" s="18">
        <v>44355</v>
      </c>
    </row>
    <row r="2128" spans="1:19" hidden="1" outlineLevel="1">
      <c r="A2128" s="1">
        <v>2</v>
      </c>
      <c r="F2128" s="22">
        <v>862531042191925</v>
      </c>
      <c r="M2128" s="2" t="s">
        <v>2693</v>
      </c>
      <c r="N2128" s="2" t="s">
        <v>2694</v>
      </c>
      <c r="O2128" s="18">
        <v>44357</v>
      </c>
    </row>
    <row r="2129" spans="1:19" hidden="1" outlineLevel="1">
      <c r="A2129" s="1">
        <v>3</v>
      </c>
      <c r="F2129" s="22">
        <v>862531042237827</v>
      </c>
      <c r="M2129" s="2" t="s">
        <v>2695</v>
      </c>
      <c r="N2129" s="2" t="s">
        <v>2696</v>
      </c>
      <c r="O2129" s="18">
        <v>44351</v>
      </c>
    </row>
    <row r="2130" spans="1:19" hidden="1" outlineLevel="1">
      <c r="A2130" s="1">
        <v>4</v>
      </c>
      <c r="F2130" s="22">
        <v>862531042073206</v>
      </c>
      <c r="M2130" s="2" t="s">
        <v>2697</v>
      </c>
      <c r="N2130" s="2" t="s">
        <v>2696</v>
      </c>
      <c r="O2130" s="18">
        <v>44351</v>
      </c>
    </row>
    <row r="2131" spans="1:19" hidden="1" outlineLevel="1">
      <c r="A2131" s="1">
        <v>5</v>
      </c>
      <c r="F2131" s="22">
        <v>862531042086745</v>
      </c>
      <c r="M2131" s="2" t="s">
        <v>2698</v>
      </c>
      <c r="N2131" s="2" t="s">
        <v>2699</v>
      </c>
      <c r="O2131" s="18">
        <v>44354</v>
      </c>
    </row>
    <row r="2132" spans="1:19" hidden="1" outlineLevel="1">
      <c r="A2132" s="1">
        <v>6</v>
      </c>
      <c r="F2132" s="22">
        <v>862531042073321</v>
      </c>
      <c r="M2132" s="2" t="s">
        <v>2700</v>
      </c>
      <c r="N2132" s="2" t="s">
        <v>2701</v>
      </c>
      <c r="O2132" s="18">
        <v>44181</v>
      </c>
    </row>
    <row r="2133" spans="1:19" hidden="1" outlineLevel="1">
      <c r="A2133" s="1">
        <v>7</v>
      </c>
      <c r="F2133" s="22">
        <v>862531042130535</v>
      </c>
      <c r="M2133" s="2" t="s">
        <v>2702</v>
      </c>
      <c r="N2133" s="2" t="s">
        <v>2692</v>
      </c>
      <c r="O2133" s="18">
        <v>44355</v>
      </c>
    </row>
    <row r="2134" spans="1:19" hidden="1" outlineLevel="1">
      <c r="A2134" s="1">
        <v>8</v>
      </c>
      <c r="F2134" s="22">
        <v>862531042192220</v>
      </c>
      <c r="M2134" s="2" t="s">
        <v>2703</v>
      </c>
      <c r="N2134" s="2" t="s">
        <v>2161</v>
      </c>
      <c r="O2134" s="18">
        <v>44350</v>
      </c>
    </row>
    <row r="2135" spans="1:19" hidden="1" outlineLevel="1">
      <c r="A2135" s="1">
        <v>9</v>
      </c>
      <c r="F2135" s="22">
        <v>862531042127598</v>
      </c>
      <c r="M2135" s="2" t="s">
        <v>2704</v>
      </c>
      <c r="N2135" s="2" t="s">
        <v>2692</v>
      </c>
      <c r="O2135" s="18">
        <v>44355</v>
      </c>
    </row>
    <row r="2136" spans="1:19" hidden="1" outlineLevel="1">
      <c r="A2136" s="1">
        <v>10</v>
      </c>
      <c r="F2136" s="22">
        <v>862531042128638</v>
      </c>
      <c r="M2136" s="2" t="s">
        <v>2705</v>
      </c>
      <c r="N2136" s="2" t="s">
        <v>2696</v>
      </c>
      <c r="O2136" s="18">
        <v>44351</v>
      </c>
    </row>
    <row r="2137" spans="1:19" hidden="1" outlineLevel="1">
      <c r="A2137" s="1">
        <v>11</v>
      </c>
      <c r="F2137" s="22">
        <v>862531042233644</v>
      </c>
      <c r="M2137" s="2" t="s">
        <v>2706</v>
      </c>
      <c r="N2137" s="2" t="s">
        <v>2696</v>
      </c>
      <c r="O2137" s="18">
        <v>44351</v>
      </c>
    </row>
    <row r="2138" spans="1:19" hidden="1" outlineLevel="1">
      <c r="A2138" s="1">
        <v>12</v>
      </c>
      <c r="F2138" s="22">
        <v>862531042142670</v>
      </c>
      <c r="M2138" s="2" t="s">
        <v>2707</v>
      </c>
      <c r="N2138" s="2" t="s">
        <v>1706</v>
      </c>
      <c r="O2138" s="18">
        <v>44356</v>
      </c>
    </row>
    <row r="2139" spans="1:19" hidden="1" outlineLevel="1">
      <c r="A2139" s="1">
        <v>13</v>
      </c>
      <c r="F2139" s="22">
        <v>862531042235995</v>
      </c>
      <c r="M2139" s="2" t="s">
        <v>2708</v>
      </c>
      <c r="N2139" s="2" t="s">
        <v>2692</v>
      </c>
      <c r="O2139" s="18">
        <v>44357</v>
      </c>
    </row>
    <row r="2140" spans="1:19" hidden="1" outlineLevel="1">
      <c r="A2140" s="1">
        <v>14</v>
      </c>
      <c r="F2140" s="22">
        <v>862531042203761</v>
      </c>
      <c r="M2140" s="2" t="s">
        <v>2709</v>
      </c>
      <c r="N2140" s="2" t="s">
        <v>2710</v>
      </c>
      <c r="O2140" s="18">
        <v>44356</v>
      </c>
    </row>
    <row r="2141" spans="1:19" hidden="1" outlineLevel="1">
      <c r="A2141" s="8"/>
      <c r="B2141" s="58"/>
      <c r="C2141" s="159"/>
      <c r="D2141" s="8"/>
      <c r="E2141" s="8"/>
      <c r="F2141" s="9"/>
      <c r="G2141" s="8"/>
      <c r="H2141" s="8"/>
      <c r="I2141" s="8"/>
      <c r="J2141" s="58"/>
      <c r="K2141" s="8"/>
      <c r="L2141" s="58"/>
      <c r="M2141" s="8"/>
      <c r="N2141" s="8"/>
      <c r="O2141" s="58"/>
      <c r="P2141" s="8"/>
      <c r="Q2141" s="8"/>
      <c r="R2141" s="8"/>
      <c r="S2141" s="8"/>
    </row>
    <row r="2142" spans="1:19" hidden="1" outlineLevel="1">
      <c r="A2142" s="1">
        <v>1</v>
      </c>
      <c r="B2142" s="11">
        <v>44357</v>
      </c>
      <c r="C2142" s="160">
        <v>2173</v>
      </c>
      <c r="E2142" s="1" t="s">
        <v>608</v>
      </c>
      <c r="F2142" s="22">
        <v>862531042199088</v>
      </c>
    </row>
    <row r="2143" spans="1:19" hidden="1" outlineLevel="1">
      <c r="A2143" s="1">
        <v>2</v>
      </c>
      <c r="F2143" s="22">
        <v>862531042126277</v>
      </c>
      <c r="M2143" s="2" t="s">
        <v>2711</v>
      </c>
      <c r="N2143" s="2" t="s">
        <v>2710</v>
      </c>
      <c r="O2143" s="18">
        <v>44365</v>
      </c>
    </row>
    <row r="2144" spans="1:19" hidden="1" outlineLevel="1">
      <c r="A2144" s="1">
        <v>3</v>
      </c>
      <c r="F2144" s="22">
        <v>866795039834591</v>
      </c>
      <c r="M2144" s="2" t="s">
        <v>2712</v>
      </c>
      <c r="N2144" s="2" t="s">
        <v>1456</v>
      </c>
      <c r="O2144" s="18">
        <v>44365</v>
      </c>
    </row>
    <row r="2145" spans="1:19" hidden="1" outlineLevel="1">
      <c r="A2145" s="1">
        <v>4</v>
      </c>
      <c r="F2145" s="22">
        <v>866795039862048</v>
      </c>
      <c r="M2145" s="2" t="s">
        <v>2713</v>
      </c>
      <c r="N2145" s="2" t="s">
        <v>2692</v>
      </c>
      <c r="O2145" s="18">
        <v>44364</v>
      </c>
    </row>
    <row r="2146" spans="1:19" hidden="1" outlineLevel="1">
      <c r="A2146" s="1">
        <v>5</v>
      </c>
      <c r="F2146" s="22">
        <v>862531042126806</v>
      </c>
      <c r="M2146" s="2" t="s">
        <v>2714</v>
      </c>
      <c r="N2146" s="2" t="s">
        <v>2715</v>
      </c>
      <c r="O2146" s="18">
        <v>44365</v>
      </c>
    </row>
    <row r="2147" spans="1:19" hidden="1" outlineLevel="1">
      <c r="A2147" s="1">
        <v>6</v>
      </c>
      <c r="F2147" s="22">
        <v>866795038156251</v>
      </c>
      <c r="M2147" s="2" t="s">
        <v>2716</v>
      </c>
      <c r="N2147" s="2" t="s">
        <v>2692</v>
      </c>
      <c r="O2147" s="18">
        <v>44364</v>
      </c>
    </row>
    <row r="2148" spans="1:19" hidden="1" outlineLevel="1">
      <c r="A2148" s="1">
        <v>7</v>
      </c>
      <c r="F2148" s="22">
        <v>862531042178351</v>
      </c>
      <c r="M2148" s="2" t="s">
        <v>2717</v>
      </c>
      <c r="N2148" s="2" t="s">
        <v>2694</v>
      </c>
      <c r="O2148" s="18">
        <v>44368</v>
      </c>
    </row>
    <row r="2149" spans="1:19" hidden="1" outlineLevel="1">
      <c r="A2149" s="1">
        <v>8</v>
      </c>
      <c r="F2149" s="22">
        <v>866795036153292</v>
      </c>
      <c r="M2149" s="2" t="s">
        <v>2718</v>
      </c>
      <c r="N2149" s="2" t="s">
        <v>2715</v>
      </c>
      <c r="O2149" s="18">
        <v>44368</v>
      </c>
    </row>
    <row r="2150" spans="1:19" hidden="1" outlineLevel="1">
      <c r="A2150" s="1">
        <v>9</v>
      </c>
      <c r="F2150" s="22">
        <v>862531042143181</v>
      </c>
      <c r="M2150" s="2" t="s">
        <v>2719</v>
      </c>
      <c r="N2150" s="2" t="s">
        <v>2692</v>
      </c>
      <c r="O2150" s="18">
        <v>44364</v>
      </c>
    </row>
    <row r="2151" spans="1:19" hidden="1" outlineLevel="1">
      <c r="A2151" s="1">
        <v>10</v>
      </c>
      <c r="F2151" s="22">
        <v>862531042143702</v>
      </c>
      <c r="M2151" s="2" t="s">
        <v>2720</v>
      </c>
      <c r="N2151" s="2" t="s">
        <v>2721</v>
      </c>
      <c r="O2151" s="18">
        <v>44363</v>
      </c>
    </row>
    <row r="2152" spans="1:19" hidden="1" outlineLevel="1">
      <c r="A2152" s="1">
        <v>11</v>
      </c>
      <c r="F2152" s="22">
        <v>862531042114182</v>
      </c>
      <c r="M2152" s="2" t="s">
        <v>2722</v>
      </c>
      <c r="N2152" s="2" t="s">
        <v>2692</v>
      </c>
      <c r="O2152" s="18">
        <v>44364</v>
      </c>
    </row>
    <row r="2153" spans="1:19" hidden="1" outlineLevel="1">
      <c r="A2153" s="1">
        <v>12</v>
      </c>
      <c r="F2153" s="22">
        <v>862531042198383</v>
      </c>
      <c r="M2153" s="2" t="s">
        <v>2723</v>
      </c>
      <c r="N2153" s="2" t="s">
        <v>2692</v>
      </c>
      <c r="O2153" s="18">
        <v>44364</v>
      </c>
    </row>
    <row r="2154" spans="1:19" hidden="1" outlineLevel="1">
      <c r="A2154" s="1">
        <v>13</v>
      </c>
      <c r="F2154" s="22">
        <v>862531042233198</v>
      </c>
      <c r="M2154" s="2" t="s">
        <v>2724</v>
      </c>
      <c r="N2154" s="2" t="s">
        <v>2715</v>
      </c>
      <c r="O2154" s="18">
        <v>44368</v>
      </c>
    </row>
    <row r="2155" spans="1:19" hidden="1" outlineLevel="1">
      <c r="A2155" s="1">
        <v>14</v>
      </c>
      <c r="F2155" s="22">
        <v>866795038082234</v>
      </c>
      <c r="M2155" s="2" t="s">
        <v>2725</v>
      </c>
      <c r="N2155" s="2" t="s">
        <v>2694</v>
      </c>
      <c r="O2155" s="18">
        <v>44364</v>
      </c>
    </row>
    <row r="2156" spans="1:19" hidden="1" outlineLevel="1">
      <c r="A2156" s="1">
        <v>15</v>
      </c>
      <c r="F2156" s="22">
        <v>862531042198391</v>
      </c>
      <c r="M2156" s="2" t="s">
        <v>2726</v>
      </c>
      <c r="N2156" s="2" t="s">
        <v>1948</v>
      </c>
      <c r="O2156" s="18">
        <v>44358</v>
      </c>
    </row>
    <row r="2157" spans="1:19" hidden="1" outlineLevel="1">
      <c r="A2157" s="8"/>
      <c r="B2157" s="58"/>
      <c r="C2157" s="159"/>
      <c r="D2157" s="8"/>
      <c r="E2157" s="8"/>
      <c r="F2157" s="9"/>
      <c r="G2157" s="8"/>
      <c r="H2157" s="8"/>
      <c r="I2157" s="8"/>
      <c r="J2157" s="58"/>
      <c r="K2157" s="8"/>
      <c r="L2157" s="58"/>
      <c r="M2157" s="8"/>
      <c r="N2157" s="8"/>
      <c r="O2157" s="58"/>
      <c r="P2157" s="8"/>
      <c r="Q2157" s="8"/>
      <c r="R2157" s="8"/>
      <c r="S2157" s="8"/>
    </row>
    <row r="2158" spans="1:19" hidden="1" outlineLevel="1">
      <c r="A2158" s="1">
        <v>1</v>
      </c>
      <c r="B2158" s="11">
        <v>44362</v>
      </c>
      <c r="C2158" s="160">
        <v>2201</v>
      </c>
      <c r="E2158" s="1" t="s">
        <v>149</v>
      </c>
      <c r="F2158" s="22">
        <v>866795037459714</v>
      </c>
    </row>
    <row r="2159" spans="1:19" hidden="1" outlineLevel="1">
      <c r="A2159" s="1">
        <v>2</v>
      </c>
      <c r="F2159" s="22">
        <v>866795037504774</v>
      </c>
      <c r="M2159" s="2" t="s">
        <v>2727</v>
      </c>
      <c r="N2159" s="2" t="s">
        <v>1512</v>
      </c>
      <c r="O2159" s="18">
        <v>44369</v>
      </c>
    </row>
    <row r="2160" spans="1:19" hidden="1" outlineLevel="1">
      <c r="A2160" s="1">
        <v>3</v>
      </c>
      <c r="F2160" s="22">
        <v>866795038109466</v>
      </c>
    </row>
    <row r="2161" spans="1:15" hidden="1" outlineLevel="1">
      <c r="A2161" s="1">
        <v>4</v>
      </c>
      <c r="F2161" s="22">
        <v>866795038123657</v>
      </c>
    </row>
    <row r="2162" spans="1:15" hidden="1" outlineLevel="1">
      <c r="A2162" s="1">
        <v>5</v>
      </c>
      <c r="F2162" s="22">
        <v>866795037460985</v>
      </c>
    </row>
    <row r="2163" spans="1:15" hidden="1" outlineLevel="1">
      <c r="A2163" s="1">
        <v>6</v>
      </c>
      <c r="F2163" s="22">
        <v>866795038105589</v>
      </c>
    </row>
    <row r="2164" spans="1:15" hidden="1" outlineLevel="1">
      <c r="A2164" s="1">
        <v>7</v>
      </c>
      <c r="F2164" s="22">
        <v>866795038373526</v>
      </c>
      <c r="M2164" s="2" t="s">
        <v>2728</v>
      </c>
      <c r="N2164" s="2" t="s">
        <v>1462</v>
      </c>
      <c r="O2164" s="18">
        <v>44230</v>
      </c>
    </row>
    <row r="2165" spans="1:15" hidden="1" outlineLevel="1">
      <c r="A2165" s="1">
        <v>8</v>
      </c>
      <c r="F2165" s="22">
        <v>866795038351522</v>
      </c>
      <c r="M2165" s="2" t="s">
        <v>2729</v>
      </c>
      <c r="N2165" s="2" t="s">
        <v>2573</v>
      </c>
      <c r="O2165" s="18">
        <v>44393</v>
      </c>
    </row>
    <row r="2166" spans="1:15" hidden="1" outlineLevel="1">
      <c r="A2166" s="1">
        <v>9</v>
      </c>
      <c r="F2166" s="22">
        <v>866795038285829</v>
      </c>
      <c r="M2166" s="2" t="s">
        <v>2730</v>
      </c>
      <c r="N2166" s="2" t="s">
        <v>2573</v>
      </c>
      <c r="O2166" s="18">
        <v>44390</v>
      </c>
    </row>
    <row r="2167" spans="1:15" hidden="1" outlineLevel="1">
      <c r="A2167" s="1">
        <v>10</v>
      </c>
      <c r="F2167" s="22">
        <v>866795038114680</v>
      </c>
      <c r="M2167" s="2" t="s">
        <v>2731</v>
      </c>
      <c r="N2167" s="2" t="s">
        <v>2573</v>
      </c>
      <c r="O2167" s="18">
        <v>44390</v>
      </c>
    </row>
    <row r="2168" spans="1:15" hidden="1" outlineLevel="1">
      <c r="A2168" s="1">
        <v>11</v>
      </c>
      <c r="F2168" s="22">
        <v>866795038125645</v>
      </c>
      <c r="M2168" s="2" t="s">
        <v>2732</v>
      </c>
      <c r="N2168" s="2" t="s">
        <v>2217</v>
      </c>
      <c r="O2168" s="18">
        <v>44389</v>
      </c>
    </row>
    <row r="2169" spans="1:15" hidden="1" outlineLevel="1">
      <c r="A2169" s="1">
        <v>12</v>
      </c>
      <c r="F2169" s="22">
        <v>866795038353726</v>
      </c>
      <c r="M2169" s="2" t="s">
        <v>2733</v>
      </c>
      <c r="N2169" s="2" t="s">
        <v>2573</v>
      </c>
      <c r="O2169" s="18">
        <v>44393</v>
      </c>
    </row>
    <row r="2170" spans="1:15" hidden="1" outlineLevel="1">
      <c r="A2170" s="1">
        <v>13</v>
      </c>
      <c r="F2170" s="22">
        <v>866795037458450</v>
      </c>
      <c r="M2170" s="2" t="s">
        <v>2734</v>
      </c>
      <c r="N2170" s="2" t="s">
        <v>2735</v>
      </c>
      <c r="O2170" s="18">
        <v>43245</v>
      </c>
    </row>
    <row r="2171" spans="1:15" hidden="1" outlineLevel="1">
      <c r="A2171" s="1">
        <v>14</v>
      </c>
      <c r="F2171" s="22">
        <v>866795038099634</v>
      </c>
      <c r="M2171" s="2" t="s">
        <v>2736</v>
      </c>
      <c r="N2171" s="2" t="s">
        <v>2735</v>
      </c>
      <c r="O2171" s="18">
        <v>41733</v>
      </c>
    </row>
    <row r="2172" spans="1:15" hidden="1" outlineLevel="1">
      <c r="A2172" s="1">
        <v>15</v>
      </c>
      <c r="F2172" s="22">
        <v>866795038133268</v>
      </c>
      <c r="M2172" s="2" t="s">
        <v>2737</v>
      </c>
      <c r="N2172" s="2" t="s">
        <v>2738</v>
      </c>
      <c r="O2172" s="18">
        <v>44392</v>
      </c>
    </row>
    <row r="2173" spans="1:15" hidden="1" outlineLevel="1">
      <c r="A2173" s="1">
        <v>16</v>
      </c>
      <c r="F2173" s="22">
        <v>866795038111009</v>
      </c>
      <c r="M2173" s="2" t="s">
        <v>2739</v>
      </c>
      <c r="N2173" s="2" t="s">
        <v>2573</v>
      </c>
      <c r="O2173" s="18">
        <v>44390</v>
      </c>
    </row>
    <row r="2174" spans="1:15" hidden="1" outlineLevel="1">
      <c r="A2174" s="1">
        <v>17</v>
      </c>
      <c r="F2174" s="22">
        <v>866795037505102</v>
      </c>
      <c r="I2174" s="2" t="s">
        <v>44</v>
      </c>
      <c r="J2174" s="11">
        <v>44621</v>
      </c>
    </row>
    <row r="2175" spans="1:15" hidden="1" outlineLevel="1">
      <c r="A2175" s="1">
        <v>18</v>
      </c>
      <c r="F2175" s="22">
        <v>866795038372593</v>
      </c>
      <c r="M2175" s="2" t="s">
        <v>2740</v>
      </c>
      <c r="N2175" s="2" t="s">
        <v>2741</v>
      </c>
      <c r="O2175" s="18">
        <v>44377</v>
      </c>
    </row>
    <row r="2176" spans="1:15" hidden="1" outlineLevel="1">
      <c r="A2176" s="1">
        <v>19</v>
      </c>
      <c r="F2176" s="22">
        <v>866795038358972</v>
      </c>
      <c r="M2176" s="2" t="s">
        <v>2742</v>
      </c>
      <c r="N2176" s="2" t="s">
        <v>1708</v>
      </c>
      <c r="O2176" s="18">
        <v>44376</v>
      </c>
    </row>
    <row r="2177" spans="1:19" hidden="1" outlineLevel="1">
      <c r="A2177" s="1">
        <v>20</v>
      </c>
      <c r="F2177" s="22">
        <v>866795038110977</v>
      </c>
      <c r="M2177" s="2" t="s">
        <v>2020</v>
      </c>
      <c r="N2177" s="2" t="s">
        <v>963</v>
      </c>
      <c r="O2177" s="18">
        <v>44057</v>
      </c>
    </row>
    <row r="2178" spans="1:19" hidden="1" outlineLevel="1">
      <c r="A2178" s="1">
        <v>21</v>
      </c>
      <c r="F2178" s="22">
        <v>866795038373930</v>
      </c>
      <c r="M2178" s="2" t="s">
        <v>2743</v>
      </c>
      <c r="N2178" s="2" t="s">
        <v>2744</v>
      </c>
      <c r="O2178" s="18">
        <v>44389</v>
      </c>
    </row>
    <row r="2179" spans="1:19" hidden="1" outlineLevel="1">
      <c r="A2179" s="1">
        <v>22</v>
      </c>
      <c r="F2179" s="22">
        <v>866795038110761</v>
      </c>
      <c r="M2179" s="2" t="s">
        <v>2745</v>
      </c>
      <c r="N2179" s="2" t="s">
        <v>855</v>
      </c>
      <c r="O2179" s="18">
        <v>44616</v>
      </c>
      <c r="S2179" s="1" t="s">
        <v>754</v>
      </c>
    </row>
    <row r="2180" spans="1:19" hidden="1" outlineLevel="1">
      <c r="A2180" s="1">
        <v>23</v>
      </c>
      <c r="F2180" s="22">
        <v>866795038131668</v>
      </c>
      <c r="M2180" s="2" t="s">
        <v>2746</v>
      </c>
      <c r="N2180" s="2" t="s">
        <v>2747</v>
      </c>
      <c r="O2180" s="18">
        <v>44379</v>
      </c>
    </row>
    <row r="2181" spans="1:19" hidden="1" outlineLevel="1">
      <c r="A2181" s="1">
        <v>24</v>
      </c>
      <c r="F2181" s="22">
        <v>866795038280705</v>
      </c>
      <c r="M2181" s="2" t="s">
        <v>2748</v>
      </c>
      <c r="N2181" s="2" t="s">
        <v>1708</v>
      </c>
      <c r="O2181" s="18">
        <v>44376</v>
      </c>
    </row>
    <row r="2182" spans="1:19" hidden="1" outlineLevel="1">
      <c r="A2182" s="1">
        <v>25</v>
      </c>
      <c r="F2182" s="22">
        <v>866795038123632</v>
      </c>
    </row>
    <row r="2183" spans="1:19" hidden="1" outlineLevel="1">
      <c r="A2183" s="8"/>
      <c r="B2183" s="58"/>
      <c r="C2183" s="159"/>
      <c r="D2183" s="8"/>
      <c r="E2183" s="8"/>
      <c r="F2183" s="9"/>
      <c r="G2183" s="8"/>
      <c r="H2183" s="8"/>
      <c r="I2183" s="8"/>
      <c r="J2183" s="58"/>
      <c r="K2183" s="8"/>
      <c r="L2183" s="58"/>
      <c r="M2183" s="8"/>
      <c r="N2183" s="8"/>
      <c r="O2183" s="58"/>
      <c r="P2183" s="8"/>
      <c r="Q2183" s="8"/>
      <c r="R2183" s="8"/>
      <c r="S2183" s="8"/>
    </row>
    <row r="2184" spans="1:19" hidden="1" outlineLevel="1">
      <c r="A2184" s="1">
        <v>1</v>
      </c>
      <c r="B2184" s="11">
        <v>44365</v>
      </c>
      <c r="C2184" s="160">
        <v>2377</v>
      </c>
      <c r="E2184" s="1" t="s">
        <v>608</v>
      </c>
      <c r="F2184" s="22">
        <v>862531042182957</v>
      </c>
      <c r="M2184" s="2" t="s">
        <v>2749</v>
      </c>
      <c r="N2184" s="2" t="s">
        <v>2750</v>
      </c>
      <c r="O2184" s="18">
        <v>44386</v>
      </c>
    </row>
    <row r="2185" spans="1:19" hidden="1" outlineLevel="1">
      <c r="A2185" s="1">
        <v>2</v>
      </c>
      <c r="F2185" s="22">
        <v>862531042077587</v>
      </c>
      <c r="M2185" s="2" t="s">
        <v>2751</v>
      </c>
      <c r="N2185" s="2" t="s">
        <v>1024</v>
      </c>
      <c r="O2185" s="18">
        <v>44397</v>
      </c>
    </row>
    <row r="2186" spans="1:19" hidden="1" outlineLevel="1">
      <c r="A2186" s="1">
        <v>3</v>
      </c>
      <c r="F2186" s="22">
        <v>862531042126319</v>
      </c>
      <c r="M2186" s="2" t="s">
        <v>2752</v>
      </c>
      <c r="N2186" s="2" t="s">
        <v>2753</v>
      </c>
      <c r="O2186" s="18">
        <v>44397</v>
      </c>
    </row>
    <row r="2187" spans="1:19" hidden="1" outlineLevel="1">
      <c r="A2187" s="1">
        <v>4</v>
      </c>
      <c r="F2187" s="22">
        <v>862531042143884</v>
      </c>
      <c r="M2187" s="2" t="s">
        <v>2754</v>
      </c>
      <c r="N2187" s="2" t="s">
        <v>2755</v>
      </c>
      <c r="O2187" s="18">
        <v>44371</v>
      </c>
    </row>
    <row r="2188" spans="1:19" hidden="1" outlineLevel="1">
      <c r="A2188" s="1">
        <v>5</v>
      </c>
      <c r="F2188" s="22">
        <v>862531042233685</v>
      </c>
      <c r="M2188" s="2" t="s">
        <v>2756</v>
      </c>
      <c r="N2188" s="2" t="s">
        <v>2757</v>
      </c>
      <c r="O2188" s="18">
        <v>44300</v>
      </c>
    </row>
    <row r="2189" spans="1:19" hidden="1" outlineLevel="1">
      <c r="A2189" s="1">
        <v>6</v>
      </c>
      <c r="F2189" s="22">
        <v>862531042072497</v>
      </c>
      <c r="M2189" s="2" t="s">
        <v>2758</v>
      </c>
      <c r="N2189" s="2" t="s">
        <v>2692</v>
      </c>
      <c r="O2189" s="18">
        <v>44371</v>
      </c>
    </row>
    <row r="2190" spans="1:19" hidden="1" outlineLevel="1">
      <c r="A2190" s="1">
        <v>7</v>
      </c>
      <c r="F2190" s="22">
        <v>862531042198441</v>
      </c>
      <c r="M2190" s="2" t="s">
        <v>2759</v>
      </c>
      <c r="N2190" s="2" t="s">
        <v>916</v>
      </c>
      <c r="O2190" s="18">
        <v>41135</v>
      </c>
    </row>
    <row r="2191" spans="1:19" hidden="1" outlineLevel="1">
      <c r="A2191" s="1">
        <v>8</v>
      </c>
      <c r="F2191" s="22">
        <v>862531042205014</v>
      </c>
      <c r="M2191" s="2" t="s">
        <v>2760</v>
      </c>
      <c r="N2191" s="2" t="s">
        <v>2761</v>
      </c>
      <c r="O2191" s="18">
        <v>44368</v>
      </c>
    </row>
    <row r="2192" spans="1:19" hidden="1" outlineLevel="1">
      <c r="A2192" s="1">
        <v>9</v>
      </c>
      <c r="F2192" s="22">
        <v>862531042231473</v>
      </c>
      <c r="M2192" s="2" t="s">
        <v>2762</v>
      </c>
      <c r="N2192" s="2" t="s">
        <v>2694</v>
      </c>
      <c r="O2192" s="18">
        <v>44385</v>
      </c>
    </row>
    <row r="2193" spans="1:19" hidden="1" outlineLevel="1">
      <c r="A2193" s="1">
        <v>10</v>
      </c>
      <c r="F2193" s="22">
        <v>862531042237082</v>
      </c>
      <c r="M2193" s="2" t="s">
        <v>2763</v>
      </c>
      <c r="N2193" s="2" t="s">
        <v>2764</v>
      </c>
      <c r="O2193" s="18">
        <v>44385</v>
      </c>
    </row>
    <row r="2194" spans="1:19" hidden="1" outlineLevel="1">
      <c r="A2194" s="1">
        <v>11</v>
      </c>
      <c r="F2194" s="22">
        <v>862531042192386</v>
      </c>
      <c r="M2194" s="2" t="s">
        <v>2765</v>
      </c>
      <c r="N2194" s="2" t="s">
        <v>1668</v>
      </c>
      <c r="O2194" s="18">
        <v>44386</v>
      </c>
    </row>
    <row r="2195" spans="1:19" hidden="1" outlineLevel="1">
      <c r="A2195" s="1">
        <v>12</v>
      </c>
      <c r="F2195" s="22">
        <v>862531042234295</v>
      </c>
      <c r="M2195" s="2" t="s">
        <v>2766</v>
      </c>
      <c r="N2195" s="2" t="s">
        <v>1892</v>
      </c>
      <c r="O2195" s="18">
        <v>44386</v>
      </c>
    </row>
    <row r="2196" spans="1:19" hidden="1" outlineLevel="1">
      <c r="A2196" s="1">
        <v>13</v>
      </c>
      <c r="F2196" s="22">
        <v>862531042230756</v>
      </c>
      <c r="M2196" s="2" t="s">
        <v>2767</v>
      </c>
      <c r="N2196" s="2" t="s">
        <v>2701</v>
      </c>
      <c r="O2196" s="18">
        <v>44412</v>
      </c>
    </row>
    <row r="2197" spans="1:19" hidden="1" outlineLevel="1">
      <c r="A2197" s="1">
        <v>14</v>
      </c>
      <c r="F2197" s="22">
        <v>862531042123555</v>
      </c>
      <c r="M2197" s="2" t="s">
        <v>2768</v>
      </c>
      <c r="N2197" s="2" t="s">
        <v>2769</v>
      </c>
      <c r="O2197" s="18">
        <v>44384</v>
      </c>
    </row>
    <row r="2198" spans="1:19" hidden="1" outlineLevel="1">
      <c r="A2198" s="1">
        <v>15</v>
      </c>
      <c r="F2198" s="22">
        <v>862531042112186</v>
      </c>
      <c r="M2198" s="2" t="s">
        <v>2770</v>
      </c>
      <c r="N2198" s="2" t="s">
        <v>2771</v>
      </c>
      <c r="O2198" s="18">
        <v>44377</v>
      </c>
    </row>
    <row r="2199" spans="1:19" hidden="1" outlineLevel="1">
      <c r="A2199" s="1">
        <v>16</v>
      </c>
      <c r="F2199" s="22">
        <v>862531042124892</v>
      </c>
      <c r="M2199" s="2" t="s">
        <v>2772</v>
      </c>
      <c r="N2199" s="2" t="s">
        <v>2750</v>
      </c>
      <c r="O2199" s="18">
        <v>44379</v>
      </c>
    </row>
    <row r="2200" spans="1:19" hidden="1" outlineLevel="1">
      <c r="A2200" s="1">
        <v>17</v>
      </c>
      <c r="F2200" s="22">
        <v>862531042193384</v>
      </c>
      <c r="M2200" s="2" t="s">
        <v>2773</v>
      </c>
      <c r="N2200" s="2" t="s">
        <v>2774</v>
      </c>
      <c r="O2200" s="18">
        <v>44379</v>
      </c>
    </row>
    <row r="2201" spans="1:19" hidden="1" outlineLevel="1">
      <c r="A2201" s="1">
        <v>18</v>
      </c>
      <c r="F2201" s="22">
        <v>862531042037656</v>
      </c>
      <c r="M2201" s="2" t="s">
        <v>2775</v>
      </c>
      <c r="N2201" s="2" t="s">
        <v>1936</v>
      </c>
      <c r="O2201" s="18">
        <v>44384</v>
      </c>
    </row>
    <row r="2202" spans="1:19" hidden="1" outlineLevel="1">
      <c r="A2202" s="1">
        <v>19</v>
      </c>
      <c r="F2202" s="22">
        <v>862531042008657</v>
      </c>
      <c r="M2202" s="2" t="s">
        <v>2776</v>
      </c>
      <c r="N2202" s="2" t="s">
        <v>2771</v>
      </c>
      <c r="O2202" s="18">
        <v>44379</v>
      </c>
    </row>
    <row r="2203" spans="1:19" hidden="1" outlineLevel="1">
      <c r="A2203" s="1">
        <v>20</v>
      </c>
      <c r="F2203" s="22">
        <v>862531042131434</v>
      </c>
      <c r="M2203" s="2" t="s">
        <v>2777</v>
      </c>
      <c r="N2203" s="2" t="s">
        <v>1948</v>
      </c>
      <c r="O2203" s="18">
        <v>44358</v>
      </c>
    </row>
    <row r="2204" spans="1:19" hidden="1" outlineLevel="1">
      <c r="A2204" s="8"/>
      <c r="B2204" s="58"/>
      <c r="C2204" s="159"/>
      <c r="D2204" s="8"/>
      <c r="E2204" s="8"/>
      <c r="F2204" s="9"/>
      <c r="G2204" s="8"/>
      <c r="H2204" s="8"/>
      <c r="I2204" s="8"/>
      <c r="J2204" s="58"/>
      <c r="K2204" s="8"/>
      <c r="L2204" s="58"/>
      <c r="M2204" s="8"/>
      <c r="N2204" s="8"/>
      <c r="O2204" s="58"/>
      <c r="P2204" s="8"/>
      <c r="Q2204" s="8"/>
      <c r="R2204" s="8"/>
      <c r="S2204" s="8"/>
    </row>
    <row r="2205" spans="1:19" hidden="1" outlineLevel="1">
      <c r="A2205" s="1">
        <v>1</v>
      </c>
      <c r="B2205" s="11">
        <v>44390</v>
      </c>
      <c r="C2205" s="160">
        <v>2632</v>
      </c>
      <c r="E2205" s="1" t="s">
        <v>229</v>
      </c>
      <c r="F2205" s="22">
        <v>862531047789814</v>
      </c>
      <c r="M2205" s="2" t="s">
        <v>2778</v>
      </c>
      <c r="N2205" s="2" t="s">
        <v>1057</v>
      </c>
      <c r="O2205" s="18">
        <v>44399</v>
      </c>
    </row>
    <row r="2206" spans="1:19" hidden="1" outlineLevel="1">
      <c r="A2206" s="1">
        <v>2</v>
      </c>
      <c r="F2206" s="22">
        <v>862531047791471</v>
      </c>
      <c r="M2206" s="2" t="s">
        <v>2779</v>
      </c>
      <c r="N2206" s="2" t="s">
        <v>2257</v>
      </c>
      <c r="O2206" s="18">
        <v>44421</v>
      </c>
    </row>
    <row r="2207" spans="1:19" hidden="1" outlineLevel="1">
      <c r="A2207" s="1">
        <v>3</v>
      </c>
      <c r="F2207" s="22">
        <v>862531047705984</v>
      </c>
      <c r="M2207" s="2" t="s">
        <v>2780</v>
      </c>
      <c r="N2207" s="2" t="s">
        <v>2257</v>
      </c>
      <c r="O2207" s="18">
        <v>44420</v>
      </c>
    </row>
    <row r="2208" spans="1:19" hidden="1" outlineLevel="1">
      <c r="A2208" s="1">
        <v>4</v>
      </c>
      <c r="F2208" s="22">
        <v>862531047672572</v>
      </c>
      <c r="M2208" s="2" t="s">
        <v>2781</v>
      </c>
      <c r="N2208" s="2" t="s">
        <v>2257</v>
      </c>
      <c r="O2208" s="18">
        <v>44420</v>
      </c>
    </row>
    <row r="2209" spans="1:15" hidden="1" outlineLevel="1">
      <c r="A2209" s="1">
        <v>5</v>
      </c>
      <c r="F2209" s="22">
        <v>862531044614940</v>
      </c>
      <c r="M2209" s="2" t="s">
        <v>2782</v>
      </c>
      <c r="N2209" s="2" t="s">
        <v>2219</v>
      </c>
      <c r="O2209" s="18">
        <v>44407</v>
      </c>
    </row>
    <row r="2210" spans="1:15" hidden="1" outlineLevel="1">
      <c r="A2210" s="1">
        <v>6</v>
      </c>
      <c r="F2210" s="22">
        <v>862531047666053</v>
      </c>
      <c r="M2210" s="2" t="s">
        <v>2783</v>
      </c>
      <c r="N2210" s="2" t="s">
        <v>2784</v>
      </c>
      <c r="O2210" s="18">
        <v>44425</v>
      </c>
    </row>
    <row r="2211" spans="1:15" hidden="1" outlineLevel="1">
      <c r="A2211" s="1">
        <v>7</v>
      </c>
      <c r="F2211" s="22">
        <v>862531044747211</v>
      </c>
      <c r="M2211" s="2" t="s">
        <v>2785</v>
      </c>
      <c r="N2211" s="2" t="s">
        <v>2257</v>
      </c>
      <c r="O2211" s="18">
        <v>44421</v>
      </c>
    </row>
    <row r="2212" spans="1:15" hidden="1" outlineLevel="1">
      <c r="A2212" s="1">
        <v>8</v>
      </c>
      <c r="F2212" s="22">
        <v>862531047747978</v>
      </c>
      <c r="M2212" s="2" t="s">
        <v>2786</v>
      </c>
      <c r="N2212" s="2" t="s">
        <v>2753</v>
      </c>
      <c r="O2212" s="18">
        <v>44397</v>
      </c>
    </row>
    <row r="2213" spans="1:15" hidden="1" outlineLevel="1">
      <c r="A2213" s="1">
        <v>9</v>
      </c>
      <c r="F2213" s="22">
        <v>862531044608215</v>
      </c>
      <c r="M2213" s="2" t="s">
        <v>2787</v>
      </c>
      <c r="N2213" s="2" t="s">
        <v>2788</v>
      </c>
      <c r="O2213" s="18">
        <v>44397</v>
      </c>
    </row>
    <row r="2214" spans="1:15" hidden="1" outlineLevel="1">
      <c r="A2214" s="1">
        <v>10</v>
      </c>
      <c r="F2214" s="22">
        <v>862531044746486</v>
      </c>
      <c r="M2214" s="2" t="s">
        <v>2789</v>
      </c>
      <c r="N2214" s="2" t="s">
        <v>1057</v>
      </c>
      <c r="O2214" s="18">
        <v>44399</v>
      </c>
    </row>
    <row r="2215" spans="1:15" hidden="1" outlineLevel="1">
      <c r="A2215" s="1">
        <v>11</v>
      </c>
      <c r="F2215" s="22">
        <v>862531047712170</v>
      </c>
      <c r="M2215" s="2" t="s">
        <v>2790</v>
      </c>
      <c r="N2215" s="2" t="s">
        <v>2791</v>
      </c>
      <c r="O2215" s="18">
        <v>44417</v>
      </c>
    </row>
    <row r="2216" spans="1:15" hidden="1" outlineLevel="1">
      <c r="A2216" s="1">
        <v>12</v>
      </c>
      <c r="F2216" s="22">
        <v>862531047712063</v>
      </c>
      <c r="M2216" s="2" t="s">
        <v>2792</v>
      </c>
      <c r="N2216" s="2" t="s">
        <v>2219</v>
      </c>
      <c r="O2216" s="18">
        <v>44407</v>
      </c>
    </row>
    <row r="2217" spans="1:15" hidden="1" outlineLevel="1">
      <c r="A2217" s="1">
        <v>13</v>
      </c>
      <c r="F2217" s="22">
        <v>862531047704672</v>
      </c>
      <c r="M2217" s="2" t="s">
        <v>2793</v>
      </c>
      <c r="N2217" s="2" t="s">
        <v>1775</v>
      </c>
      <c r="O2217" s="18">
        <v>44419</v>
      </c>
    </row>
    <row r="2218" spans="1:15" hidden="1" outlineLevel="1">
      <c r="A2218" s="1">
        <v>14</v>
      </c>
      <c r="F2218" s="22">
        <v>862531044634187</v>
      </c>
      <c r="M2218" s="2" t="s">
        <v>2794</v>
      </c>
      <c r="N2218" s="2" t="s">
        <v>2161</v>
      </c>
      <c r="O2218" s="18">
        <v>44400</v>
      </c>
    </row>
    <row r="2219" spans="1:15" hidden="1" outlineLevel="1">
      <c r="A2219" s="1">
        <v>15</v>
      </c>
      <c r="F2219" s="22">
        <v>862531044738889</v>
      </c>
      <c r="M2219" s="2" t="s">
        <v>2795</v>
      </c>
      <c r="N2219" s="2" t="s">
        <v>2543</v>
      </c>
      <c r="O2219" s="18">
        <v>44397</v>
      </c>
    </row>
    <row r="2220" spans="1:15" hidden="1" outlineLevel="1">
      <c r="A2220" s="1">
        <v>16</v>
      </c>
      <c r="F2220" s="22">
        <v>862531047704326</v>
      </c>
      <c r="M2220" s="2" t="s">
        <v>2796</v>
      </c>
      <c r="N2220" s="2" t="s">
        <v>2543</v>
      </c>
      <c r="O2220" s="18">
        <v>44397</v>
      </c>
    </row>
    <row r="2221" spans="1:15" hidden="1" outlineLevel="1">
      <c r="A2221" s="1">
        <v>17</v>
      </c>
      <c r="F2221" s="22">
        <v>862531044638832</v>
      </c>
      <c r="M2221" s="2" t="s">
        <v>2797</v>
      </c>
      <c r="N2221" s="2" t="s">
        <v>2543</v>
      </c>
      <c r="O2221" s="18">
        <v>44397</v>
      </c>
    </row>
    <row r="2222" spans="1:15" hidden="1" outlineLevel="1">
      <c r="A2222" s="1">
        <v>18</v>
      </c>
      <c r="F2222" s="22">
        <v>862531044641604</v>
      </c>
      <c r="M2222" s="2" t="s">
        <v>2798</v>
      </c>
      <c r="N2222" s="2" t="s">
        <v>2788</v>
      </c>
      <c r="O2222" s="18">
        <v>44397</v>
      </c>
    </row>
    <row r="2223" spans="1:15" hidden="1" outlineLevel="1">
      <c r="A2223" s="1">
        <v>19</v>
      </c>
      <c r="F2223" s="22">
        <v>862531047789954</v>
      </c>
      <c r="M2223" s="2" t="s">
        <v>2799</v>
      </c>
      <c r="N2223" s="2" t="s">
        <v>1057</v>
      </c>
      <c r="O2223" s="18">
        <v>44399</v>
      </c>
    </row>
    <row r="2224" spans="1:15" hidden="1" outlineLevel="1">
      <c r="A2224" s="1">
        <v>20</v>
      </c>
      <c r="F2224" s="22">
        <v>862531044614270</v>
      </c>
      <c r="M2224" s="2" t="s">
        <v>2800</v>
      </c>
      <c r="N2224" s="2" t="s">
        <v>2543</v>
      </c>
      <c r="O2224" s="18">
        <v>44397</v>
      </c>
    </row>
    <row r="2225" spans="1:19" hidden="1" outlineLevel="1">
      <c r="A2225" s="8"/>
      <c r="B2225" s="58"/>
      <c r="C2225" s="159"/>
      <c r="D2225" s="8"/>
      <c r="E2225" s="8"/>
      <c r="F2225" s="9"/>
      <c r="G2225" s="8"/>
      <c r="H2225" s="8"/>
      <c r="I2225" s="8"/>
      <c r="J2225" s="58"/>
      <c r="K2225" s="8"/>
      <c r="L2225" s="58"/>
      <c r="M2225" s="8"/>
      <c r="N2225" s="8"/>
      <c r="O2225" s="58"/>
      <c r="P2225" s="8"/>
      <c r="Q2225" s="8"/>
      <c r="R2225" s="8"/>
      <c r="S2225" s="8"/>
    </row>
    <row r="2226" spans="1:19" hidden="1" outlineLevel="1">
      <c r="A2226" s="1">
        <v>1</v>
      </c>
      <c r="B2226" s="11">
        <v>44390</v>
      </c>
      <c r="C2226" s="160">
        <v>2633</v>
      </c>
      <c r="E2226" s="1" t="s">
        <v>149</v>
      </c>
      <c r="F2226" s="22">
        <v>862531042208943</v>
      </c>
      <c r="M2226" s="2" t="s">
        <v>2801</v>
      </c>
      <c r="N2226" s="2" t="s">
        <v>968</v>
      </c>
      <c r="O2226" s="18">
        <v>44414</v>
      </c>
    </row>
    <row r="2227" spans="1:19" hidden="1" outlineLevel="1">
      <c r="A2227" s="1">
        <v>2</v>
      </c>
      <c r="F2227" s="22">
        <v>862531042569393</v>
      </c>
      <c r="M2227" s="2" t="s">
        <v>2802</v>
      </c>
      <c r="N2227" s="2" t="s">
        <v>298</v>
      </c>
      <c r="O2227" s="18">
        <v>44405</v>
      </c>
    </row>
    <row r="2228" spans="1:19" hidden="1" outlineLevel="1">
      <c r="A2228" s="1">
        <v>3</v>
      </c>
      <c r="F2228" s="22">
        <v>862531042625211</v>
      </c>
      <c r="M2228" s="2" t="s">
        <v>2803</v>
      </c>
      <c r="N2228" s="2" t="s">
        <v>1527</v>
      </c>
      <c r="O2228" s="18">
        <v>42096</v>
      </c>
    </row>
    <row r="2229" spans="1:19" hidden="1" outlineLevel="1">
      <c r="A2229" s="1">
        <v>4</v>
      </c>
      <c r="F2229" s="22">
        <v>862531042203910</v>
      </c>
      <c r="M2229" s="2" t="s">
        <v>2804</v>
      </c>
      <c r="N2229" s="2" t="s">
        <v>1936</v>
      </c>
      <c r="O2229" s="18">
        <v>43061</v>
      </c>
    </row>
    <row r="2230" spans="1:19" hidden="1" outlineLevel="1">
      <c r="A2230" s="1">
        <v>5</v>
      </c>
      <c r="F2230" s="22">
        <v>862531042163098</v>
      </c>
      <c r="M2230" s="2" t="s">
        <v>2805</v>
      </c>
      <c r="N2230" s="2" t="s">
        <v>2806</v>
      </c>
      <c r="O2230" s="18">
        <v>44398</v>
      </c>
    </row>
    <row r="2231" spans="1:19" hidden="1" outlineLevel="1">
      <c r="A2231" s="1">
        <v>6</v>
      </c>
      <c r="F2231" s="22">
        <v>862531042161860</v>
      </c>
      <c r="M2231" s="2" t="s">
        <v>2807</v>
      </c>
      <c r="N2231" s="2" t="s">
        <v>841</v>
      </c>
      <c r="O2231" s="18">
        <v>42076</v>
      </c>
    </row>
    <row r="2232" spans="1:19" hidden="1" outlineLevel="1">
      <c r="A2232" s="1">
        <v>7</v>
      </c>
      <c r="F2232" s="22">
        <v>862531042004995</v>
      </c>
      <c r="M2232" s="2" t="s">
        <v>2808</v>
      </c>
      <c r="N2232" s="2" t="s">
        <v>2334</v>
      </c>
      <c r="O2232" s="18">
        <v>44399</v>
      </c>
    </row>
    <row r="2233" spans="1:19" hidden="1" outlineLevel="1">
      <c r="A2233" s="1">
        <v>8</v>
      </c>
      <c r="F2233" s="22">
        <v>862531042161985</v>
      </c>
      <c r="M2233" s="2" t="s">
        <v>2809</v>
      </c>
      <c r="N2233" s="2" t="s">
        <v>293</v>
      </c>
      <c r="O2233" s="18">
        <v>44404</v>
      </c>
    </row>
    <row r="2234" spans="1:19" hidden="1" outlineLevel="1">
      <c r="A2234" s="1">
        <v>9</v>
      </c>
      <c r="F2234" s="22">
        <v>862531042156258</v>
      </c>
      <c r="M2234" s="2" t="s">
        <v>2810</v>
      </c>
      <c r="N2234" s="2" t="s">
        <v>2811</v>
      </c>
      <c r="O2234" s="18">
        <v>44404</v>
      </c>
    </row>
    <row r="2235" spans="1:19" hidden="1" outlineLevel="1">
      <c r="A2235" s="1">
        <v>10</v>
      </c>
      <c r="F2235" s="22">
        <v>862531042183898</v>
      </c>
      <c r="M2235" s="2" t="s">
        <v>2812</v>
      </c>
      <c r="N2235" s="2" t="s">
        <v>2813</v>
      </c>
      <c r="O2235" s="18">
        <v>44393</v>
      </c>
    </row>
    <row r="2236" spans="1:19" hidden="1" outlineLevel="1">
      <c r="A2236" s="1">
        <v>11</v>
      </c>
      <c r="F2236" s="22">
        <v>862531042166869</v>
      </c>
      <c r="M2236" s="2" t="s">
        <v>2814</v>
      </c>
      <c r="N2236" s="2" t="s">
        <v>2815</v>
      </c>
      <c r="O2236" s="18">
        <v>44396</v>
      </c>
    </row>
    <row r="2237" spans="1:19" hidden="1" outlineLevel="1">
      <c r="A2237" s="1">
        <v>12</v>
      </c>
      <c r="F2237" s="22">
        <v>862531042163635</v>
      </c>
      <c r="M2237" s="2" t="s">
        <v>2816</v>
      </c>
      <c r="N2237" s="2" t="s">
        <v>2815</v>
      </c>
      <c r="O2237" s="18">
        <v>44396</v>
      </c>
    </row>
    <row r="2238" spans="1:19" hidden="1" outlineLevel="1">
      <c r="A2238" s="1">
        <v>13</v>
      </c>
      <c r="F2238" s="22">
        <v>862531042163171</v>
      </c>
      <c r="M2238" s="2" t="s">
        <v>2817</v>
      </c>
      <c r="N2238" s="2" t="s">
        <v>2573</v>
      </c>
      <c r="O2238" s="18">
        <v>44397</v>
      </c>
    </row>
    <row r="2239" spans="1:19" hidden="1" outlineLevel="1">
      <c r="A2239" s="1">
        <v>14</v>
      </c>
      <c r="F2239" s="22">
        <v>862531042061854</v>
      </c>
      <c r="M2239" s="2" t="s">
        <v>2818</v>
      </c>
      <c r="N2239" s="2" t="s">
        <v>1922</v>
      </c>
      <c r="O2239" s="18">
        <v>44396</v>
      </c>
    </row>
    <row r="2240" spans="1:19" hidden="1" outlineLevel="1">
      <c r="A2240" s="1">
        <v>15</v>
      </c>
      <c r="F2240" s="22">
        <v>862531042083692</v>
      </c>
      <c r="M2240" s="2" t="s">
        <v>2819</v>
      </c>
      <c r="N2240" s="2" t="s">
        <v>2813</v>
      </c>
      <c r="O2240" s="18">
        <v>44392</v>
      </c>
    </row>
    <row r="2241" spans="1:19" hidden="1" outlineLevel="1">
      <c r="A2241" s="1">
        <v>16</v>
      </c>
      <c r="F2241" s="22">
        <v>862531042167016</v>
      </c>
      <c r="M2241" s="2" t="s">
        <v>2820</v>
      </c>
      <c r="N2241" s="2" t="s">
        <v>2813</v>
      </c>
      <c r="O2241" s="18">
        <v>44392</v>
      </c>
    </row>
    <row r="2242" spans="1:19" hidden="1" outlineLevel="1">
      <c r="A2242" s="1">
        <v>17</v>
      </c>
      <c r="F2242" s="22">
        <v>862531042098823</v>
      </c>
      <c r="M2242" s="2" t="s">
        <v>2821</v>
      </c>
      <c r="N2242" s="2" t="s">
        <v>2813</v>
      </c>
      <c r="O2242" s="18">
        <v>44393</v>
      </c>
    </row>
    <row r="2243" spans="1:19" hidden="1" outlineLevel="1">
      <c r="A2243" s="1">
        <v>18</v>
      </c>
      <c r="F2243" s="22">
        <v>862531042612664</v>
      </c>
      <c r="M2243" s="2" t="s">
        <v>2822</v>
      </c>
      <c r="N2243" s="2" t="s">
        <v>2813</v>
      </c>
      <c r="O2243" s="18">
        <v>44392</v>
      </c>
    </row>
    <row r="2244" spans="1:19" hidden="1" outlineLevel="1">
      <c r="A2244" s="1">
        <v>19</v>
      </c>
      <c r="F2244" s="22">
        <v>862531042153610</v>
      </c>
      <c r="M2244" s="2" t="s">
        <v>2823</v>
      </c>
      <c r="N2244" s="2" t="s">
        <v>1534</v>
      </c>
      <c r="O2244" s="18">
        <v>44392</v>
      </c>
    </row>
    <row r="2245" spans="1:19" hidden="1" outlineLevel="1">
      <c r="A2245" s="1">
        <v>20</v>
      </c>
      <c r="F2245" s="22">
        <v>862531042083023</v>
      </c>
      <c r="M2245" s="2" t="s">
        <v>2824</v>
      </c>
      <c r="N2245" s="2" t="s">
        <v>1418</v>
      </c>
      <c r="O2245" s="18">
        <v>44396</v>
      </c>
    </row>
    <row r="2246" spans="1:19" hidden="1" outlineLevel="1">
      <c r="A2246" s="8"/>
      <c r="B2246" s="58"/>
      <c r="C2246" s="159"/>
      <c r="D2246" s="8"/>
      <c r="E2246" s="8"/>
      <c r="F2246" s="9"/>
      <c r="G2246" s="8"/>
      <c r="H2246" s="8"/>
      <c r="I2246" s="8"/>
      <c r="J2246" s="58"/>
      <c r="K2246" s="8"/>
      <c r="L2246" s="58"/>
      <c r="M2246" s="8"/>
      <c r="N2246" s="8"/>
      <c r="O2246" s="58"/>
      <c r="P2246" s="8"/>
      <c r="Q2246" s="8"/>
      <c r="R2246" s="8"/>
      <c r="S2246" s="8"/>
    </row>
    <row r="2247" spans="1:19" hidden="1" outlineLevel="1">
      <c r="A2247" s="1">
        <v>1</v>
      </c>
      <c r="B2247" s="11">
        <v>44397</v>
      </c>
      <c r="C2247" s="160">
        <v>2861</v>
      </c>
      <c r="E2247" s="1" t="s">
        <v>176</v>
      </c>
      <c r="F2247" s="22">
        <v>862531045460855</v>
      </c>
      <c r="M2247" s="2" t="s">
        <v>2825</v>
      </c>
      <c r="N2247" s="2" t="s">
        <v>2662</v>
      </c>
      <c r="O2247" s="18">
        <v>44411</v>
      </c>
    </row>
    <row r="2248" spans="1:19" hidden="1" outlineLevel="1">
      <c r="A2248" s="1">
        <v>2</v>
      </c>
      <c r="F2248" s="22">
        <v>862531044700400</v>
      </c>
      <c r="M2248" s="2" t="s">
        <v>2826</v>
      </c>
      <c r="N2248" s="2" t="s">
        <v>1063</v>
      </c>
      <c r="O2248" s="18">
        <v>43480</v>
      </c>
    </row>
    <row r="2249" spans="1:19" hidden="1" outlineLevel="1">
      <c r="A2249" s="1">
        <v>3</v>
      </c>
      <c r="F2249" s="22">
        <v>862531045511673</v>
      </c>
      <c r="M2249" s="2" t="s">
        <v>2827</v>
      </c>
      <c r="N2249" s="2" t="s">
        <v>1057</v>
      </c>
      <c r="O2249" s="18">
        <v>44399</v>
      </c>
    </row>
    <row r="2250" spans="1:19" hidden="1" outlineLevel="1">
      <c r="A2250" s="1">
        <v>4</v>
      </c>
      <c r="F2250" s="22">
        <v>862531045504645</v>
      </c>
      <c r="M2250" s="2" t="s">
        <v>2828</v>
      </c>
      <c r="N2250" s="2" t="s">
        <v>1057</v>
      </c>
      <c r="O2250" s="18">
        <v>44399</v>
      </c>
    </row>
    <row r="2251" spans="1:19" hidden="1" outlineLevel="1">
      <c r="A2251" s="1">
        <v>5</v>
      </c>
      <c r="F2251" s="22">
        <v>862531045502656</v>
      </c>
      <c r="M2251" s="2" t="s">
        <v>2829</v>
      </c>
      <c r="N2251" s="2" t="s">
        <v>2223</v>
      </c>
      <c r="O2251" s="18">
        <v>44426</v>
      </c>
    </row>
    <row r="2252" spans="1:19" hidden="1" outlineLevel="1">
      <c r="A2252" s="1">
        <v>6</v>
      </c>
      <c r="F2252" s="22">
        <v>862531044670082</v>
      </c>
      <c r="M2252" s="2" t="s">
        <v>2830</v>
      </c>
      <c r="N2252" s="2" t="s">
        <v>276</v>
      </c>
      <c r="O2252" s="18">
        <v>44427</v>
      </c>
    </row>
    <row r="2253" spans="1:19" hidden="1" outlineLevel="1">
      <c r="A2253" s="1">
        <v>7</v>
      </c>
      <c r="F2253" s="22">
        <v>862531044726223</v>
      </c>
      <c r="M2253" s="2" t="s">
        <v>2831</v>
      </c>
      <c r="N2253" s="2" t="s">
        <v>2813</v>
      </c>
      <c r="O2253" s="18">
        <v>44426</v>
      </c>
    </row>
    <row r="2254" spans="1:19" hidden="1" outlineLevel="1">
      <c r="A2254" s="1">
        <v>8</v>
      </c>
      <c r="F2254" s="22">
        <v>862531044707124</v>
      </c>
      <c r="M2254" s="2" t="s">
        <v>2832</v>
      </c>
      <c r="N2254" s="2" t="s">
        <v>2490</v>
      </c>
      <c r="O2254" s="18">
        <v>44425</v>
      </c>
    </row>
    <row r="2255" spans="1:19" hidden="1" outlineLevel="1">
      <c r="A2255" s="1">
        <v>9</v>
      </c>
      <c r="F2255" s="22">
        <v>862531047711818</v>
      </c>
      <c r="M2255" s="2" t="s">
        <v>2833</v>
      </c>
      <c r="N2255" s="2" t="s">
        <v>2074</v>
      </c>
      <c r="O2255" s="18">
        <v>44440</v>
      </c>
    </row>
    <row r="2256" spans="1:19" hidden="1" outlineLevel="1">
      <c r="A2256" s="1">
        <v>10</v>
      </c>
      <c r="F2256" s="22">
        <v>862531044670397</v>
      </c>
      <c r="M2256" s="2" t="s">
        <v>2834</v>
      </c>
      <c r="N2256" s="2" t="s">
        <v>1147</v>
      </c>
      <c r="O2256" s="18">
        <v>44426</v>
      </c>
    </row>
    <row r="2257" spans="1:19" hidden="1" outlineLevel="1">
      <c r="A2257" s="1">
        <v>11</v>
      </c>
      <c r="F2257" s="22">
        <v>862531047662482</v>
      </c>
      <c r="M2257" s="2" t="s">
        <v>2835</v>
      </c>
      <c r="N2257" s="2" t="s">
        <v>2836</v>
      </c>
      <c r="O2257" s="18">
        <v>42894</v>
      </c>
    </row>
    <row r="2258" spans="1:19" hidden="1" outlineLevel="1">
      <c r="A2258" s="1">
        <v>12</v>
      </c>
      <c r="F2258" s="22">
        <v>862531044706225</v>
      </c>
      <c r="M2258" s="2" t="s">
        <v>2837</v>
      </c>
      <c r="N2258" s="2" t="s">
        <v>1232</v>
      </c>
      <c r="O2258" s="18">
        <v>41694</v>
      </c>
    </row>
    <row r="2259" spans="1:19" hidden="1" outlineLevel="1">
      <c r="A2259" s="1">
        <v>13</v>
      </c>
      <c r="F2259" s="22">
        <v>862531045504561</v>
      </c>
      <c r="M2259" s="2" t="s">
        <v>2838</v>
      </c>
      <c r="N2259" s="2" t="s">
        <v>1534</v>
      </c>
      <c r="O2259" s="18">
        <v>44427</v>
      </c>
    </row>
    <row r="2260" spans="1:19" hidden="1" outlineLevel="1">
      <c r="A2260" s="1">
        <v>14</v>
      </c>
      <c r="F2260" s="22">
        <v>862531045463982</v>
      </c>
      <c r="M2260" s="2" t="s">
        <v>2839</v>
      </c>
      <c r="N2260" s="2" t="s">
        <v>1929</v>
      </c>
      <c r="O2260" s="18">
        <v>44427</v>
      </c>
    </row>
    <row r="2261" spans="1:19" hidden="1" outlineLevel="1">
      <c r="A2261" s="1">
        <v>15</v>
      </c>
      <c r="F2261" s="22">
        <v>862531045436756</v>
      </c>
    </row>
    <row r="2262" spans="1:19" hidden="1" outlineLevel="1">
      <c r="A2262" s="1">
        <v>16</v>
      </c>
      <c r="F2262" s="22">
        <v>862531044706324</v>
      </c>
      <c r="M2262" s="2" t="s">
        <v>2840</v>
      </c>
      <c r="N2262" s="2" t="s">
        <v>2813</v>
      </c>
      <c r="O2262" s="18">
        <v>44426</v>
      </c>
    </row>
    <row r="2263" spans="1:19" hidden="1" outlineLevel="1">
      <c r="A2263" s="1">
        <v>17</v>
      </c>
      <c r="F2263" s="22">
        <v>862531045467405</v>
      </c>
      <c r="M2263" s="2" t="s">
        <v>2841</v>
      </c>
      <c r="N2263" s="2" t="s">
        <v>1512</v>
      </c>
      <c r="O2263" s="18">
        <v>42282</v>
      </c>
    </row>
    <row r="2264" spans="1:19" hidden="1" outlineLevel="1">
      <c r="A2264" s="1">
        <v>18</v>
      </c>
      <c r="F2264" s="22">
        <v>862531044725001</v>
      </c>
      <c r="M2264" s="2" t="s">
        <v>2842</v>
      </c>
      <c r="N2264" s="2" t="s">
        <v>2662</v>
      </c>
      <c r="O2264" s="18">
        <v>44411</v>
      </c>
    </row>
    <row r="2265" spans="1:19" hidden="1" outlineLevel="1">
      <c r="A2265" s="1">
        <v>19</v>
      </c>
      <c r="F2265" s="22">
        <v>862531045461085</v>
      </c>
    </row>
    <row r="2266" spans="1:19" hidden="1" outlineLevel="1">
      <c r="A2266" s="1">
        <v>20</v>
      </c>
      <c r="F2266" s="22">
        <v>862531044719657</v>
      </c>
      <c r="M2266" s="2" t="s">
        <v>2843</v>
      </c>
      <c r="N2266" s="2" t="s">
        <v>276</v>
      </c>
      <c r="O2266" s="18">
        <v>44428</v>
      </c>
    </row>
    <row r="2267" spans="1:19" hidden="1" outlineLevel="1">
      <c r="A2267" s="8"/>
      <c r="B2267" s="58"/>
      <c r="C2267" s="159"/>
      <c r="D2267" s="8"/>
      <c r="E2267" s="8"/>
      <c r="F2267" s="9"/>
      <c r="G2267" s="8"/>
      <c r="H2267" s="8"/>
      <c r="I2267" s="8"/>
      <c r="J2267" s="58"/>
      <c r="K2267" s="8"/>
      <c r="L2267" s="58"/>
      <c r="M2267" s="8"/>
      <c r="N2267" s="8"/>
      <c r="O2267" s="58"/>
      <c r="P2267" s="8"/>
      <c r="Q2267" s="8"/>
      <c r="R2267" s="8"/>
      <c r="S2267" s="8"/>
    </row>
    <row r="2268" spans="1:19" hidden="1" outlineLevel="1">
      <c r="A2268" s="1">
        <v>1</v>
      </c>
      <c r="B2268" s="11">
        <v>44413</v>
      </c>
      <c r="C2268" s="160">
        <v>3016</v>
      </c>
      <c r="E2268" s="1" t="s">
        <v>229</v>
      </c>
      <c r="F2268" s="22">
        <v>862531044687169</v>
      </c>
      <c r="M2268" s="2" t="s">
        <v>2844</v>
      </c>
      <c r="N2268" s="2" t="s">
        <v>1813</v>
      </c>
      <c r="O2268" s="18">
        <v>44425</v>
      </c>
    </row>
    <row r="2269" spans="1:19" hidden="1" outlineLevel="1">
      <c r="A2269" s="1">
        <v>2</v>
      </c>
      <c r="F2269" s="22">
        <v>862531044686377</v>
      </c>
      <c r="M2269" s="2" t="s">
        <v>2845</v>
      </c>
      <c r="N2269" s="2" t="s">
        <v>1813</v>
      </c>
      <c r="O2269" s="18">
        <v>44425</v>
      </c>
    </row>
    <row r="2270" spans="1:19" hidden="1" outlineLevel="1">
      <c r="A2270" s="1">
        <v>3</v>
      </c>
      <c r="F2270" s="22">
        <v>862531044632660</v>
      </c>
      <c r="M2270" s="2" t="s">
        <v>2846</v>
      </c>
      <c r="N2270" s="2" t="s">
        <v>1813</v>
      </c>
      <c r="O2270" s="18">
        <v>44425</v>
      </c>
    </row>
    <row r="2271" spans="1:19" hidden="1" outlineLevel="1">
      <c r="A2271" s="1">
        <v>4</v>
      </c>
      <c r="F2271" s="22">
        <v>862531044632678</v>
      </c>
      <c r="M2271" s="2">
        <v>862531044632678</v>
      </c>
      <c r="N2271" s="2" t="s">
        <v>1813</v>
      </c>
      <c r="O2271" s="18">
        <v>44425</v>
      </c>
    </row>
    <row r="2272" spans="1:19" hidden="1" outlineLevel="1">
      <c r="A2272" s="1">
        <v>5</v>
      </c>
      <c r="F2272" s="22">
        <v>862531044687201</v>
      </c>
      <c r="M2272" s="2" t="s">
        <v>2847</v>
      </c>
      <c r="N2272" s="2" t="s">
        <v>1813</v>
      </c>
      <c r="O2272" s="18">
        <v>44425</v>
      </c>
    </row>
    <row r="2273" spans="1:19" hidden="1" outlineLevel="1">
      <c r="A2273" s="1">
        <v>6</v>
      </c>
      <c r="F2273" s="22">
        <v>862531045492262</v>
      </c>
      <c r="M2273" s="2" t="s">
        <v>2848</v>
      </c>
      <c r="N2273" s="2" t="s">
        <v>2257</v>
      </c>
      <c r="O2273" s="18">
        <v>44421</v>
      </c>
    </row>
    <row r="2274" spans="1:19" hidden="1" outlineLevel="1">
      <c r="A2274" s="1">
        <v>7</v>
      </c>
      <c r="F2274" s="22">
        <v>862531044684521</v>
      </c>
      <c r="M2274" s="2" t="s">
        <v>2849</v>
      </c>
      <c r="N2274" s="2" t="s">
        <v>2257</v>
      </c>
      <c r="O2274" s="18">
        <v>44421</v>
      </c>
    </row>
    <row r="2275" spans="1:19" hidden="1" outlineLevel="1">
      <c r="A2275" s="1">
        <v>8</v>
      </c>
      <c r="F2275" s="22">
        <v>862531044683549</v>
      </c>
      <c r="M2275" s="2" t="s">
        <v>2850</v>
      </c>
      <c r="N2275" s="2" t="s">
        <v>2257</v>
      </c>
      <c r="O2275" s="18">
        <v>44421</v>
      </c>
    </row>
    <row r="2276" spans="1:19" hidden="1" outlineLevel="1">
      <c r="A2276" s="1">
        <v>9</v>
      </c>
      <c r="F2276" s="22">
        <v>862531044739135</v>
      </c>
      <c r="M2276" s="2" t="s">
        <v>2851</v>
      </c>
      <c r="N2276" s="2" t="s">
        <v>2257</v>
      </c>
      <c r="O2276" s="18">
        <v>44421</v>
      </c>
    </row>
    <row r="2277" spans="1:19" hidden="1" outlineLevel="1">
      <c r="A2277" s="1">
        <v>10</v>
      </c>
      <c r="F2277" s="22">
        <v>862531044683499</v>
      </c>
      <c r="M2277" s="2" t="s">
        <v>2852</v>
      </c>
      <c r="N2277" s="2" t="s">
        <v>1813</v>
      </c>
      <c r="O2277" s="18">
        <v>44425</v>
      </c>
    </row>
    <row r="2278" spans="1:19" hidden="1" outlineLevel="1">
      <c r="A2278" s="1">
        <v>11</v>
      </c>
      <c r="F2278" s="22">
        <v>862531044659663</v>
      </c>
      <c r="M2278" s="2" t="s">
        <v>2853</v>
      </c>
      <c r="N2278" s="2" t="s">
        <v>1813</v>
      </c>
      <c r="O2278" s="18">
        <v>44425</v>
      </c>
    </row>
    <row r="2279" spans="1:19" hidden="1" outlineLevel="1">
      <c r="A2279" s="1">
        <v>12</v>
      </c>
      <c r="F2279" s="22">
        <v>862531044662543</v>
      </c>
      <c r="M2279" s="2" t="s">
        <v>2854</v>
      </c>
      <c r="N2279" s="2" t="s">
        <v>1813</v>
      </c>
      <c r="O2279" s="18">
        <v>44425</v>
      </c>
    </row>
    <row r="2280" spans="1:19" hidden="1" outlineLevel="1">
      <c r="A2280" s="1">
        <v>13</v>
      </c>
      <c r="F2280" s="22">
        <v>862531044659846</v>
      </c>
      <c r="M2280" s="2" t="s">
        <v>2855</v>
      </c>
      <c r="N2280" s="2" t="s">
        <v>1813</v>
      </c>
      <c r="O2280" s="18">
        <v>44425</v>
      </c>
    </row>
    <row r="2281" spans="1:19" hidden="1" outlineLevel="1">
      <c r="A2281" s="1">
        <v>14</v>
      </c>
      <c r="F2281" s="22">
        <v>862531044610773</v>
      </c>
      <c r="M2281" s="2" t="s">
        <v>2856</v>
      </c>
      <c r="N2281" s="2" t="s">
        <v>1813</v>
      </c>
      <c r="O2281" s="18">
        <v>44425</v>
      </c>
    </row>
    <row r="2282" spans="1:19" hidden="1" outlineLevel="1">
      <c r="A2282" s="1">
        <v>15</v>
      </c>
      <c r="F2282" s="22">
        <v>862531044662535</v>
      </c>
      <c r="M2282" s="2" t="s">
        <v>2857</v>
      </c>
      <c r="N2282" s="2" t="s">
        <v>2257</v>
      </c>
      <c r="O2282" s="18">
        <v>44421</v>
      </c>
    </row>
    <row r="2283" spans="1:19" hidden="1" outlineLevel="1">
      <c r="A2283" s="1">
        <v>16</v>
      </c>
      <c r="E2283" s="1" t="s">
        <v>609</v>
      </c>
      <c r="F2283" s="22">
        <v>862531045539682</v>
      </c>
      <c r="M2283" s="2" t="s">
        <v>2858</v>
      </c>
      <c r="N2283" s="2" t="s">
        <v>2859</v>
      </c>
      <c r="O2283" s="18">
        <v>44462</v>
      </c>
    </row>
    <row r="2284" spans="1:19" hidden="1" outlineLevel="1">
      <c r="A2284" s="1">
        <v>17</v>
      </c>
      <c r="F2284" s="22">
        <v>862531045529147</v>
      </c>
      <c r="M2284" s="2" t="s">
        <v>2860</v>
      </c>
      <c r="N2284" s="2" t="s">
        <v>2859</v>
      </c>
      <c r="O2284" s="18">
        <v>44459</v>
      </c>
    </row>
    <row r="2285" spans="1:19" hidden="1" outlineLevel="1">
      <c r="A2285" s="1">
        <v>18</v>
      </c>
      <c r="F2285" s="22">
        <v>862531045530624</v>
      </c>
      <c r="G2285" s="4" t="s">
        <v>177</v>
      </c>
      <c r="I2285" s="2" t="s">
        <v>564</v>
      </c>
      <c r="M2285" s="2" t="s">
        <v>2858</v>
      </c>
      <c r="N2285" s="2" t="s">
        <v>2861</v>
      </c>
      <c r="O2285" s="18">
        <v>44462</v>
      </c>
      <c r="R2285" s="1" t="s">
        <v>642</v>
      </c>
      <c r="S2285" s="1" t="s">
        <v>755</v>
      </c>
    </row>
    <row r="2286" spans="1:19" hidden="1" outlineLevel="1">
      <c r="A2286" s="1">
        <v>19</v>
      </c>
      <c r="F2286" s="22">
        <v>862531045530467</v>
      </c>
      <c r="M2286" s="2" t="s">
        <v>2862</v>
      </c>
      <c r="N2286" s="2" t="s">
        <v>2859</v>
      </c>
      <c r="O2286" s="18">
        <v>44462</v>
      </c>
    </row>
    <row r="2287" spans="1:19" hidden="1" outlineLevel="1">
      <c r="A2287" s="1">
        <v>20</v>
      </c>
      <c r="F2287" s="22">
        <v>862531045528131</v>
      </c>
      <c r="M2287" s="2" t="s">
        <v>2863</v>
      </c>
      <c r="N2287" s="2" t="s">
        <v>1522</v>
      </c>
      <c r="O2287" s="18">
        <v>44456</v>
      </c>
    </row>
    <row r="2288" spans="1:19" hidden="1" outlineLevel="1">
      <c r="A2288" s="8"/>
      <c r="B2288" s="58"/>
      <c r="C2288" s="159"/>
      <c r="D2288" s="8"/>
      <c r="E2288" s="8"/>
      <c r="F2288" s="9"/>
      <c r="G2288" s="8"/>
      <c r="H2288" s="8"/>
      <c r="I2288" s="8"/>
      <c r="J2288" s="58"/>
      <c r="K2288" s="8"/>
      <c r="L2288" s="58"/>
      <c r="M2288" s="8"/>
      <c r="N2288" s="8"/>
      <c r="O2288" s="58"/>
      <c r="P2288" s="8"/>
      <c r="Q2288" s="8"/>
      <c r="R2288" s="8"/>
      <c r="S2288" s="8"/>
    </row>
    <row r="2289" spans="1:19" hidden="1" outlineLevel="1">
      <c r="A2289" s="1">
        <v>1</v>
      </c>
      <c r="B2289" s="11">
        <v>44418</v>
      </c>
      <c r="C2289" s="160">
        <v>3081</v>
      </c>
      <c r="E2289" s="1" t="s">
        <v>635</v>
      </c>
      <c r="F2289" s="22">
        <v>861774055514317</v>
      </c>
      <c r="M2289" s="2" t="s">
        <v>2864</v>
      </c>
      <c r="N2289" s="2" t="s">
        <v>1637</v>
      </c>
      <c r="O2289" s="18">
        <v>44501</v>
      </c>
      <c r="S2289" s="1" t="s">
        <v>756</v>
      </c>
    </row>
    <row r="2290" spans="1:19" hidden="1" outlineLevel="1">
      <c r="A2290" s="1">
        <v>2</v>
      </c>
      <c r="F2290" s="22">
        <v>861774055556953</v>
      </c>
      <c r="M2290" s="2" t="s">
        <v>2865</v>
      </c>
      <c r="N2290" s="2" t="s">
        <v>2477</v>
      </c>
      <c r="O2290" s="18">
        <v>44421</v>
      </c>
      <c r="S2290" s="1" t="s">
        <v>752</v>
      </c>
    </row>
    <row r="2291" spans="1:19" hidden="1" outlineLevel="1">
      <c r="A2291" s="1">
        <v>3</v>
      </c>
      <c r="F2291" s="22">
        <v>861774055527285</v>
      </c>
      <c r="M2291" s="2" t="s">
        <v>2864</v>
      </c>
      <c r="N2291" s="2" t="s">
        <v>1637</v>
      </c>
      <c r="O2291" s="18">
        <v>44501</v>
      </c>
      <c r="S2291" s="1" t="s">
        <v>756</v>
      </c>
    </row>
    <row r="2292" spans="1:19" hidden="1" outlineLevel="1">
      <c r="A2292" s="8"/>
      <c r="B2292" s="58"/>
      <c r="C2292" s="159"/>
      <c r="D2292" s="8"/>
      <c r="E2292" s="8"/>
      <c r="F2292" s="9"/>
      <c r="G2292" s="8"/>
      <c r="H2292" s="8"/>
      <c r="I2292" s="8"/>
      <c r="J2292" s="58"/>
      <c r="K2292" s="8"/>
      <c r="L2292" s="58"/>
      <c r="M2292" s="8"/>
      <c r="N2292" s="8"/>
      <c r="O2292" s="58"/>
      <c r="P2292" s="8"/>
      <c r="Q2292" s="8"/>
      <c r="R2292" s="8"/>
      <c r="S2292" s="8"/>
    </row>
    <row r="2293" spans="1:19" hidden="1" outlineLevel="1">
      <c r="A2293" s="1">
        <v>1</v>
      </c>
      <c r="B2293" s="11">
        <v>44418</v>
      </c>
      <c r="C2293" s="160">
        <v>3082</v>
      </c>
      <c r="E2293" s="1" t="s">
        <v>623</v>
      </c>
      <c r="F2293" s="22">
        <v>869943052360840</v>
      </c>
      <c r="M2293" s="2" t="s">
        <v>2866</v>
      </c>
      <c r="N2293" s="2" t="s">
        <v>2867</v>
      </c>
      <c r="O2293" s="18">
        <v>44421</v>
      </c>
    </row>
    <row r="2294" spans="1:19" hidden="1" outlineLevel="1">
      <c r="A2294" s="8"/>
      <c r="B2294" s="58"/>
      <c r="C2294" s="159"/>
      <c r="D2294" s="8"/>
      <c r="E2294" s="8"/>
      <c r="F2294" s="9"/>
      <c r="G2294" s="8"/>
      <c r="H2294" s="8"/>
      <c r="I2294" s="8"/>
      <c r="J2294" s="58"/>
      <c r="K2294" s="8"/>
      <c r="L2294" s="58"/>
      <c r="M2294" s="8"/>
      <c r="N2294" s="8"/>
      <c r="O2294" s="58"/>
      <c r="P2294" s="8"/>
      <c r="Q2294" s="8"/>
      <c r="R2294" s="8"/>
      <c r="S2294" s="8"/>
    </row>
    <row r="2295" spans="1:19" hidden="1" outlineLevel="1">
      <c r="A2295" s="1">
        <v>1</v>
      </c>
      <c r="B2295" s="11">
        <v>44418</v>
      </c>
      <c r="C2295" s="160">
        <v>3083</v>
      </c>
      <c r="E2295" s="1" t="s">
        <v>636</v>
      </c>
      <c r="F2295" s="22">
        <v>861774057906511</v>
      </c>
      <c r="M2295" s="2" t="s">
        <v>2868</v>
      </c>
      <c r="N2295" s="2" t="s">
        <v>2869</v>
      </c>
      <c r="O2295" s="18" t="s">
        <v>2870</v>
      </c>
      <c r="S2295" s="1" t="s">
        <v>757</v>
      </c>
    </row>
    <row r="2296" spans="1:19" hidden="1" outlineLevel="1">
      <c r="A2296" s="1">
        <v>2</v>
      </c>
      <c r="F2296" s="22">
        <v>861774057938282</v>
      </c>
      <c r="M2296" s="2" t="s">
        <v>2871</v>
      </c>
      <c r="N2296" s="2" t="s">
        <v>2869</v>
      </c>
      <c r="O2296" s="18" t="s">
        <v>2872</v>
      </c>
      <c r="S2296" s="1" t="s">
        <v>757</v>
      </c>
    </row>
    <row r="2297" spans="1:19" hidden="1" outlineLevel="1">
      <c r="A2297" s="1">
        <v>3</v>
      </c>
      <c r="F2297" s="22">
        <v>861774058032069</v>
      </c>
      <c r="M2297" s="2" t="s">
        <v>2873</v>
      </c>
      <c r="N2297" s="2" t="s">
        <v>2869</v>
      </c>
      <c r="O2297" s="18">
        <v>44497</v>
      </c>
      <c r="S2297" s="1" t="s">
        <v>757</v>
      </c>
    </row>
    <row r="2298" spans="1:19" hidden="1" outlineLevel="1">
      <c r="A2298" s="1">
        <v>4</v>
      </c>
      <c r="F2298" s="22">
        <v>861774057924555</v>
      </c>
      <c r="M2298" s="2" t="s">
        <v>2874</v>
      </c>
      <c r="N2298" s="2" t="s">
        <v>2869</v>
      </c>
      <c r="O2298" s="18" t="s">
        <v>2870</v>
      </c>
      <c r="S2298" s="1" t="s">
        <v>757</v>
      </c>
    </row>
    <row r="2299" spans="1:19" hidden="1" outlineLevel="1">
      <c r="A2299" s="1">
        <v>5</v>
      </c>
      <c r="F2299" s="22">
        <v>861774058038371</v>
      </c>
      <c r="M2299" s="2" t="s">
        <v>2875</v>
      </c>
      <c r="N2299" s="2" t="s">
        <v>2869</v>
      </c>
      <c r="O2299" s="18" t="s">
        <v>2872</v>
      </c>
      <c r="S2299" s="1" t="s">
        <v>757</v>
      </c>
    </row>
    <row r="2300" spans="1:19" hidden="1" outlineLevel="1">
      <c r="A2300" s="1">
        <v>6</v>
      </c>
      <c r="F2300" s="22">
        <v>861774057916189</v>
      </c>
      <c r="N2300" s="2" t="s">
        <v>2869</v>
      </c>
      <c r="S2300" s="1" t="s">
        <v>757</v>
      </c>
    </row>
    <row r="2301" spans="1:19" hidden="1" outlineLevel="1">
      <c r="A2301" s="1">
        <v>7</v>
      </c>
      <c r="F2301" s="22">
        <v>861774057915348</v>
      </c>
      <c r="N2301" s="2" t="s">
        <v>2869</v>
      </c>
      <c r="S2301" s="1" t="s">
        <v>757</v>
      </c>
    </row>
    <row r="2302" spans="1:19" hidden="1" outlineLevel="1">
      <c r="A2302" s="1">
        <v>8</v>
      </c>
      <c r="F2302" s="22">
        <v>861774058033638</v>
      </c>
      <c r="M2302" s="2" t="s">
        <v>2876</v>
      </c>
      <c r="N2302" s="2" t="s">
        <v>2869</v>
      </c>
      <c r="O2302" s="18">
        <v>44497</v>
      </c>
      <c r="S2302" s="1" t="s">
        <v>757</v>
      </c>
    </row>
    <row r="2303" spans="1:19" hidden="1" outlineLevel="1">
      <c r="A2303" s="8"/>
      <c r="B2303" s="58"/>
      <c r="C2303" s="159"/>
      <c r="D2303" s="8"/>
      <c r="E2303" s="8"/>
      <c r="F2303" s="9"/>
      <c r="G2303" s="8"/>
      <c r="H2303" s="8"/>
      <c r="I2303" s="8"/>
      <c r="J2303" s="58"/>
      <c r="K2303" s="8"/>
      <c r="L2303" s="58"/>
      <c r="M2303" s="8"/>
      <c r="N2303" s="8"/>
      <c r="O2303" s="58"/>
      <c r="P2303" s="8"/>
      <c r="Q2303" s="8"/>
      <c r="R2303" s="8"/>
      <c r="S2303" s="8"/>
    </row>
    <row r="2304" spans="1:19" hidden="1" outlineLevel="1">
      <c r="A2304" s="1">
        <v>1</v>
      </c>
      <c r="B2304" s="11">
        <v>44421</v>
      </c>
      <c r="C2304" s="160">
        <v>3111</v>
      </c>
      <c r="E2304" s="1" t="s">
        <v>229</v>
      </c>
      <c r="F2304" s="22">
        <v>862531044659754</v>
      </c>
      <c r="M2304" s="2" t="s">
        <v>2877</v>
      </c>
      <c r="N2304" s="2" t="s">
        <v>2878</v>
      </c>
      <c r="O2304" s="18">
        <v>44427</v>
      </c>
    </row>
    <row r="2305" spans="1:15" hidden="1" outlineLevel="1">
      <c r="A2305" s="1">
        <v>2</v>
      </c>
      <c r="F2305" s="22">
        <v>862531044684117</v>
      </c>
      <c r="M2305" s="2" t="s">
        <v>2879</v>
      </c>
      <c r="N2305" s="2" t="s">
        <v>2750</v>
      </c>
      <c r="O2305" s="18">
        <v>44426</v>
      </c>
    </row>
    <row r="2306" spans="1:15" hidden="1" outlineLevel="1">
      <c r="A2306" s="1">
        <v>3</v>
      </c>
      <c r="F2306" s="22">
        <v>862531044680214</v>
      </c>
      <c r="M2306" s="2" t="s">
        <v>2880</v>
      </c>
      <c r="N2306" s="2" t="s">
        <v>1813</v>
      </c>
      <c r="O2306" s="18">
        <v>44425</v>
      </c>
    </row>
    <row r="2307" spans="1:15" hidden="1" outlineLevel="1">
      <c r="A2307" s="1">
        <v>4</v>
      </c>
      <c r="F2307" s="22">
        <v>862531047611836</v>
      </c>
      <c r="M2307" s="2" t="s">
        <v>2881</v>
      </c>
      <c r="N2307" s="2" t="s">
        <v>1813</v>
      </c>
      <c r="O2307" s="18">
        <v>44425</v>
      </c>
    </row>
    <row r="2308" spans="1:15" hidden="1" outlineLevel="1">
      <c r="A2308" s="1">
        <v>5</v>
      </c>
      <c r="F2308" s="22">
        <v>862531047611786</v>
      </c>
      <c r="M2308" s="2" t="s">
        <v>2882</v>
      </c>
      <c r="N2308" s="2" t="s">
        <v>1813</v>
      </c>
      <c r="O2308" s="18">
        <v>44425</v>
      </c>
    </row>
    <row r="2309" spans="1:15" hidden="1" outlineLevel="1">
      <c r="A2309" s="1">
        <v>6</v>
      </c>
      <c r="F2309" s="22">
        <v>862531044732965</v>
      </c>
      <c r="M2309" s="2">
        <v>862531044732965</v>
      </c>
      <c r="N2309" s="2" t="s">
        <v>1813</v>
      </c>
      <c r="O2309" s="18">
        <v>44425</v>
      </c>
    </row>
    <row r="2310" spans="1:15" hidden="1" outlineLevel="1">
      <c r="A2310" s="1">
        <v>7</v>
      </c>
      <c r="F2310" s="22">
        <v>862531044727650</v>
      </c>
      <c r="M2310" s="2" t="s">
        <v>2883</v>
      </c>
      <c r="N2310" s="2" t="s">
        <v>1813</v>
      </c>
      <c r="O2310" s="18">
        <v>44425</v>
      </c>
    </row>
    <row r="2311" spans="1:15" hidden="1" outlineLevel="1">
      <c r="A2311" s="1">
        <v>8</v>
      </c>
      <c r="F2311" s="22">
        <v>862531044643436</v>
      </c>
      <c r="M2311" s="2" t="s">
        <v>2884</v>
      </c>
      <c r="N2311" s="2" t="s">
        <v>2219</v>
      </c>
      <c r="O2311" s="18">
        <v>44427</v>
      </c>
    </row>
    <row r="2312" spans="1:15" hidden="1" outlineLevel="1">
      <c r="A2312" s="1">
        <v>9</v>
      </c>
      <c r="F2312" s="22">
        <v>862531044680313</v>
      </c>
      <c r="M2312" s="2" t="s">
        <v>2885</v>
      </c>
      <c r="N2312" s="2" t="s">
        <v>2257</v>
      </c>
      <c r="O2312" s="18">
        <v>44446</v>
      </c>
    </row>
    <row r="2313" spans="1:15" hidden="1" outlineLevel="1">
      <c r="A2313" s="1">
        <v>10</v>
      </c>
      <c r="F2313" s="22">
        <v>862531044642073</v>
      </c>
      <c r="M2313" s="2">
        <v>862531044642073</v>
      </c>
      <c r="N2313" s="2" t="s">
        <v>1813</v>
      </c>
      <c r="O2313" s="18">
        <v>44425</v>
      </c>
    </row>
    <row r="2314" spans="1:15" hidden="1" outlineLevel="1">
      <c r="A2314" s="1">
        <v>11</v>
      </c>
      <c r="F2314" s="22">
        <v>862531044739788</v>
      </c>
      <c r="M2314" s="2" t="s">
        <v>2886</v>
      </c>
      <c r="N2314" s="2" t="s">
        <v>1813</v>
      </c>
      <c r="O2314" s="18">
        <v>44425</v>
      </c>
    </row>
    <row r="2315" spans="1:15" hidden="1" outlineLevel="1">
      <c r="A2315" s="1">
        <v>12</v>
      </c>
      <c r="F2315" s="22">
        <v>862531044612480</v>
      </c>
      <c r="M2315" s="2" t="s">
        <v>2887</v>
      </c>
      <c r="N2315" s="2" t="s">
        <v>1813</v>
      </c>
      <c r="O2315" s="18">
        <v>44425</v>
      </c>
    </row>
    <row r="2316" spans="1:15" hidden="1" outlineLevel="1">
      <c r="A2316" s="1">
        <v>13</v>
      </c>
      <c r="F2316" s="22">
        <v>862531044730134</v>
      </c>
      <c r="M2316" s="2" t="s">
        <v>2888</v>
      </c>
      <c r="N2316" s="2" t="s">
        <v>1813</v>
      </c>
      <c r="O2316" s="18">
        <v>44425</v>
      </c>
    </row>
    <row r="2317" spans="1:15" hidden="1" outlineLevel="1">
      <c r="A2317" s="1">
        <v>14</v>
      </c>
      <c r="F2317" s="22">
        <v>862531044732098</v>
      </c>
      <c r="M2317" s="2" t="s">
        <v>2889</v>
      </c>
      <c r="N2317" s="2" t="s">
        <v>1813</v>
      </c>
      <c r="O2317" s="18">
        <v>44425</v>
      </c>
    </row>
    <row r="2318" spans="1:15" hidden="1" outlineLevel="1">
      <c r="A2318" s="1">
        <v>15</v>
      </c>
      <c r="F2318" s="22">
        <v>862531044615269</v>
      </c>
      <c r="M2318" s="2" t="s">
        <v>2890</v>
      </c>
      <c r="N2318" s="2" t="s">
        <v>2750</v>
      </c>
      <c r="O2318" s="18">
        <v>44424</v>
      </c>
    </row>
    <row r="2319" spans="1:15" hidden="1" outlineLevel="1">
      <c r="A2319" s="1">
        <v>16</v>
      </c>
      <c r="E2319" s="1" t="s">
        <v>176</v>
      </c>
      <c r="F2319" s="22">
        <v>862531045512028</v>
      </c>
      <c r="M2319" s="2" t="s">
        <v>2891</v>
      </c>
      <c r="N2319" s="2" t="s">
        <v>1418</v>
      </c>
      <c r="O2319" s="18">
        <v>44440</v>
      </c>
    </row>
    <row r="2320" spans="1:15" hidden="1" outlineLevel="1">
      <c r="A2320" s="1">
        <v>17</v>
      </c>
      <c r="F2320" s="22">
        <v>862531048037619</v>
      </c>
      <c r="M2320" s="2" t="s">
        <v>2892</v>
      </c>
      <c r="N2320" s="2" t="s">
        <v>1447</v>
      </c>
      <c r="O2320" s="18">
        <v>41250</v>
      </c>
    </row>
    <row r="2321" spans="1:19" hidden="1" outlineLevel="1">
      <c r="A2321" s="1">
        <v>18</v>
      </c>
      <c r="F2321" s="22">
        <v>862531044739531</v>
      </c>
      <c r="M2321" s="2" t="s">
        <v>2893</v>
      </c>
      <c r="N2321" s="2" t="s">
        <v>847</v>
      </c>
      <c r="O2321" s="18">
        <v>44455</v>
      </c>
    </row>
    <row r="2322" spans="1:19" hidden="1" outlineLevel="1">
      <c r="A2322" s="1">
        <v>19</v>
      </c>
      <c r="F2322" s="22">
        <v>862531048034517</v>
      </c>
      <c r="M2322" s="2" t="s">
        <v>2894</v>
      </c>
      <c r="N2322" s="2" t="s">
        <v>2895</v>
      </c>
      <c r="O2322" s="18">
        <v>44442</v>
      </c>
    </row>
    <row r="2323" spans="1:19" hidden="1" outlineLevel="1">
      <c r="A2323" s="1">
        <v>20</v>
      </c>
      <c r="F2323" s="22">
        <v>862531044706001</v>
      </c>
      <c r="M2323" s="2" t="s">
        <v>2896</v>
      </c>
      <c r="N2323" s="2" t="s">
        <v>925</v>
      </c>
      <c r="O2323" s="18">
        <v>44442</v>
      </c>
    </row>
    <row r="2324" spans="1:19" hidden="1" outlineLevel="1">
      <c r="A2324" s="1">
        <v>21</v>
      </c>
      <c r="F2324" s="22">
        <v>862531044667948</v>
      </c>
      <c r="M2324" s="2" t="s">
        <v>2897</v>
      </c>
      <c r="N2324" s="2" t="s">
        <v>2651</v>
      </c>
      <c r="O2324" s="18">
        <v>41599</v>
      </c>
    </row>
    <row r="2325" spans="1:19" hidden="1" outlineLevel="1">
      <c r="A2325" s="1">
        <v>22</v>
      </c>
      <c r="F2325" s="22">
        <v>862531045511731</v>
      </c>
      <c r="M2325" s="2" t="s">
        <v>1070</v>
      </c>
      <c r="N2325" s="2" t="s">
        <v>1063</v>
      </c>
      <c r="O2325" s="18">
        <v>43480</v>
      </c>
    </row>
    <row r="2326" spans="1:19" hidden="1" outlineLevel="1">
      <c r="A2326" s="1">
        <v>23</v>
      </c>
      <c r="F2326" s="22">
        <v>862531045504967</v>
      </c>
      <c r="M2326" s="2" t="s">
        <v>2898</v>
      </c>
      <c r="N2326" s="2" t="s">
        <v>2651</v>
      </c>
      <c r="O2326" s="18">
        <v>41592</v>
      </c>
    </row>
    <row r="2327" spans="1:19" hidden="1" outlineLevel="1">
      <c r="A2327" s="1">
        <v>24</v>
      </c>
      <c r="F2327" s="22">
        <v>862531045508745</v>
      </c>
      <c r="M2327" s="2" t="s">
        <v>2899</v>
      </c>
      <c r="N2327" s="2" t="s">
        <v>1929</v>
      </c>
      <c r="O2327" s="18">
        <v>44442</v>
      </c>
    </row>
    <row r="2328" spans="1:19" hidden="1" outlineLevel="1">
      <c r="A2328" s="1">
        <v>25</v>
      </c>
      <c r="F2328" s="22">
        <v>862531045503928</v>
      </c>
      <c r="M2328" s="2" t="s">
        <v>2900</v>
      </c>
      <c r="N2328" s="2" t="s">
        <v>841</v>
      </c>
      <c r="O2328" s="18">
        <v>44445</v>
      </c>
    </row>
    <row r="2329" spans="1:19" hidden="1" outlineLevel="1">
      <c r="A2329" s="1">
        <v>26</v>
      </c>
      <c r="F2329" s="22">
        <v>862531044721687</v>
      </c>
      <c r="M2329" s="2" t="s">
        <v>2901</v>
      </c>
      <c r="N2329" s="2" t="s">
        <v>2902</v>
      </c>
      <c r="O2329" s="18">
        <v>41522</v>
      </c>
    </row>
    <row r="2330" spans="1:19" hidden="1" outlineLevel="1">
      <c r="A2330" s="1">
        <v>27</v>
      </c>
      <c r="F2330" s="22">
        <v>862531044680842</v>
      </c>
      <c r="M2330" s="2" t="s">
        <v>2903</v>
      </c>
      <c r="N2330" s="2" t="s">
        <v>863</v>
      </c>
      <c r="O2330" s="18">
        <v>44453</v>
      </c>
    </row>
    <row r="2331" spans="1:19" hidden="1" outlineLevel="1">
      <c r="A2331" s="1">
        <v>28</v>
      </c>
      <c r="F2331" s="22">
        <v>862531045510071</v>
      </c>
      <c r="M2331" s="2" t="s">
        <v>2904</v>
      </c>
      <c r="N2331" s="2" t="s">
        <v>1063</v>
      </c>
      <c r="O2331" s="18">
        <v>44312</v>
      </c>
    </row>
    <row r="2332" spans="1:19" hidden="1" outlineLevel="1">
      <c r="A2332" s="1">
        <v>29</v>
      </c>
      <c r="F2332" s="22">
        <v>862531048016951</v>
      </c>
      <c r="M2332" s="2" t="s">
        <v>2905</v>
      </c>
      <c r="N2332" s="2" t="s">
        <v>2651</v>
      </c>
      <c r="O2332" s="18">
        <v>41563</v>
      </c>
    </row>
    <row r="2333" spans="1:19" hidden="1" outlineLevel="1">
      <c r="A2333" s="1">
        <v>30</v>
      </c>
      <c r="F2333" s="22">
        <v>862531045509040</v>
      </c>
      <c r="M2333" s="2" t="s">
        <v>2906</v>
      </c>
      <c r="N2333" s="2" t="s">
        <v>2907</v>
      </c>
      <c r="O2333" s="18">
        <v>44434</v>
      </c>
    </row>
    <row r="2334" spans="1:19" hidden="1" outlineLevel="1">
      <c r="A2334" s="8"/>
      <c r="B2334" s="58"/>
      <c r="C2334" s="159"/>
      <c r="D2334" s="8"/>
      <c r="E2334" s="8"/>
      <c r="F2334" s="9"/>
      <c r="G2334" s="8"/>
      <c r="H2334" s="8"/>
      <c r="I2334" s="8"/>
      <c r="J2334" s="58"/>
      <c r="K2334" s="8"/>
      <c r="L2334" s="58"/>
      <c r="M2334" s="8"/>
      <c r="N2334" s="8"/>
      <c r="O2334" s="58"/>
      <c r="P2334" s="8"/>
      <c r="Q2334" s="8"/>
      <c r="R2334" s="8"/>
      <c r="S2334" s="8"/>
    </row>
    <row r="2335" spans="1:19" hidden="1" outlineLevel="1">
      <c r="A2335" s="1">
        <v>1</v>
      </c>
      <c r="B2335" s="11">
        <v>44425</v>
      </c>
      <c r="C2335" s="160">
        <v>3300</v>
      </c>
      <c r="E2335" s="1" t="s">
        <v>229</v>
      </c>
      <c r="F2335" s="22">
        <v>862531044736107</v>
      </c>
      <c r="M2335" s="2" t="s">
        <v>2908</v>
      </c>
      <c r="N2335" s="2" t="s">
        <v>1813</v>
      </c>
      <c r="O2335" s="18">
        <v>44440</v>
      </c>
    </row>
    <row r="2336" spans="1:19" hidden="1" outlineLevel="1">
      <c r="A2336" s="1">
        <v>2</v>
      </c>
      <c r="F2336" s="22">
        <v>862531044630896</v>
      </c>
      <c r="M2336" s="2" t="s">
        <v>2909</v>
      </c>
      <c r="N2336" s="2" t="s">
        <v>1813</v>
      </c>
      <c r="O2336" s="18">
        <v>44440</v>
      </c>
    </row>
    <row r="2337" spans="1:15" hidden="1" outlineLevel="1">
      <c r="A2337" s="1">
        <v>3</v>
      </c>
      <c r="F2337" s="22">
        <v>862531044680529</v>
      </c>
      <c r="M2337" s="2" t="s">
        <v>2910</v>
      </c>
      <c r="N2337" s="2" t="s">
        <v>2911</v>
      </c>
      <c r="O2337" s="18">
        <v>44488</v>
      </c>
    </row>
    <row r="2338" spans="1:15" hidden="1" outlineLevel="1">
      <c r="A2338" s="1">
        <v>4</v>
      </c>
      <c r="F2338" s="22">
        <v>862531044677178</v>
      </c>
      <c r="M2338" s="2" t="s">
        <v>2912</v>
      </c>
      <c r="N2338" s="2" t="s">
        <v>1163</v>
      </c>
      <c r="O2338" s="18">
        <v>44438</v>
      </c>
    </row>
    <row r="2339" spans="1:15" hidden="1" outlineLevel="1">
      <c r="A2339" s="1">
        <v>5</v>
      </c>
      <c r="F2339" s="22">
        <v>862531044660729</v>
      </c>
      <c r="M2339" s="2" t="s">
        <v>2913</v>
      </c>
      <c r="N2339" s="2" t="s">
        <v>1813</v>
      </c>
      <c r="O2339" s="18">
        <v>44440</v>
      </c>
    </row>
    <row r="2340" spans="1:15" hidden="1" outlineLevel="1">
      <c r="A2340" s="1">
        <v>6</v>
      </c>
      <c r="F2340" s="22">
        <v>862531044659564</v>
      </c>
      <c r="M2340" s="2" t="s">
        <v>2914</v>
      </c>
      <c r="N2340" s="2" t="s">
        <v>1813</v>
      </c>
      <c r="O2340" s="18">
        <v>44440</v>
      </c>
    </row>
    <row r="2341" spans="1:15" hidden="1" outlineLevel="1">
      <c r="A2341" s="1">
        <v>7</v>
      </c>
      <c r="F2341" s="22">
        <v>862531044729730</v>
      </c>
      <c r="M2341" s="2" t="s">
        <v>2915</v>
      </c>
      <c r="N2341" s="2" t="s">
        <v>2245</v>
      </c>
      <c r="O2341" s="18">
        <v>44431</v>
      </c>
    </row>
    <row r="2342" spans="1:15" hidden="1" outlineLevel="1">
      <c r="A2342" s="1">
        <v>8</v>
      </c>
      <c r="F2342" s="22">
        <v>862531044743129</v>
      </c>
      <c r="M2342" s="2" t="s">
        <v>2916</v>
      </c>
      <c r="N2342" s="2" t="s">
        <v>1163</v>
      </c>
      <c r="O2342" s="18">
        <v>44438</v>
      </c>
    </row>
    <row r="2343" spans="1:15" hidden="1" outlineLevel="1">
      <c r="A2343" s="1">
        <v>9</v>
      </c>
      <c r="F2343" s="22">
        <v>862531044632140</v>
      </c>
      <c r="M2343" s="2" t="s">
        <v>2917</v>
      </c>
      <c r="N2343" s="2" t="s">
        <v>1813</v>
      </c>
      <c r="O2343" s="18">
        <v>44440</v>
      </c>
    </row>
    <row r="2344" spans="1:15" hidden="1" outlineLevel="1">
      <c r="A2344" s="1">
        <v>10</v>
      </c>
      <c r="F2344" s="22">
        <v>862531044735950</v>
      </c>
      <c r="M2344" s="2" t="s">
        <v>2918</v>
      </c>
      <c r="N2344" s="2" t="s">
        <v>1813</v>
      </c>
      <c r="O2344" s="18">
        <v>44440</v>
      </c>
    </row>
    <row r="2345" spans="1:15" hidden="1" outlineLevel="1">
      <c r="A2345" s="1">
        <v>11</v>
      </c>
      <c r="F2345" s="22">
        <v>862531044737436</v>
      </c>
      <c r="M2345" s="2" t="s">
        <v>2919</v>
      </c>
      <c r="N2345" s="2" t="s">
        <v>2920</v>
      </c>
      <c r="O2345" s="18">
        <v>44487</v>
      </c>
    </row>
    <row r="2346" spans="1:15" hidden="1" outlineLevel="1">
      <c r="A2346" s="1">
        <v>12</v>
      </c>
      <c r="F2346" s="22">
        <v>862531047720173</v>
      </c>
      <c r="M2346" s="2" t="s">
        <v>2921</v>
      </c>
      <c r="N2346" s="2" t="s">
        <v>1813</v>
      </c>
      <c r="O2346" s="18">
        <v>44440</v>
      </c>
    </row>
    <row r="2347" spans="1:15" hidden="1" outlineLevel="1">
      <c r="A2347" s="1">
        <v>13</v>
      </c>
      <c r="F2347" s="22">
        <v>862531044680347</v>
      </c>
      <c r="M2347" s="2" t="s">
        <v>2922</v>
      </c>
      <c r="N2347" s="2" t="s">
        <v>1668</v>
      </c>
      <c r="O2347" s="18">
        <v>44433</v>
      </c>
    </row>
    <row r="2348" spans="1:15" hidden="1" outlineLevel="1">
      <c r="A2348" s="1">
        <v>14</v>
      </c>
      <c r="F2348" s="22">
        <v>862531044683515</v>
      </c>
      <c r="M2348" s="2" t="s">
        <v>2923</v>
      </c>
      <c r="N2348" s="2" t="s">
        <v>1813</v>
      </c>
      <c r="O2348" s="18">
        <v>44440</v>
      </c>
    </row>
    <row r="2349" spans="1:15" hidden="1" outlineLevel="1">
      <c r="A2349" s="1">
        <v>15</v>
      </c>
      <c r="F2349" s="22">
        <v>862531044660869</v>
      </c>
      <c r="M2349" s="2" t="s">
        <v>2924</v>
      </c>
      <c r="N2349" s="2" t="s">
        <v>1813</v>
      </c>
      <c r="O2349" s="18">
        <v>44440</v>
      </c>
    </row>
    <row r="2350" spans="1:15" hidden="1" outlineLevel="1">
      <c r="A2350" s="1">
        <v>16</v>
      </c>
      <c r="F2350" s="22">
        <v>862531044684109</v>
      </c>
      <c r="M2350" s="2" t="s">
        <v>2925</v>
      </c>
      <c r="N2350" s="2" t="s">
        <v>2911</v>
      </c>
      <c r="O2350" s="18">
        <v>44488</v>
      </c>
    </row>
    <row r="2351" spans="1:15" hidden="1" outlineLevel="1">
      <c r="A2351" s="1">
        <v>17</v>
      </c>
      <c r="F2351" s="22">
        <v>862531044660596</v>
      </c>
      <c r="M2351" s="2" t="s">
        <v>2926</v>
      </c>
      <c r="N2351" s="2" t="s">
        <v>1813</v>
      </c>
      <c r="O2351" s="18">
        <v>44440</v>
      </c>
    </row>
    <row r="2352" spans="1:15" hidden="1" outlineLevel="1">
      <c r="A2352" s="1">
        <v>18</v>
      </c>
      <c r="F2352" s="22">
        <v>862531044743012</v>
      </c>
      <c r="M2352" s="2" t="s">
        <v>2927</v>
      </c>
      <c r="N2352" s="2" t="s">
        <v>2928</v>
      </c>
      <c r="O2352" s="18">
        <v>44431</v>
      </c>
    </row>
    <row r="2353" spans="1:19" hidden="1" outlineLevel="1">
      <c r="A2353" s="1">
        <v>19</v>
      </c>
      <c r="F2353" s="22">
        <v>862531048138482</v>
      </c>
      <c r="M2353" s="2" t="s">
        <v>2929</v>
      </c>
      <c r="N2353" s="2" t="s">
        <v>2930</v>
      </c>
      <c r="O2353" s="18">
        <v>44487</v>
      </c>
    </row>
    <row r="2354" spans="1:19" hidden="1" outlineLevel="1">
      <c r="A2354" s="1">
        <v>20</v>
      </c>
      <c r="F2354" s="22">
        <v>862531044630631</v>
      </c>
      <c r="M2354" s="2" t="s">
        <v>2931</v>
      </c>
      <c r="N2354" s="2" t="s">
        <v>2932</v>
      </c>
      <c r="O2354" s="18">
        <v>44461</v>
      </c>
    </row>
    <row r="2355" spans="1:19" hidden="1" outlineLevel="1">
      <c r="A2355" s="8"/>
      <c r="B2355" s="58"/>
      <c r="C2355" s="159"/>
      <c r="D2355" s="8"/>
      <c r="E2355" s="8"/>
      <c r="F2355" s="9"/>
      <c r="G2355" s="8"/>
      <c r="H2355" s="8"/>
      <c r="I2355" s="8"/>
      <c r="J2355" s="58"/>
      <c r="K2355" s="8"/>
      <c r="L2355" s="58"/>
      <c r="M2355" s="8"/>
      <c r="N2355" s="8"/>
      <c r="O2355" s="58"/>
      <c r="P2355" s="8"/>
      <c r="Q2355" s="8"/>
      <c r="R2355" s="8"/>
      <c r="S2355" s="8"/>
    </row>
    <row r="2356" spans="1:19" hidden="1" outlineLevel="1">
      <c r="A2356" s="1">
        <v>1</v>
      </c>
      <c r="B2356" s="11">
        <v>44431</v>
      </c>
      <c r="C2356" s="160">
        <v>3365</v>
      </c>
      <c r="E2356" s="1" t="s">
        <v>275</v>
      </c>
      <c r="F2356" s="22">
        <v>353465071559296</v>
      </c>
      <c r="N2356" s="2" t="s">
        <v>2933</v>
      </c>
    </row>
    <row r="2357" spans="1:19" hidden="1" outlineLevel="1">
      <c r="A2357" s="1">
        <v>2</v>
      </c>
      <c r="F2357" s="22">
        <v>353465071568420</v>
      </c>
      <c r="N2357" s="2" t="s">
        <v>2933</v>
      </c>
    </row>
    <row r="2358" spans="1:19" hidden="1" outlineLevel="1">
      <c r="A2358" s="8"/>
      <c r="B2358" s="58"/>
      <c r="C2358" s="159"/>
      <c r="D2358" s="8"/>
      <c r="E2358" s="8"/>
      <c r="F2358" s="9"/>
      <c r="G2358" s="8"/>
      <c r="H2358" s="8"/>
      <c r="I2358" s="8"/>
      <c r="J2358" s="58"/>
      <c r="K2358" s="8"/>
      <c r="L2358" s="58"/>
      <c r="M2358" s="8"/>
      <c r="N2358" s="8"/>
      <c r="O2358" s="58"/>
      <c r="P2358" s="8"/>
      <c r="Q2358" s="8"/>
      <c r="R2358" s="8"/>
      <c r="S2358" s="8"/>
    </row>
    <row r="2359" spans="1:19" hidden="1" outlineLevel="1">
      <c r="A2359" s="1">
        <v>1</v>
      </c>
      <c r="B2359" s="11">
        <v>44433</v>
      </c>
      <c r="C2359" s="160">
        <v>3396</v>
      </c>
      <c r="E2359" s="1" t="s">
        <v>270</v>
      </c>
      <c r="F2359" s="22">
        <v>866854050164097</v>
      </c>
      <c r="M2359" s="2" t="s">
        <v>2934</v>
      </c>
      <c r="N2359" s="2" t="s">
        <v>2438</v>
      </c>
      <c r="O2359" s="18">
        <v>44439</v>
      </c>
      <c r="S2359" s="1">
        <v>1067</v>
      </c>
    </row>
    <row r="2360" spans="1:19" hidden="1" outlineLevel="1">
      <c r="A2360" s="1">
        <v>2</v>
      </c>
      <c r="F2360" s="22">
        <v>866854050184376</v>
      </c>
      <c r="M2360" s="2" t="s">
        <v>2935</v>
      </c>
      <c r="N2360" s="2" t="s">
        <v>2438</v>
      </c>
      <c r="O2360" s="18">
        <v>44439</v>
      </c>
      <c r="S2360" s="1">
        <v>1066</v>
      </c>
    </row>
    <row r="2361" spans="1:19" hidden="1" outlineLevel="1">
      <c r="A2361" s="1">
        <v>3</v>
      </c>
      <c r="F2361" s="22">
        <v>866854050164568</v>
      </c>
      <c r="M2361" s="2" t="s">
        <v>126</v>
      </c>
      <c r="N2361" s="2" t="s">
        <v>2936</v>
      </c>
      <c r="O2361" s="18">
        <v>44551</v>
      </c>
      <c r="S2361" s="1">
        <v>1778</v>
      </c>
    </row>
    <row r="2362" spans="1:19" hidden="1" outlineLevel="1">
      <c r="A2362" s="1">
        <v>4</v>
      </c>
      <c r="F2362" s="22">
        <v>866854050176356</v>
      </c>
      <c r="N2362" s="2" t="s">
        <v>2937</v>
      </c>
      <c r="O2362" s="18">
        <v>44445</v>
      </c>
      <c r="S2362" s="1">
        <v>5016</v>
      </c>
    </row>
    <row r="2363" spans="1:19" hidden="1" outlineLevel="1">
      <c r="A2363" s="1">
        <v>5</v>
      </c>
      <c r="F2363" s="22">
        <v>866854050165441</v>
      </c>
      <c r="M2363" s="2" t="s">
        <v>2938</v>
      </c>
      <c r="N2363" s="2" t="s">
        <v>2939</v>
      </c>
      <c r="O2363" s="18">
        <v>44463</v>
      </c>
      <c r="S2363" s="1">
        <v>1238</v>
      </c>
    </row>
    <row r="2364" spans="1:19" hidden="1" outlineLevel="1">
      <c r="A2364" s="8"/>
      <c r="B2364" s="58"/>
      <c r="C2364" s="159"/>
      <c r="D2364" s="8"/>
      <c r="E2364" s="8"/>
      <c r="F2364" s="9"/>
      <c r="G2364" s="8"/>
      <c r="H2364" s="8"/>
      <c r="I2364" s="8"/>
      <c r="J2364" s="58"/>
      <c r="K2364" s="8"/>
      <c r="L2364" s="58"/>
      <c r="M2364" s="8"/>
      <c r="N2364" s="8"/>
      <c r="O2364" s="58"/>
      <c r="P2364" s="8"/>
      <c r="Q2364" s="8"/>
      <c r="R2364" s="8"/>
      <c r="S2364" s="8"/>
    </row>
    <row r="2365" spans="1:19" hidden="1" outlineLevel="1">
      <c r="A2365" s="1">
        <v>1</v>
      </c>
      <c r="B2365" s="11">
        <v>44439</v>
      </c>
      <c r="C2365" s="160">
        <v>3488</v>
      </c>
      <c r="E2365" s="1" t="s">
        <v>229</v>
      </c>
      <c r="F2365" s="22">
        <v>862531047714150</v>
      </c>
    </row>
    <row r="2366" spans="1:19" hidden="1" outlineLevel="1">
      <c r="A2366" s="1">
        <v>2</v>
      </c>
      <c r="F2366" s="22">
        <v>862531047655460</v>
      </c>
    </row>
    <row r="2367" spans="1:19" hidden="1" outlineLevel="1">
      <c r="A2367" s="1">
        <v>3</v>
      </c>
      <c r="F2367" s="22">
        <v>862531047614293</v>
      </c>
      <c r="M2367" s="2" t="s">
        <v>2940</v>
      </c>
      <c r="N2367" s="2" t="s">
        <v>2941</v>
      </c>
      <c r="O2367" s="18">
        <v>44448</v>
      </c>
    </row>
    <row r="2368" spans="1:19" hidden="1" outlineLevel="1">
      <c r="A2368" s="1">
        <v>4</v>
      </c>
      <c r="F2368" s="22">
        <v>862531044635002</v>
      </c>
    </row>
    <row r="2369" spans="1:19" hidden="1" outlineLevel="1">
      <c r="A2369" s="1">
        <v>5</v>
      </c>
      <c r="F2369" s="22">
        <v>862531045428977</v>
      </c>
      <c r="M2369" s="2" t="s">
        <v>2942</v>
      </c>
      <c r="N2369" s="2" t="s">
        <v>2750</v>
      </c>
      <c r="O2369" s="18">
        <v>44442</v>
      </c>
    </row>
    <row r="2370" spans="1:19" hidden="1" outlineLevel="1">
      <c r="A2370" s="1">
        <v>6</v>
      </c>
      <c r="F2370" s="22">
        <v>862531047614863</v>
      </c>
      <c r="M2370" s="2" t="s">
        <v>2943</v>
      </c>
      <c r="N2370" s="2" t="s">
        <v>2322</v>
      </c>
      <c r="O2370" s="18">
        <v>44442</v>
      </c>
    </row>
    <row r="2371" spans="1:19" hidden="1" outlineLevel="1">
      <c r="A2371" s="1">
        <v>7</v>
      </c>
      <c r="F2371" s="22">
        <v>862531044640960</v>
      </c>
      <c r="M2371" s="2" t="s">
        <v>2944</v>
      </c>
      <c r="N2371" s="2" t="s">
        <v>2322</v>
      </c>
      <c r="O2371" s="18">
        <v>44442</v>
      </c>
    </row>
    <row r="2372" spans="1:19" hidden="1" outlineLevel="1">
      <c r="A2372" s="1">
        <v>8</v>
      </c>
      <c r="F2372" s="22">
        <v>862531047654240</v>
      </c>
      <c r="M2372" s="2" t="s">
        <v>2945</v>
      </c>
      <c r="N2372" s="2" t="s">
        <v>2322</v>
      </c>
      <c r="O2372" s="18">
        <v>44442</v>
      </c>
    </row>
    <row r="2373" spans="1:19" hidden="1" outlineLevel="1">
      <c r="A2373" s="1">
        <v>9</v>
      </c>
      <c r="F2373" s="22">
        <v>862531047653911</v>
      </c>
      <c r="M2373" s="2" t="s">
        <v>2946</v>
      </c>
      <c r="N2373" s="2" t="s">
        <v>2750</v>
      </c>
      <c r="O2373" s="18">
        <v>44442</v>
      </c>
    </row>
    <row r="2374" spans="1:19" hidden="1" outlineLevel="1">
      <c r="A2374" s="1">
        <v>10</v>
      </c>
      <c r="F2374" s="22">
        <v>862531044632207</v>
      </c>
      <c r="M2374" s="2" t="s">
        <v>2947</v>
      </c>
      <c r="N2374" s="2" t="s">
        <v>1813</v>
      </c>
      <c r="O2374" s="18">
        <v>44440</v>
      </c>
    </row>
    <row r="2375" spans="1:19" hidden="1" outlineLevel="1">
      <c r="A2375" s="1">
        <v>11</v>
      </c>
      <c r="F2375" s="22">
        <v>862531044636158</v>
      </c>
      <c r="M2375" s="2" t="s">
        <v>2948</v>
      </c>
      <c r="N2375" s="2" t="s">
        <v>1813</v>
      </c>
      <c r="O2375" s="18">
        <v>44440</v>
      </c>
    </row>
    <row r="2376" spans="1:19" hidden="1" outlineLevel="1">
      <c r="A2376" s="1">
        <v>12</v>
      </c>
      <c r="F2376" s="22">
        <v>862531044640275</v>
      </c>
      <c r="M2376" s="2" t="s">
        <v>2949</v>
      </c>
      <c r="N2376" s="2" t="s">
        <v>1813</v>
      </c>
      <c r="O2376" s="18">
        <v>44440</v>
      </c>
    </row>
    <row r="2377" spans="1:19" hidden="1" outlineLevel="1">
      <c r="A2377" s="1">
        <v>13</v>
      </c>
      <c r="F2377" s="22">
        <v>862531044647262</v>
      </c>
      <c r="M2377" s="2" t="s">
        <v>2950</v>
      </c>
      <c r="N2377" s="2" t="s">
        <v>1813</v>
      </c>
      <c r="O2377" s="18">
        <v>44440</v>
      </c>
    </row>
    <row r="2378" spans="1:19" hidden="1" outlineLevel="1">
      <c r="A2378" s="1">
        <v>14</v>
      </c>
      <c r="F2378" s="22">
        <v>862531044739929</v>
      </c>
      <c r="M2378" s="2" t="s">
        <v>2951</v>
      </c>
      <c r="N2378" s="2" t="s">
        <v>1813</v>
      </c>
      <c r="O2378" s="18">
        <v>44440</v>
      </c>
    </row>
    <row r="2379" spans="1:19" hidden="1" outlineLevel="1">
      <c r="A2379" s="1">
        <v>15</v>
      </c>
      <c r="F2379" s="22">
        <v>862531044740919</v>
      </c>
      <c r="M2379" s="2" t="s">
        <v>2952</v>
      </c>
      <c r="N2379" s="2" t="s">
        <v>1813</v>
      </c>
      <c r="O2379" s="18">
        <v>44440</v>
      </c>
    </row>
    <row r="2380" spans="1:19" hidden="1" outlineLevel="1">
      <c r="A2380" s="1">
        <v>16</v>
      </c>
      <c r="F2380" s="22">
        <v>862531047612164</v>
      </c>
      <c r="M2380" s="2" t="s">
        <v>2953</v>
      </c>
      <c r="N2380" s="2" t="s">
        <v>1813</v>
      </c>
      <c r="O2380" s="18">
        <v>44440</v>
      </c>
    </row>
    <row r="2381" spans="1:19" hidden="1" outlineLevel="1">
      <c r="A2381" s="1">
        <v>17</v>
      </c>
      <c r="F2381" s="22">
        <v>862531047657458</v>
      </c>
      <c r="M2381" s="2" t="s">
        <v>2954</v>
      </c>
      <c r="N2381" s="2" t="s">
        <v>1813</v>
      </c>
      <c r="O2381" s="18">
        <v>44440</v>
      </c>
    </row>
    <row r="2382" spans="1:19" hidden="1" outlineLevel="1">
      <c r="A2382" s="1">
        <v>18</v>
      </c>
      <c r="F2382" s="22">
        <v>862531047780706</v>
      </c>
      <c r="M2382" s="2" t="s">
        <v>2955</v>
      </c>
      <c r="N2382" s="2" t="s">
        <v>1813</v>
      </c>
      <c r="O2382" s="18">
        <v>44440</v>
      </c>
    </row>
    <row r="2383" spans="1:19" hidden="1" outlineLevel="1">
      <c r="A2383" s="1">
        <v>19</v>
      </c>
      <c r="F2383" s="22">
        <v>862531048120993</v>
      </c>
      <c r="M2383" s="2" t="s">
        <v>2956</v>
      </c>
      <c r="N2383" s="2" t="s">
        <v>1813</v>
      </c>
      <c r="O2383" s="18">
        <v>44440</v>
      </c>
    </row>
    <row r="2384" spans="1:19" hidden="1" outlineLevel="1">
      <c r="A2384" s="8"/>
      <c r="B2384" s="58"/>
      <c r="C2384" s="159"/>
      <c r="D2384" s="8"/>
      <c r="E2384" s="8"/>
      <c r="F2384" s="9"/>
      <c r="G2384" s="8"/>
      <c r="H2384" s="8"/>
      <c r="I2384" s="8"/>
      <c r="J2384" s="58"/>
      <c r="K2384" s="8"/>
      <c r="L2384" s="58"/>
      <c r="M2384" s="8"/>
      <c r="N2384" s="8"/>
      <c r="O2384" s="58"/>
      <c r="P2384" s="8"/>
      <c r="Q2384" s="8"/>
      <c r="R2384" s="8"/>
      <c r="S2384" s="8"/>
    </row>
    <row r="2385" spans="1:15" hidden="1" outlineLevel="1">
      <c r="A2385" s="1">
        <v>1</v>
      </c>
      <c r="B2385" s="11">
        <v>44445</v>
      </c>
      <c r="C2385" s="160">
        <v>3553</v>
      </c>
      <c r="E2385" s="1" t="s">
        <v>229</v>
      </c>
      <c r="F2385" s="22">
        <v>862531047681680</v>
      </c>
      <c r="M2385" s="2" t="s">
        <v>2957</v>
      </c>
      <c r="N2385" s="2" t="s">
        <v>1668</v>
      </c>
      <c r="O2385" s="18">
        <v>44452</v>
      </c>
    </row>
    <row r="2386" spans="1:15" hidden="1" outlineLevel="1">
      <c r="A2386" s="1">
        <v>2</v>
      </c>
      <c r="F2386" s="22">
        <v>862531047791943</v>
      </c>
      <c r="M2386" s="2" t="s">
        <v>2958</v>
      </c>
      <c r="N2386" s="2" t="s">
        <v>2959</v>
      </c>
      <c r="O2386" s="18">
        <v>44558</v>
      </c>
    </row>
    <row r="2387" spans="1:15" hidden="1" outlineLevel="1">
      <c r="A2387" s="1">
        <v>3</v>
      </c>
      <c r="F2387" s="22">
        <v>862531044612415</v>
      </c>
      <c r="G2387" s="4" t="s">
        <v>514</v>
      </c>
    </row>
    <row r="2388" spans="1:15" hidden="1" outlineLevel="1">
      <c r="A2388" s="1">
        <v>4</v>
      </c>
      <c r="F2388" s="22">
        <v>862531047748927</v>
      </c>
      <c r="M2388" s="2" t="s">
        <v>2960</v>
      </c>
      <c r="N2388" s="2" t="s">
        <v>2961</v>
      </c>
      <c r="O2388" s="18">
        <v>44543</v>
      </c>
    </row>
    <row r="2389" spans="1:15" hidden="1" outlineLevel="1">
      <c r="A2389" s="1">
        <v>5</v>
      </c>
      <c r="F2389" s="22">
        <v>862531047785986</v>
      </c>
      <c r="M2389" s="2" t="s">
        <v>2962</v>
      </c>
      <c r="N2389" s="2" t="s">
        <v>1347</v>
      </c>
      <c r="O2389" s="18">
        <v>44454</v>
      </c>
    </row>
    <row r="2390" spans="1:15" hidden="1" outlineLevel="1">
      <c r="A2390" s="1">
        <v>6</v>
      </c>
      <c r="F2390" s="22">
        <v>862531047686341</v>
      </c>
      <c r="M2390" s="2" t="s">
        <v>2963</v>
      </c>
      <c r="N2390" s="2" t="s">
        <v>2961</v>
      </c>
      <c r="O2390" s="18">
        <v>44551</v>
      </c>
    </row>
    <row r="2391" spans="1:15" hidden="1" outlineLevel="1">
      <c r="A2391" s="1">
        <v>7</v>
      </c>
      <c r="F2391" s="22">
        <v>862531047751046</v>
      </c>
      <c r="M2391" s="2" t="s">
        <v>2964</v>
      </c>
      <c r="N2391" s="2" t="s">
        <v>2699</v>
      </c>
      <c r="O2391" s="18">
        <v>44455</v>
      </c>
    </row>
    <row r="2392" spans="1:15" hidden="1" outlineLevel="1">
      <c r="A2392" s="1">
        <v>8</v>
      </c>
      <c r="F2392" s="22">
        <v>862531047742235</v>
      </c>
      <c r="M2392" s="2" t="s">
        <v>2965</v>
      </c>
      <c r="N2392" s="2" t="s">
        <v>2784</v>
      </c>
      <c r="O2392" s="18">
        <v>44460</v>
      </c>
    </row>
    <row r="2393" spans="1:15" hidden="1" outlineLevel="1">
      <c r="A2393" s="1">
        <v>9</v>
      </c>
      <c r="F2393" s="22">
        <v>862531047705026</v>
      </c>
      <c r="M2393" s="2" t="s">
        <v>2966</v>
      </c>
      <c r="N2393" s="2" t="s">
        <v>2967</v>
      </c>
      <c r="O2393" s="18">
        <v>44449</v>
      </c>
    </row>
    <row r="2394" spans="1:15" hidden="1" outlineLevel="1">
      <c r="A2394" s="1">
        <v>10</v>
      </c>
      <c r="F2394" s="22">
        <v>862531047683819</v>
      </c>
      <c r="M2394" s="2" t="s">
        <v>2968</v>
      </c>
      <c r="N2394" s="2" t="s">
        <v>2967</v>
      </c>
      <c r="O2394" s="18">
        <v>44449</v>
      </c>
    </row>
    <row r="2395" spans="1:15" hidden="1" outlineLevel="1">
      <c r="A2395" s="1">
        <v>11</v>
      </c>
      <c r="F2395" s="22">
        <v>862531047686283</v>
      </c>
      <c r="M2395" s="2" t="s">
        <v>2969</v>
      </c>
      <c r="N2395" s="2" t="s">
        <v>1813</v>
      </c>
      <c r="O2395" s="18">
        <v>44446</v>
      </c>
    </row>
    <row r="2396" spans="1:15" hidden="1" outlineLevel="1">
      <c r="A2396" s="1">
        <v>12</v>
      </c>
      <c r="F2396" s="22">
        <v>862531047742185</v>
      </c>
      <c r="M2396" s="2" t="s">
        <v>2970</v>
      </c>
      <c r="N2396" s="2" t="s">
        <v>1813</v>
      </c>
      <c r="O2396" s="18">
        <v>44446</v>
      </c>
    </row>
    <row r="2397" spans="1:15" hidden="1" outlineLevel="1">
      <c r="A2397" s="1">
        <v>13</v>
      </c>
      <c r="F2397" s="22">
        <v>862531047719191</v>
      </c>
      <c r="M2397" s="2" t="s">
        <v>2971</v>
      </c>
      <c r="N2397" s="2" t="s">
        <v>1813</v>
      </c>
      <c r="O2397" s="18">
        <v>44446</v>
      </c>
    </row>
    <row r="2398" spans="1:15" hidden="1" outlineLevel="1">
      <c r="A2398" s="1">
        <v>14</v>
      </c>
      <c r="F2398" s="22">
        <v>862531047681912</v>
      </c>
      <c r="M2398" s="2" t="s">
        <v>2972</v>
      </c>
      <c r="N2398" s="2" t="s">
        <v>1813</v>
      </c>
      <c r="O2398" s="18">
        <v>44446</v>
      </c>
    </row>
    <row r="2399" spans="1:15" hidden="1" outlineLevel="1">
      <c r="A2399" s="1">
        <v>15</v>
      </c>
      <c r="F2399" s="22">
        <v>862531047751921</v>
      </c>
      <c r="M2399" s="2" t="s">
        <v>2973</v>
      </c>
      <c r="N2399" s="2" t="s">
        <v>1813</v>
      </c>
      <c r="O2399" s="18">
        <v>44446</v>
      </c>
    </row>
    <row r="2400" spans="1:15" hidden="1" outlineLevel="1">
      <c r="A2400" s="1">
        <v>16</v>
      </c>
      <c r="F2400" s="22">
        <v>862531047710984</v>
      </c>
      <c r="M2400" s="2" t="s">
        <v>2974</v>
      </c>
      <c r="N2400" s="2" t="s">
        <v>1813</v>
      </c>
      <c r="O2400" s="18">
        <v>44446</v>
      </c>
    </row>
    <row r="2401" spans="1:15" hidden="1" outlineLevel="1">
      <c r="A2401" s="1">
        <v>17</v>
      </c>
      <c r="F2401" s="22">
        <v>862531047712832</v>
      </c>
      <c r="M2401" s="2">
        <v>862531047712832</v>
      </c>
      <c r="N2401" s="2" t="s">
        <v>1813</v>
      </c>
      <c r="O2401" s="18">
        <v>44446</v>
      </c>
    </row>
    <row r="2402" spans="1:15" hidden="1" outlineLevel="1">
      <c r="A2402" s="1">
        <v>18</v>
      </c>
      <c r="F2402" s="22">
        <v>862531047782314</v>
      </c>
      <c r="M2402" s="2" t="s">
        <v>2975</v>
      </c>
      <c r="N2402" s="2" t="s">
        <v>1813</v>
      </c>
      <c r="O2402" s="18">
        <v>44446</v>
      </c>
    </row>
    <row r="2403" spans="1:15" hidden="1" outlineLevel="1">
      <c r="A2403" s="1">
        <v>19</v>
      </c>
      <c r="F2403" s="22">
        <v>862531047727871</v>
      </c>
      <c r="M2403" s="2" t="s">
        <v>2976</v>
      </c>
      <c r="N2403" s="2" t="s">
        <v>1813</v>
      </c>
      <c r="O2403" s="18">
        <v>44446</v>
      </c>
    </row>
    <row r="2404" spans="1:15" hidden="1" outlineLevel="1">
      <c r="A2404" s="1">
        <v>20</v>
      </c>
      <c r="F2404" s="22">
        <v>862531047681896</v>
      </c>
      <c r="M2404" s="2" t="s">
        <v>2977</v>
      </c>
      <c r="N2404" s="2" t="s">
        <v>1813</v>
      </c>
      <c r="O2404" s="18">
        <v>44446</v>
      </c>
    </row>
    <row r="2405" spans="1:15" hidden="1" outlineLevel="1">
      <c r="A2405" s="1">
        <v>21</v>
      </c>
      <c r="E2405" s="1" t="s">
        <v>176</v>
      </c>
      <c r="F2405" s="22">
        <v>862531048107628</v>
      </c>
      <c r="M2405" s="2" t="s">
        <v>2978</v>
      </c>
      <c r="N2405" s="2" t="s">
        <v>863</v>
      </c>
      <c r="O2405" s="18">
        <v>44469</v>
      </c>
    </row>
    <row r="2406" spans="1:15" hidden="1" outlineLevel="1">
      <c r="A2406" s="1">
        <v>22</v>
      </c>
      <c r="F2406" s="22">
        <v>862531048056338</v>
      </c>
      <c r="M2406" s="2" t="s">
        <v>2979</v>
      </c>
      <c r="N2406" s="2" t="s">
        <v>2980</v>
      </c>
      <c r="O2406" s="18">
        <v>44480</v>
      </c>
    </row>
    <row r="2407" spans="1:15" hidden="1" outlineLevel="1">
      <c r="A2407" s="1">
        <v>23</v>
      </c>
      <c r="F2407" s="22">
        <v>862531048106901</v>
      </c>
      <c r="M2407" s="2" t="s">
        <v>2981</v>
      </c>
      <c r="N2407" s="2" t="s">
        <v>1454</v>
      </c>
      <c r="O2407" s="18">
        <v>44477</v>
      </c>
    </row>
    <row r="2408" spans="1:15" hidden="1" outlineLevel="1">
      <c r="A2408" s="1">
        <v>24</v>
      </c>
      <c r="F2408" s="22">
        <v>862531048107511</v>
      </c>
      <c r="M2408" s="2" t="s">
        <v>2982</v>
      </c>
      <c r="N2408" s="2" t="s">
        <v>2662</v>
      </c>
      <c r="O2408" s="18">
        <v>42475</v>
      </c>
    </row>
    <row r="2409" spans="1:15" hidden="1" outlineLevel="1">
      <c r="A2409" s="1">
        <v>25</v>
      </c>
      <c r="F2409" s="22">
        <v>862531048047337</v>
      </c>
      <c r="M2409" s="2" t="s">
        <v>2983</v>
      </c>
      <c r="N2409" s="2" t="s">
        <v>2813</v>
      </c>
      <c r="O2409" s="18">
        <v>44459</v>
      </c>
    </row>
    <row r="2410" spans="1:15" hidden="1" outlineLevel="1">
      <c r="A2410" s="1">
        <v>26</v>
      </c>
      <c r="F2410" s="22">
        <v>862531048049127</v>
      </c>
      <c r="M2410" s="2" t="s">
        <v>2984</v>
      </c>
      <c r="N2410" s="2" t="s">
        <v>2662</v>
      </c>
      <c r="O2410" s="18">
        <v>44457</v>
      </c>
    </row>
    <row r="2411" spans="1:15" hidden="1" outlineLevel="1">
      <c r="A2411" s="1">
        <v>27</v>
      </c>
      <c r="F2411" s="22">
        <v>862531048048566</v>
      </c>
      <c r="M2411" s="2" t="s">
        <v>2985</v>
      </c>
      <c r="N2411" s="2" t="s">
        <v>2662</v>
      </c>
      <c r="O2411" s="18">
        <v>44457</v>
      </c>
    </row>
    <row r="2412" spans="1:15" hidden="1" outlineLevel="1">
      <c r="A2412" s="1">
        <v>28</v>
      </c>
      <c r="F2412" s="22">
        <v>862531048107685</v>
      </c>
      <c r="M2412" s="2" t="s">
        <v>2986</v>
      </c>
      <c r="N2412" s="2" t="s">
        <v>2662</v>
      </c>
      <c r="O2412" s="18">
        <v>44457</v>
      </c>
    </row>
    <row r="2413" spans="1:15" hidden="1" outlineLevel="1">
      <c r="A2413" s="1">
        <v>29</v>
      </c>
      <c r="F2413" s="22">
        <v>862531047731998</v>
      </c>
      <c r="M2413" s="2" t="s">
        <v>2987</v>
      </c>
      <c r="N2413" s="2" t="s">
        <v>1929</v>
      </c>
      <c r="O2413" s="18">
        <v>44477</v>
      </c>
    </row>
    <row r="2414" spans="1:15" hidden="1" outlineLevel="1">
      <c r="A2414" s="1">
        <v>30</v>
      </c>
      <c r="F2414" s="22">
        <v>862531044727494</v>
      </c>
      <c r="M2414" s="2" t="s">
        <v>2988</v>
      </c>
      <c r="N2414" s="2" t="s">
        <v>2989</v>
      </c>
      <c r="O2414" s="18">
        <v>44467</v>
      </c>
    </row>
    <row r="2415" spans="1:15" hidden="1" outlineLevel="1">
      <c r="A2415" s="1">
        <v>31</v>
      </c>
      <c r="F2415" s="22">
        <v>862531047684122</v>
      </c>
      <c r="M2415" s="2" t="s">
        <v>2990</v>
      </c>
      <c r="N2415" s="2" t="s">
        <v>224</v>
      </c>
      <c r="O2415" s="18">
        <v>44466</v>
      </c>
    </row>
    <row r="2416" spans="1:15" hidden="1" outlineLevel="1">
      <c r="A2416" s="1">
        <v>32</v>
      </c>
      <c r="F2416" s="22">
        <v>862531048055207</v>
      </c>
      <c r="M2416" s="2" t="s">
        <v>2991</v>
      </c>
      <c r="N2416" s="2" t="s">
        <v>1632</v>
      </c>
      <c r="O2416" s="18">
        <v>44466</v>
      </c>
    </row>
    <row r="2417" spans="1:19" hidden="1" outlineLevel="1">
      <c r="A2417" s="1">
        <v>33</v>
      </c>
      <c r="F2417" s="22">
        <v>862531048049051</v>
      </c>
      <c r="M2417" s="2" t="s">
        <v>2992</v>
      </c>
      <c r="N2417" s="2" t="s">
        <v>863</v>
      </c>
      <c r="O2417" s="18">
        <v>44475</v>
      </c>
    </row>
    <row r="2418" spans="1:19" hidden="1" outlineLevel="1">
      <c r="A2418" s="1">
        <v>34</v>
      </c>
      <c r="F2418" s="22">
        <v>862531048133921</v>
      </c>
      <c r="M2418" s="2" t="s">
        <v>2993</v>
      </c>
      <c r="N2418" s="2" t="s">
        <v>2651</v>
      </c>
      <c r="O2418" s="18">
        <v>41603</v>
      </c>
    </row>
    <row r="2419" spans="1:19" hidden="1" outlineLevel="1">
      <c r="A2419" s="1">
        <v>35</v>
      </c>
      <c r="F2419" s="22">
        <v>862531047661591</v>
      </c>
      <c r="G2419" s="4" t="s">
        <v>515</v>
      </c>
      <c r="M2419" s="2" t="s">
        <v>2994</v>
      </c>
      <c r="N2419" s="2" t="s">
        <v>2995</v>
      </c>
      <c r="O2419" s="18">
        <v>44607</v>
      </c>
      <c r="S2419" s="1" t="s">
        <v>758</v>
      </c>
    </row>
    <row r="2420" spans="1:19" hidden="1" outlineLevel="1">
      <c r="A2420" s="1">
        <v>36</v>
      </c>
      <c r="F2420" s="22">
        <v>862531044608736</v>
      </c>
      <c r="M2420" s="2" t="s">
        <v>2996</v>
      </c>
      <c r="N2420" s="2" t="s">
        <v>968</v>
      </c>
      <c r="O2420" s="18">
        <v>44480</v>
      </c>
    </row>
    <row r="2421" spans="1:19" hidden="1" outlineLevel="1">
      <c r="A2421" s="1">
        <v>37</v>
      </c>
      <c r="F2421" s="22">
        <v>862531047646303</v>
      </c>
      <c r="M2421" s="2" t="s">
        <v>2997</v>
      </c>
      <c r="N2421" s="2" t="s">
        <v>1522</v>
      </c>
      <c r="O2421" s="18">
        <v>44468</v>
      </c>
    </row>
    <row r="2422" spans="1:19" hidden="1" outlineLevel="1">
      <c r="A2422" s="1">
        <v>38</v>
      </c>
      <c r="F2422" s="22">
        <v>862531048045398</v>
      </c>
      <c r="M2422" s="2" t="s">
        <v>2998</v>
      </c>
      <c r="N2422" s="2" t="s">
        <v>1632</v>
      </c>
      <c r="O2422" s="18">
        <v>44466</v>
      </c>
    </row>
    <row r="2423" spans="1:19" hidden="1" outlineLevel="1">
      <c r="A2423" s="1">
        <v>39</v>
      </c>
      <c r="F2423" s="22">
        <v>862531047626255</v>
      </c>
      <c r="M2423" s="2" t="s">
        <v>2999</v>
      </c>
      <c r="N2423" s="2" t="s">
        <v>1454</v>
      </c>
      <c r="O2423" s="18">
        <v>44455</v>
      </c>
    </row>
    <row r="2424" spans="1:19" hidden="1" outlineLevel="1">
      <c r="A2424" s="1">
        <v>40</v>
      </c>
      <c r="F2424" s="22">
        <v>862531047713293</v>
      </c>
      <c r="M2424" s="2" t="s">
        <v>3000</v>
      </c>
      <c r="N2424" s="2" t="s">
        <v>3001</v>
      </c>
      <c r="O2424" s="18">
        <v>44457</v>
      </c>
    </row>
    <row r="2425" spans="1:19" hidden="1" outlineLevel="1">
      <c r="A2425" s="1">
        <v>41</v>
      </c>
      <c r="F2425" s="22">
        <v>862531048055744</v>
      </c>
      <c r="M2425" s="2" t="s">
        <v>3002</v>
      </c>
      <c r="N2425" s="2" t="s">
        <v>267</v>
      </c>
      <c r="O2425" s="18">
        <v>44449</v>
      </c>
    </row>
    <row r="2426" spans="1:19" hidden="1" outlineLevel="1">
      <c r="A2426" s="1">
        <v>42</v>
      </c>
      <c r="F2426" s="22">
        <v>862531048054762</v>
      </c>
      <c r="M2426" s="2" t="s">
        <v>3003</v>
      </c>
      <c r="N2426" s="2" t="s">
        <v>1454</v>
      </c>
      <c r="O2426" s="18">
        <v>44456</v>
      </c>
    </row>
    <row r="2427" spans="1:19" hidden="1" outlineLevel="1">
      <c r="A2427" s="1">
        <v>43</v>
      </c>
      <c r="F2427" s="22">
        <v>862531044614650</v>
      </c>
      <c r="M2427" s="2" t="s">
        <v>1591</v>
      </c>
      <c r="N2427" s="2" t="s">
        <v>1454</v>
      </c>
      <c r="O2427" s="18">
        <v>44456</v>
      </c>
    </row>
    <row r="2428" spans="1:19" hidden="1" outlineLevel="1">
      <c r="A2428" s="1">
        <v>44</v>
      </c>
      <c r="F2428" s="22">
        <v>862531047626222</v>
      </c>
      <c r="M2428" s="2" t="s">
        <v>3004</v>
      </c>
      <c r="N2428" s="2" t="s">
        <v>1454</v>
      </c>
      <c r="O2428" s="18">
        <v>44455</v>
      </c>
    </row>
    <row r="2429" spans="1:19" hidden="1" outlineLevel="1">
      <c r="A2429" s="1">
        <v>45</v>
      </c>
      <c r="F2429" s="22">
        <v>862531047703617</v>
      </c>
      <c r="M2429" s="2" t="s">
        <v>3005</v>
      </c>
      <c r="N2429" s="2" t="s">
        <v>3006</v>
      </c>
      <c r="O2429" s="18">
        <v>44456</v>
      </c>
    </row>
    <row r="2430" spans="1:19" hidden="1" outlineLevel="1">
      <c r="A2430" s="1">
        <v>46</v>
      </c>
      <c r="F2430" s="22">
        <v>862531044674811</v>
      </c>
      <c r="M2430" s="2" t="s">
        <v>3007</v>
      </c>
      <c r="N2430" s="2" t="s">
        <v>2662</v>
      </c>
      <c r="O2430" s="18">
        <v>44457</v>
      </c>
    </row>
    <row r="2431" spans="1:19" hidden="1" outlineLevel="1">
      <c r="A2431" s="1">
        <v>47</v>
      </c>
      <c r="F2431" s="22">
        <v>862531047714044</v>
      </c>
      <c r="M2431" s="2" t="s">
        <v>3008</v>
      </c>
      <c r="N2431" s="2" t="s">
        <v>2662</v>
      </c>
      <c r="O2431" s="18">
        <v>44457</v>
      </c>
    </row>
    <row r="2432" spans="1:19" hidden="1" outlineLevel="1">
      <c r="A2432" s="1">
        <v>48</v>
      </c>
      <c r="F2432" s="22">
        <v>862531044685296</v>
      </c>
      <c r="M2432" s="2" t="s">
        <v>3009</v>
      </c>
      <c r="N2432" s="2" t="s">
        <v>267</v>
      </c>
      <c r="O2432" s="18">
        <v>44449</v>
      </c>
    </row>
    <row r="2433" spans="1:19" hidden="1" outlineLevel="1">
      <c r="A2433" s="1">
        <v>49</v>
      </c>
      <c r="F2433" s="22">
        <v>862531047713301</v>
      </c>
      <c r="M2433" s="2" t="s">
        <v>3010</v>
      </c>
      <c r="N2433" s="2" t="s">
        <v>1929</v>
      </c>
      <c r="O2433" s="18">
        <v>44459</v>
      </c>
    </row>
    <row r="2434" spans="1:19" hidden="1" outlineLevel="1">
      <c r="A2434" s="1">
        <v>50</v>
      </c>
      <c r="F2434" s="22">
        <v>862531047717724</v>
      </c>
      <c r="M2434" s="2" t="s">
        <v>3011</v>
      </c>
      <c r="N2434" s="2" t="s">
        <v>1632</v>
      </c>
      <c r="O2434" s="18">
        <v>44466</v>
      </c>
    </row>
    <row r="2435" spans="1:19" hidden="1" outlineLevel="1">
      <c r="A2435" s="8"/>
      <c r="B2435" s="58"/>
      <c r="C2435" s="159"/>
      <c r="D2435" s="8"/>
      <c r="E2435" s="8"/>
      <c r="F2435" s="9"/>
      <c r="G2435" s="8"/>
      <c r="H2435" s="8"/>
      <c r="I2435" s="8"/>
      <c r="J2435" s="58"/>
      <c r="K2435" s="8"/>
      <c r="L2435" s="58"/>
      <c r="M2435" s="8"/>
      <c r="N2435" s="8"/>
      <c r="O2435" s="58"/>
      <c r="P2435" s="8"/>
      <c r="Q2435" s="8"/>
      <c r="R2435" s="8"/>
      <c r="S2435" s="8"/>
    </row>
    <row r="2436" spans="1:19" hidden="1" outlineLevel="1">
      <c r="A2436" s="1">
        <v>1</v>
      </c>
      <c r="B2436" s="11">
        <v>44452</v>
      </c>
      <c r="C2436" s="160">
        <v>3616</v>
      </c>
      <c r="E2436" s="1" t="s">
        <v>608</v>
      </c>
      <c r="F2436" s="22">
        <v>862531043101261</v>
      </c>
      <c r="M2436" s="2" t="s">
        <v>3012</v>
      </c>
      <c r="N2436" s="2" t="s">
        <v>1487</v>
      </c>
      <c r="O2436" s="18">
        <v>41367</v>
      </c>
    </row>
    <row r="2437" spans="1:19" hidden="1" outlineLevel="1">
      <c r="A2437" s="1">
        <v>2</v>
      </c>
      <c r="F2437" s="22">
        <v>862531043219378</v>
      </c>
      <c r="M2437" s="2">
        <v>862531043219378</v>
      </c>
      <c r="N2437" s="2" t="s">
        <v>1569</v>
      </c>
      <c r="O2437" s="18">
        <v>44477</v>
      </c>
    </row>
    <row r="2438" spans="1:19" hidden="1" outlineLevel="1">
      <c r="A2438" s="1">
        <v>3</v>
      </c>
      <c r="F2438" s="22">
        <v>862531043201806</v>
      </c>
      <c r="M2438" s="2">
        <v>862531043201806</v>
      </c>
      <c r="N2438" s="2" t="s">
        <v>3013</v>
      </c>
      <c r="O2438" s="18">
        <v>44481</v>
      </c>
    </row>
    <row r="2439" spans="1:19" hidden="1" outlineLevel="1">
      <c r="A2439" s="1">
        <v>4</v>
      </c>
      <c r="F2439" s="22">
        <v>862531043101816</v>
      </c>
      <c r="M2439" s="2">
        <v>862531043101816</v>
      </c>
      <c r="N2439" s="2" t="s">
        <v>1569</v>
      </c>
      <c r="O2439" s="18">
        <v>44477</v>
      </c>
    </row>
    <row r="2440" spans="1:19" hidden="1" outlineLevel="1">
      <c r="A2440" s="1">
        <v>5</v>
      </c>
      <c r="F2440" s="22">
        <v>862531044538248</v>
      </c>
      <c r="M2440" s="2">
        <v>862531044538248</v>
      </c>
      <c r="N2440" s="2" t="s">
        <v>1569</v>
      </c>
      <c r="O2440" s="18">
        <v>44477</v>
      </c>
    </row>
    <row r="2441" spans="1:19" hidden="1" outlineLevel="1">
      <c r="A2441" s="1">
        <v>6</v>
      </c>
      <c r="F2441" s="22">
        <v>862531043122986</v>
      </c>
      <c r="M2441" s="2" t="s">
        <v>3014</v>
      </c>
      <c r="N2441" s="2" t="s">
        <v>2750</v>
      </c>
      <c r="O2441" s="18">
        <v>44469</v>
      </c>
    </row>
    <row r="2442" spans="1:19" hidden="1" outlineLevel="1">
      <c r="A2442" s="1">
        <v>7</v>
      </c>
      <c r="F2442" s="22">
        <v>862531044519560</v>
      </c>
      <c r="M2442" s="2" t="s">
        <v>3015</v>
      </c>
      <c r="N2442" s="2" t="s">
        <v>2701</v>
      </c>
      <c r="O2442" s="18">
        <v>44461</v>
      </c>
    </row>
    <row r="2443" spans="1:19" hidden="1" outlineLevel="1">
      <c r="A2443" s="1">
        <v>8</v>
      </c>
      <c r="F2443" s="22">
        <v>862531047771994</v>
      </c>
      <c r="M2443" s="2">
        <v>862531047771994</v>
      </c>
      <c r="N2443" s="2" t="s">
        <v>1569</v>
      </c>
      <c r="O2443" s="18">
        <v>44477</v>
      </c>
    </row>
    <row r="2444" spans="1:19" hidden="1" outlineLevel="1">
      <c r="A2444" s="1">
        <v>9</v>
      </c>
      <c r="F2444" s="22">
        <v>862531047619243</v>
      </c>
      <c r="M2444" s="2" t="s">
        <v>3016</v>
      </c>
      <c r="N2444" s="2" t="s">
        <v>2699</v>
      </c>
      <c r="O2444" s="18">
        <v>44474</v>
      </c>
    </row>
    <row r="2445" spans="1:19" hidden="1" outlineLevel="1">
      <c r="A2445" s="1">
        <v>10</v>
      </c>
      <c r="F2445" s="22">
        <v>862531043189811</v>
      </c>
      <c r="M2445" s="2" t="s">
        <v>3017</v>
      </c>
      <c r="N2445" s="2" t="s">
        <v>2750</v>
      </c>
      <c r="O2445" s="18">
        <v>44463</v>
      </c>
    </row>
    <row r="2446" spans="1:19" hidden="1" outlineLevel="1">
      <c r="A2446" s="1">
        <v>11</v>
      </c>
      <c r="F2446" s="22">
        <v>862531045434363</v>
      </c>
      <c r="M2446" s="2" t="s">
        <v>3018</v>
      </c>
      <c r="N2446" s="2" t="s">
        <v>126</v>
      </c>
      <c r="O2446" s="18">
        <v>44456</v>
      </c>
    </row>
    <row r="2447" spans="1:19" hidden="1" outlineLevel="1">
      <c r="A2447" s="1">
        <v>12</v>
      </c>
      <c r="F2447" s="22">
        <v>862531044515824</v>
      </c>
      <c r="M2447" s="2" t="s">
        <v>3019</v>
      </c>
      <c r="N2447" s="2" t="s">
        <v>1668</v>
      </c>
      <c r="O2447" s="18">
        <v>44475</v>
      </c>
    </row>
    <row r="2448" spans="1:19" hidden="1" outlineLevel="1">
      <c r="A2448" s="1">
        <v>13</v>
      </c>
      <c r="F2448" s="22">
        <v>862531047619342</v>
      </c>
      <c r="M2448" s="2" t="s">
        <v>3020</v>
      </c>
      <c r="N2448" s="2" t="s">
        <v>2389</v>
      </c>
      <c r="O2448" s="18">
        <v>44475</v>
      </c>
    </row>
    <row r="2449" spans="1:19" hidden="1" outlineLevel="1">
      <c r="A2449" s="1">
        <v>14</v>
      </c>
      <c r="F2449" s="22">
        <v>862531047641312</v>
      </c>
      <c r="M2449" s="2" t="s">
        <v>3021</v>
      </c>
      <c r="N2449" s="2" t="s">
        <v>3022</v>
      </c>
      <c r="O2449" s="18">
        <v>44481</v>
      </c>
    </row>
    <row r="2450" spans="1:19" hidden="1" outlineLevel="1">
      <c r="A2450" s="1">
        <v>15</v>
      </c>
      <c r="F2450" s="22">
        <v>862531045452019</v>
      </c>
      <c r="M2450" s="2" t="s">
        <v>3023</v>
      </c>
      <c r="N2450" s="2" t="s">
        <v>1775</v>
      </c>
      <c r="O2450" s="18">
        <v>44461</v>
      </c>
    </row>
    <row r="2451" spans="1:19" hidden="1" outlineLevel="1">
      <c r="A2451" s="1">
        <v>16</v>
      </c>
      <c r="F2451" s="22">
        <v>862531044585132</v>
      </c>
      <c r="M2451" s="2" t="s">
        <v>3024</v>
      </c>
      <c r="N2451" s="2" t="s">
        <v>1322</v>
      </c>
      <c r="O2451" s="18">
        <v>41743</v>
      </c>
    </row>
    <row r="2452" spans="1:19" hidden="1" outlineLevel="1">
      <c r="A2452" s="1">
        <v>17</v>
      </c>
      <c r="F2452" s="22">
        <v>862531047619375</v>
      </c>
      <c r="M2452" s="2" t="s">
        <v>3025</v>
      </c>
      <c r="N2452" s="2" t="s">
        <v>1322</v>
      </c>
      <c r="O2452" s="18">
        <v>41732</v>
      </c>
    </row>
    <row r="2453" spans="1:19" hidden="1" outlineLevel="1">
      <c r="A2453" s="1">
        <v>18</v>
      </c>
      <c r="F2453" s="22">
        <v>862531043100867</v>
      </c>
      <c r="M2453" s="2">
        <v>862531043100867</v>
      </c>
      <c r="N2453" s="2" t="s">
        <v>1569</v>
      </c>
      <c r="O2453" s="18">
        <v>44477</v>
      </c>
    </row>
    <row r="2454" spans="1:19" hidden="1" outlineLevel="1">
      <c r="A2454" s="1">
        <v>19</v>
      </c>
      <c r="F2454" s="22">
        <v>862531044584150</v>
      </c>
      <c r="M2454" s="2" t="s">
        <v>3026</v>
      </c>
      <c r="N2454" s="2" t="s">
        <v>3027</v>
      </c>
      <c r="O2454" s="18">
        <v>44487</v>
      </c>
    </row>
    <row r="2455" spans="1:19" hidden="1" outlineLevel="1">
      <c r="A2455" s="1">
        <v>20</v>
      </c>
      <c r="F2455" s="22">
        <v>862531043101360</v>
      </c>
      <c r="M2455" s="2" t="s">
        <v>3028</v>
      </c>
      <c r="N2455" s="2" t="s">
        <v>3029</v>
      </c>
      <c r="O2455" s="18">
        <v>44463</v>
      </c>
    </row>
    <row r="2456" spans="1:19" hidden="1" outlineLevel="1">
      <c r="A2456" s="8"/>
      <c r="B2456" s="58"/>
      <c r="C2456" s="159"/>
      <c r="D2456" s="8"/>
      <c r="E2456" s="8"/>
      <c r="F2456" s="9"/>
      <c r="G2456" s="8"/>
      <c r="H2456" s="8"/>
      <c r="I2456" s="8"/>
      <c r="J2456" s="58"/>
      <c r="K2456" s="8"/>
      <c r="L2456" s="58"/>
      <c r="M2456" s="8"/>
      <c r="N2456" s="8"/>
      <c r="O2456" s="58"/>
      <c r="P2456" s="8"/>
      <c r="Q2456" s="8"/>
      <c r="R2456" s="8"/>
      <c r="S2456" s="8"/>
    </row>
    <row r="2457" spans="1:19" hidden="1" outlineLevel="1">
      <c r="A2457" s="1">
        <v>1</v>
      </c>
      <c r="B2457" s="11">
        <v>44477</v>
      </c>
      <c r="C2457" s="160">
        <v>4076</v>
      </c>
      <c r="E2457" s="1" t="s">
        <v>609</v>
      </c>
      <c r="F2457" s="22">
        <v>862531041300089</v>
      </c>
      <c r="M2457" s="2" t="s">
        <v>3030</v>
      </c>
      <c r="N2457" s="2" t="s">
        <v>2859</v>
      </c>
      <c r="O2457" s="18">
        <v>44505</v>
      </c>
      <c r="S2457" s="1" t="s">
        <v>759</v>
      </c>
    </row>
    <row r="2458" spans="1:19" hidden="1" outlineLevel="1">
      <c r="A2458" s="1">
        <v>2</v>
      </c>
      <c r="F2458" s="22">
        <v>862531041249294</v>
      </c>
      <c r="G2458" s="4" t="s">
        <v>177</v>
      </c>
      <c r="M2458" s="2" t="s">
        <v>3031</v>
      </c>
      <c r="N2458" s="2" t="s">
        <v>3032</v>
      </c>
      <c r="O2458" s="18">
        <v>44623</v>
      </c>
    </row>
    <row r="2459" spans="1:19" hidden="1" outlineLevel="1">
      <c r="A2459" s="1">
        <v>3</v>
      </c>
      <c r="F2459" s="22">
        <v>862531041264988</v>
      </c>
      <c r="M2459" s="2" t="s">
        <v>3033</v>
      </c>
      <c r="N2459" s="2" t="s">
        <v>2861</v>
      </c>
      <c r="O2459" s="18">
        <v>44489</v>
      </c>
      <c r="S2459" s="1" t="s">
        <v>760</v>
      </c>
    </row>
    <row r="2460" spans="1:19" hidden="1" outlineLevel="1">
      <c r="A2460" s="1">
        <v>4</v>
      </c>
      <c r="F2460" s="22">
        <v>862531041265134</v>
      </c>
      <c r="G2460" s="4" t="s">
        <v>177</v>
      </c>
    </row>
    <row r="2461" spans="1:19" hidden="1" outlineLevel="1">
      <c r="A2461" s="1">
        <v>5</v>
      </c>
      <c r="F2461" s="22">
        <v>862531041339905</v>
      </c>
      <c r="G2461" s="4" t="s">
        <v>177</v>
      </c>
      <c r="M2461" s="2" t="s">
        <v>3034</v>
      </c>
      <c r="N2461" s="2" t="s">
        <v>3035</v>
      </c>
      <c r="O2461" s="18">
        <v>44599</v>
      </c>
      <c r="S2461" s="1" t="s">
        <v>761</v>
      </c>
    </row>
    <row r="2462" spans="1:19" hidden="1" outlineLevel="1">
      <c r="A2462" s="8"/>
      <c r="B2462" s="58"/>
      <c r="C2462" s="159"/>
      <c r="D2462" s="8"/>
      <c r="E2462" s="8"/>
      <c r="F2462" s="9"/>
      <c r="G2462" s="8"/>
      <c r="H2462" s="8"/>
      <c r="I2462" s="8"/>
      <c r="J2462" s="58"/>
      <c r="K2462" s="8"/>
      <c r="L2462" s="58"/>
      <c r="M2462" s="8"/>
      <c r="N2462" s="8" t="s">
        <v>3035</v>
      </c>
      <c r="O2462" s="58">
        <v>44630</v>
      </c>
      <c r="P2462" s="8"/>
      <c r="Q2462" s="8"/>
      <c r="R2462" s="8" t="s">
        <v>643</v>
      </c>
      <c r="S2462" s="8"/>
    </row>
    <row r="2463" spans="1:19" hidden="1" outlineLevel="1">
      <c r="A2463" s="1">
        <v>1</v>
      </c>
      <c r="E2463" s="1" t="s">
        <v>270</v>
      </c>
      <c r="F2463" s="22">
        <v>866854050013849</v>
      </c>
      <c r="M2463" s="2" t="s">
        <v>3036</v>
      </c>
      <c r="N2463" s="2" t="s">
        <v>2430</v>
      </c>
      <c r="O2463" s="18">
        <v>44482</v>
      </c>
      <c r="S2463" s="1">
        <v>1296</v>
      </c>
    </row>
    <row r="2464" spans="1:19" hidden="1" outlineLevel="1">
      <c r="A2464" s="1">
        <v>2</v>
      </c>
      <c r="F2464" s="22">
        <v>866854050020372</v>
      </c>
      <c r="G2464" s="4" t="s">
        <v>516</v>
      </c>
    </row>
    <row r="2465" spans="1:19" hidden="1" outlineLevel="1">
      <c r="A2465" s="1">
        <v>3</v>
      </c>
      <c r="F2465" s="22">
        <v>862531048857180</v>
      </c>
      <c r="M2465" s="2" t="s">
        <v>3037</v>
      </c>
      <c r="N2465" s="2" t="s">
        <v>1554</v>
      </c>
      <c r="O2465" s="18">
        <v>44550</v>
      </c>
      <c r="S2465" s="1">
        <v>1767</v>
      </c>
    </row>
    <row r="2466" spans="1:19" hidden="1" outlineLevel="1">
      <c r="A2466" s="1">
        <v>4</v>
      </c>
      <c r="F2466" s="22">
        <v>862531048861737</v>
      </c>
      <c r="G2466" s="4" t="s">
        <v>177</v>
      </c>
      <c r="I2466" s="2" t="s">
        <v>44</v>
      </c>
    </row>
    <row r="2467" spans="1:19" hidden="1" outlineLevel="1">
      <c r="A2467" s="1">
        <v>5</v>
      </c>
      <c r="F2467" s="22">
        <v>866854050041923</v>
      </c>
      <c r="M2467" s="2" t="s">
        <v>3038</v>
      </c>
      <c r="N2467" s="2" t="s">
        <v>3039</v>
      </c>
      <c r="O2467" s="18">
        <v>44554</v>
      </c>
      <c r="S2467" s="1">
        <v>1780</v>
      </c>
    </row>
    <row r="2468" spans="1:19" hidden="1" outlineLevel="1">
      <c r="A2468" s="8"/>
      <c r="B2468" s="58"/>
      <c r="C2468" s="159"/>
      <c r="D2468" s="8"/>
      <c r="E2468" s="8"/>
      <c r="F2468" s="9"/>
      <c r="G2468" s="8"/>
      <c r="H2468" s="8"/>
      <c r="I2468" s="8"/>
      <c r="J2468" s="58"/>
      <c r="K2468" s="8"/>
      <c r="L2468" s="58"/>
      <c r="M2468" s="8"/>
      <c r="N2468" s="8"/>
      <c r="O2468" s="58"/>
      <c r="P2468" s="8"/>
      <c r="Q2468" s="8"/>
      <c r="R2468" s="8"/>
      <c r="S2468" s="8"/>
    </row>
    <row r="2469" spans="1:19" hidden="1" outlineLevel="1">
      <c r="A2469" s="1">
        <v>1</v>
      </c>
      <c r="B2469" s="11">
        <v>44477</v>
      </c>
      <c r="C2469" s="160">
        <v>4077</v>
      </c>
      <c r="E2469" s="1" t="s">
        <v>270</v>
      </c>
      <c r="F2469" s="22">
        <v>862531048859186</v>
      </c>
      <c r="M2469" s="2" t="s">
        <v>3040</v>
      </c>
      <c r="N2469" s="2" t="s">
        <v>3041</v>
      </c>
      <c r="O2469" s="18">
        <v>44496</v>
      </c>
      <c r="S2469" s="1">
        <v>1399</v>
      </c>
    </row>
    <row r="2470" spans="1:19" hidden="1" outlineLevel="1">
      <c r="A2470" s="1">
        <v>2</v>
      </c>
      <c r="F2470" s="22">
        <v>866854050042731</v>
      </c>
      <c r="M2470" s="2" t="s">
        <v>3042</v>
      </c>
      <c r="N2470" s="2" t="s">
        <v>3043</v>
      </c>
      <c r="O2470" s="18">
        <v>44574</v>
      </c>
      <c r="S2470" s="1" t="s">
        <v>762</v>
      </c>
    </row>
    <row r="2471" spans="1:19" hidden="1" outlineLevel="1">
      <c r="A2471" s="1">
        <v>3</v>
      </c>
      <c r="F2471" s="22">
        <v>866854050013740</v>
      </c>
      <c r="M2471" s="2" t="s">
        <v>3044</v>
      </c>
      <c r="N2471" s="2" t="s">
        <v>3045</v>
      </c>
      <c r="O2471" s="18">
        <v>44484</v>
      </c>
      <c r="S2471" s="1" t="s">
        <v>763</v>
      </c>
    </row>
    <row r="2472" spans="1:19" hidden="1" outlineLevel="1">
      <c r="A2472" s="1">
        <v>4</v>
      </c>
      <c r="F2472" s="22">
        <v>866854050248932</v>
      </c>
      <c r="M2472" s="2" t="s">
        <v>3046</v>
      </c>
      <c r="N2472" s="2" t="s">
        <v>3045</v>
      </c>
      <c r="O2472" s="18">
        <v>44485</v>
      </c>
      <c r="S2472" s="1" t="s">
        <v>763</v>
      </c>
    </row>
    <row r="2473" spans="1:19" hidden="1" outlineLevel="1">
      <c r="A2473" s="1">
        <v>5</v>
      </c>
      <c r="F2473" s="22">
        <v>866854050022782</v>
      </c>
      <c r="M2473" s="2" t="s">
        <v>3047</v>
      </c>
      <c r="N2473" s="2" t="s">
        <v>3045</v>
      </c>
      <c r="O2473" s="18">
        <v>44484</v>
      </c>
      <c r="S2473" s="1" t="s">
        <v>763</v>
      </c>
    </row>
    <row r="2474" spans="1:19" hidden="1" outlineLevel="1">
      <c r="A2474" s="1">
        <v>6</v>
      </c>
      <c r="F2474" s="22">
        <v>866854050060857</v>
      </c>
      <c r="M2474" s="2" t="s">
        <v>3048</v>
      </c>
      <c r="N2474" s="2" t="s">
        <v>3045</v>
      </c>
      <c r="O2474" s="18">
        <v>44485</v>
      </c>
      <c r="S2474" s="1" t="s">
        <v>763</v>
      </c>
    </row>
    <row r="2475" spans="1:19" hidden="1" outlineLevel="1">
      <c r="A2475" s="1">
        <v>7</v>
      </c>
      <c r="F2475" s="22">
        <v>866854050055055</v>
      </c>
      <c r="M2475" s="2" t="s">
        <v>3049</v>
      </c>
      <c r="N2475" s="2" t="s">
        <v>3045</v>
      </c>
      <c r="O2475" s="18">
        <v>44484</v>
      </c>
      <c r="S2475" s="1" t="s">
        <v>763</v>
      </c>
    </row>
    <row r="2476" spans="1:19" hidden="1" outlineLevel="1">
      <c r="A2476" s="1">
        <v>8</v>
      </c>
      <c r="F2476" s="22">
        <v>862531048799796</v>
      </c>
      <c r="M2476" s="2" t="s">
        <v>3050</v>
      </c>
      <c r="N2476" s="2" t="s">
        <v>3051</v>
      </c>
      <c r="O2476" s="18">
        <v>44536</v>
      </c>
      <c r="S2476" s="1" t="s">
        <v>764</v>
      </c>
    </row>
    <row r="2477" spans="1:19" hidden="1" outlineLevel="1">
      <c r="A2477" s="1">
        <v>9</v>
      </c>
      <c r="F2477" s="22">
        <v>866854050184517</v>
      </c>
      <c r="M2477" s="2" t="s">
        <v>3052</v>
      </c>
      <c r="N2477" s="2" t="s">
        <v>3045</v>
      </c>
      <c r="O2477" s="18">
        <v>44485</v>
      </c>
      <c r="S2477" s="1" t="s">
        <v>763</v>
      </c>
    </row>
    <row r="2478" spans="1:19" hidden="1" outlineLevel="1">
      <c r="A2478" s="1">
        <v>10</v>
      </c>
      <c r="F2478" s="22">
        <v>866854050042764</v>
      </c>
      <c r="M2478" s="2" t="s">
        <v>3053</v>
      </c>
      <c r="N2478" s="2" t="s">
        <v>3045</v>
      </c>
      <c r="O2478" s="18">
        <v>44485</v>
      </c>
      <c r="S2478" s="1" t="s">
        <v>763</v>
      </c>
    </row>
    <row r="2479" spans="1:19" hidden="1" outlineLevel="1">
      <c r="A2479" s="1">
        <v>11</v>
      </c>
      <c r="F2479" s="22">
        <v>866854050172173</v>
      </c>
      <c r="M2479" s="2" t="s">
        <v>3054</v>
      </c>
      <c r="N2479" s="2" t="s">
        <v>3045</v>
      </c>
      <c r="O2479" s="18">
        <v>44484</v>
      </c>
      <c r="S2479" s="1" t="s">
        <v>763</v>
      </c>
    </row>
    <row r="2480" spans="1:19" hidden="1" outlineLevel="1">
      <c r="A2480" s="1">
        <v>12</v>
      </c>
      <c r="F2480" s="22">
        <v>866854050041279</v>
      </c>
      <c r="M2480" s="2" t="s">
        <v>3055</v>
      </c>
      <c r="N2480" s="2" t="s">
        <v>3045</v>
      </c>
      <c r="O2480" s="18">
        <v>44476</v>
      </c>
      <c r="S2480" s="1" t="s">
        <v>763</v>
      </c>
    </row>
    <row r="2481" spans="1:19" hidden="1" outlineLevel="1">
      <c r="A2481" s="1">
        <v>13</v>
      </c>
      <c r="F2481" s="22">
        <v>866854050250508</v>
      </c>
      <c r="M2481" s="2" t="s">
        <v>3056</v>
      </c>
      <c r="N2481" s="2" t="s">
        <v>3057</v>
      </c>
      <c r="O2481" s="18">
        <v>44543</v>
      </c>
      <c r="S2481" s="1" t="s">
        <v>764</v>
      </c>
    </row>
    <row r="2482" spans="1:19" hidden="1" outlineLevel="1">
      <c r="A2482" s="1">
        <v>14</v>
      </c>
      <c r="F2482" s="22">
        <v>866854050154213</v>
      </c>
      <c r="M2482" s="2" t="s">
        <v>3058</v>
      </c>
      <c r="N2482" s="2" t="s">
        <v>3045</v>
      </c>
      <c r="O2482" s="18">
        <v>44484</v>
      </c>
      <c r="S2482" s="1" t="s">
        <v>763</v>
      </c>
    </row>
    <row r="2483" spans="1:19" hidden="1" outlineLevel="1">
      <c r="A2483" s="1">
        <v>15</v>
      </c>
      <c r="F2483" s="22">
        <v>866854050060923</v>
      </c>
      <c r="M2483" s="2" t="s">
        <v>3059</v>
      </c>
      <c r="N2483" s="2" t="s">
        <v>3045</v>
      </c>
      <c r="O2483" s="18">
        <v>44484</v>
      </c>
      <c r="S2483" s="1" t="s">
        <v>763</v>
      </c>
    </row>
    <row r="2484" spans="1:19" hidden="1" outlineLevel="1">
      <c r="A2484" s="8"/>
      <c r="B2484" s="58"/>
      <c r="C2484" s="159"/>
      <c r="D2484" s="8"/>
      <c r="E2484" s="8"/>
      <c r="F2484" s="9"/>
      <c r="G2484" s="8"/>
      <c r="H2484" s="8"/>
      <c r="I2484" s="8"/>
      <c r="J2484" s="58"/>
      <c r="K2484" s="8"/>
      <c r="L2484" s="58"/>
      <c r="M2484" s="8"/>
      <c r="N2484" s="8"/>
      <c r="O2484" s="58"/>
      <c r="P2484" s="8"/>
      <c r="Q2484" s="8"/>
      <c r="R2484" s="8"/>
      <c r="S2484" s="8"/>
    </row>
    <row r="2485" spans="1:19" hidden="1" outlineLevel="1">
      <c r="A2485" s="1">
        <v>1</v>
      </c>
      <c r="B2485" s="11">
        <v>44480</v>
      </c>
      <c r="C2485" s="160">
        <v>4097</v>
      </c>
      <c r="E2485" s="1" t="s">
        <v>637</v>
      </c>
      <c r="F2485" s="22">
        <v>866854050074684</v>
      </c>
      <c r="M2485" s="2" t="s">
        <v>3060</v>
      </c>
      <c r="N2485" s="2" t="s">
        <v>3061</v>
      </c>
      <c r="O2485" s="18">
        <v>44516</v>
      </c>
    </row>
    <row r="2486" spans="1:19" hidden="1" outlineLevel="1">
      <c r="A2486" s="1">
        <v>2</v>
      </c>
      <c r="F2486" s="22">
        <v>866854050171266</v>
      </c>
      <c r="M2486" s="2" t="s">
        <v>3062</v>
      </c>
      <c r="N2486" s="2" t="s">
        <v>3061</v>
      </c>
      <c r="O2486" s="18">
        <v>44523</v>
      </c>
    </row>
    <row r="2487" spans="1:19" hidden="1" outlineLevel="1">
      <c r="A2487" s="1">
        <v>3</v>
      </c>
      <c r="F2487" s="22">
        <v>866854050074486</v>
      </c>
      <c r="G2487" s="4" t="s">
        <v>517</v>
      </c>
    </row>
    <row r="2488" spans="1:19" hidden="1" outlineLevel="1">
      <c r="A2488" s="1">
        <v>4</v>
      </c>
      <c r="F2488" s="22">
        <v>866854050045890</v>
      </c>
      <c r="M2488" s="2" t="s">
        <v>3063</v>
      </c>
      <c r="N2488" s="2" t="s">
        <v>3064</v>
      </c>
      <c r="O2488" s="18">
        <v>44533</v>
      </c>
    </row>
    <row r="2489" spans="1:19" hidden="1" outlineLevel="1">
      <c r="A2489" s="1">
        <v>5</v>
      </c>
      <c r="F2489" s="22">
        <v>866854050049512</v>
      </c>
      <c r="M2489" s="2" t="s">
        <v>3065</v>
      </c>
      <c r="N2489" s="2" t="s">
        <v>3066</v>
      </c>
      <c r="O2489" s="18">
        <v>44588</v>
      </c>
      <c r="S2489" s="1" t="s">
        <v>765</v>
      </c>
    </row>
    <row r="2490" spans="1:19" hidden="1" outlineLevel="1">
      <c r="A2490" s="1">
        <v>6</v>
      </c>
      <c r="F2490" s="22">
        <v>866854050117988</v>
      </c>
      <c r="G2490" s="4" t="s">
        <v>518</v>
      </c>
    </row>
    <row r="2491" spans="1:19" hidden="1" outlineLevel="1">
      <c r="A2491" s="1">
        <v>7</v>
      </c>
      <c r="F2491" s="22">
        <v>866854050220923</v>
      </c>
      <c r="G2491" s="4" t="s">
        <v>518</v>
      </c>
    </row>
    <row r="2492" spans="1:19" hidden="1" outlineLevel="1">
      <c r="A2492" s="1">
        <v>8</v>
      </c>
      <c r="F2492" s="22">
        <v>866854050112609</v>
      </c>
      <c r="G2492" s="4" t="s">
        <v>517</v>
      </c>
    </row>
    <row r="2493" spans="1:19" hidden="1" outlineLevel="1">
      <c r="A2493" s="1">
        <v>9</v>
      </c>
      <c r="F2493" s="22">
        <v>866854050216905</v>
      </c>
      <c r="M2493" s="2" t="s">
        <v>3067</v>
      </c>
      <c r="N2493" s="2" t="s">
        <v>1144</v>
      </c>
      <c r="O2493" s="18">
        <v>44496</v>
      </c>
    </row>
    <row r="2494" spans="1:19" hidden="1" outlineLevel="1">
      <c r="A2494" s="1">
        <v>10</v>
      </c>
      <c r="F2494" s="22">
        <v>866854050098352</v>
      </c>
      <c r="M2494" s="2" t="s">
        <v>3068</v>
      </c>
      <c r="N2494" s="2" t="s">
        <v>3069</v>
      </c>
      <c r="O2494" s="18">
        <v>44517</v>
      </c>
    </row>
    <row r="2495" spans="1:19" hidden="1" outlineLevel="1">
      <c r="A2495" s="1">
        <v>11</v>
      </c>
      <c r="F2495" s="22">
        <v>866854050188286</v>
      </c>
      <c r="M2495" s="2" t="s">
        <v>3070</v>
      </c>
      <c r="N2495" s="2" t="s">
        <v>3071</v>
      </c>
      <c r="O2495" s="18">
        <v>44531</v>
      </c>
    </row>
    <row r="2496" spans="1:19" hidden="1" outlineLevel="1">
      <c r="A2496" s="1">
        <v>12</v>
      </c>
      <c r="F2496" s="22">
        <v>866854050149890</v>
      </c>
      <c r="G2496" s="4" t="s">
        <v>518</v>
      </c>
    </row>
    <row r="2497" spans="1:19" hidden="1" outlineLevel="1">
      <c r="A2497" s="1">
        <v>13</v>
      </c>
      <c r="F2497" s="22">
        <v>866854050074205</v>
      </c>
      <c r="M2497" s="2" t="s">
        <v>3072</v>
      </c>
      <c r="N2497" s="2" t="s">
        <v>2750</v>
      </c>
      <c r="O2497" s="18">
        <v>44515</v>
      </c>
    </row>
    <row r="2498" spans="1:19" hidden="1" outlineLevel="1">
      <c r="A2498" s="1">
        <v>14</v>
      </c>
      <c r="F2498" s="22">
        <v>866854050117780</v>
      </c>
      <c r="G2498" s="4" t="s">
        <v>519</v>
      </c>
      <c r="M2498" s="2" t="s">
        <v>3073</v>
      </c>
      <c r="N2498" s="2" t="s">
        <v>3074</v>
      </c>
      <c r="O2498" s="18">
        <v>44588</v>
      </c>
      <c r="S2498" s="1" t="s">
        <v>766</v>
      </c>
    </row>
    <row r="2499" spans="1:19" hidden="1" outlineLevel="1">
      <c r="A2499" s="1">
        <v>15</v>
      </c>
      <c r="F2499" s="22">
        <v>866854050115032</v>
      </c>
      <c r="M2499" s="2" t="s">
        <v>3075</v>
      </c>
      <c r="N2499" s="2" t="s">
        <v>3066</v>
      </c>
      <c r="O2499" s="18">
        <v>44588</v>
      </c>
      <c r="S2499" s="1" t="s">
        <v>765</v>
      </c>
    </row>
    <row r="2500" spans="1:19" hidden="1" outlineLevel="1">
      <c r="A2500" s="1">
        <v>16</v>
      </c>
      <c r="F2500" s="22">
        <v>866854050117822</v>
      </c>
      <c r="M2500" s="2" t="s">
        <v>3076</v>
      </c>
      <c r="N2500" s="2" t="s">
        <v>3077</v>
      </c>
      <c r="O2500" s="18">
        <v>44529</v>
      </c>
    </row>
    <row r="2501" spans="1:19" hidden="1" outlineLevel="1">
      <c r="A2501" s="1">
        <v>17</v>
      </c>
      <c r="F2501" s="22">
        <v>866854050074494</v>
      </c>
      <c r="M2501" s="2" t="s">
        <v>3078</v>
      </c>
      <c r="N2501" s="2" t="s">
        <v>2696</v>
      </c>
      <c r="O2501" s="18">
        <v>44502</v>
      </c>
    </row>
    <row r="2502" spans="1:19" hidden="1" outlineLevel="1">
      <c r="A2502" s="1">
        <v>18</v>
      </c>
      <c r="F2502" s="22">
        <v>866854050225542</v>
      </c>
      <c r="M2502" s="2" t="s">
        <v>3079</v>
      </c>
      <c r="N2502" s="2" t="s">
        <v>1057</v>
      </c>
      <c r="O2502" s="18">
        <v>44503</v>
      </c>
    </row>
    <row r="2503" spans="1:19" hidden="1" outlineLevel="1">
      <c r="A2503" s="1">
        <v>19</v>
      </c>
      <c r="F2503" s="22">
        <v>866854050118952</v>
      </c>
      <c r="M2503" s="2" t="s">
        <v>3080</v>
      </c>
      <c r="N2503" s="2" t="s">
        <v>1815</v>
      </c>
      <c r="O2503" s="18">
        <v>44503</v>
      </c>
    </row>
    <row r="2504" spans="1:19" hidden="1" outlineLevel="1">
      <c r="A2504" s="1">
        <v>20</v>
      </c>
      <c r="F2504" s="22">
        <v>866854050225609</v>
      </c>
      <c r="M2504" s="2" t="s">
        <v>3081</v>
      </c>
      <c r="N2504" s="2" t="s">
        <v>3082</v>
      </c>
      <c r="O2504" s="18">
        <v>44522</v>
      </c>
    </row>
    <row r="2505" spans="1:19" hidden="1" outlineLevel="1">
      <c r="A2505" s="8"/>
      <c r="B2505" s="58"/>
      <c r="C2505" s="159"/>
      <c r="D2505" s="8"/>
      <c r="E2505" s="8"/>
      <c r="F2505" s="9"/>
      <c r="G2505" s="8"/>
      <c r="H2505" s="8"/>
      <c r="I2505" s="8"/>
      <c r="J2505" s="58"/>
      <c r="K2505" s="8"/>
      <c r="L2505" s="58"/>
      <c r="M2505" s="8"/>
      <c r="N2505" s="8"/>
      <c r="O2505" s="58"/>
      <c r="P2505" s="8"/>
      <c r="Q2505" s="8"/>
      <c r="R2505" s="8"/>
      <c r="S2505" s="8"/>
    </row>
    <row r="2506" spans="1:19" hidden="1" outlineLevel="1">
      <c r="A2506" s="1">
        <v>1</v>
      </c>
      <c r="B2506" s="11">
        <v>44480</v>
      </c>
      <c r="C2506" s="160">
        <v>4098</v>
      </c>
      <c r="E2506" s="1" t="s">
        <v>638</v>
      </c>
      <c r="F2506" s="22">
        <v>866854050008740</v>
      </c>
      <c r="M2506" s="2" t="s">
        <v>3083</v>
      </c>
      <c r="N2506" s="2" t="s">
        <v>860</v>
      </c>
      <c r="O2506" s="18">
        <v>44481</v>
      </c>
    </row>
    <row r="2507" spans="1:19" hidden="1" outlineLevel="1">
      <c r="A2507" s="1">
        <v>2</v>
      </c>
      <c r="F2507" s="22">
        <v>866854050101123</v>
      </c>
      <c r="M2507" s="2" t="s">
        <v>3084</v>
      </c>
      <c r="N2507" s="2" t="s">
        <v>3085</v>
      </c>
      <c r="O2507" s="18">
        <v>44482</v>
      </c>
    </row>
    <row r="2508" spans="1:19" hidden="1" outlineLevel="1">
      <c r="A2508" s="1">
        <v>3</v>
      </c>
      <c r="F2508" s="22">
        <v>866854050087652</v>
      </c>
      <c r="M2508" s="2" t="s">
        <v>3086</v>
      </c>
      <c r="N2508" s="2" t="s">
        <v>3087</v>
      </c>
      <c r="O2508" s="18">
        <v>44496</v>
      </c>
    </row>
    <row r="2509" spans="1:19" hidden="1" outlineLevel="1">
      <c r="A2509" s="1">
        <v>4</v>
      </c>
      <c r="F2509" s="22">
        <v>866854050069569</v>
      </c>
      <c r="M2509" s="2" t="s">
        <v>3088</v>
      </c>
      <c r="N2509" s="2" t="s">
        <v>896</v>
      </c>
      <c r="O2509" s="18">
        <v>44485</v>
      </c>
    </row>
    <row r="2510" spans="1:19" hidden="1" outlineLevel="1">
      <c r="A2510" s="1">
        <v>5</v>
      </c>
      <c r="F2510" s="22">
        <v>866854050007676</v>
      </c>
      <c r="M2510" s="2" t="s">
        <v>3089</v>
      </c>
      <c r="N2510" s="2" t="s">
        <v>1447</v>
      </c>
      <c r="O2510" s="18">
        <v>41241</v>
      </c>
    </row>
    <row r="2511" spans="1:19" hidden="1" outlineLevel="1">
      <c r="A2511" s="1">
        <v>6</v>
      </c>
      <c r="F2511" s="22">
        <v>866854050008237</v>
      </c>
      <c r="M2511" s="2" t="s">
        <v>3090</v>
      </c>
      <c r="N2511" s="2" t="s">
        <v>1147</v>
      </c>
      <c r="O2511" s="18">
        <v>44490</v>
      </c>
    </row>
    <row r="2512" spans="1:19" hidden="1" outlineLevel="1">
      <c r="A2512" s="1">
        <v>7</v>
      </c>
      <c r="F2512" s="22">
        <v>866854050084618</v>
      </c>
      <c r="G2512" s="4" t="s">
        <v>520</v>
      </c>
    </row>
    <row r="2513" spans="1:19" hidden="1" outlineLevel="1">
      <c r="A2513" s="1">
        <v>8</v>
      </c>
      <c r="F2513" s="22">
        <v>866854050009128</v>
      </c>
      <c r="M2513" s="2" t="s">
        <v>3091</v>
      </c>
      <c r="N2513" s="2" t="s">
        <v>841</v>
      </c>
      <c r="O2513" s="18">
        <v>44483</v>
      </c>
    </row>
    <row r="2514" spans="1:19" hidden="1" outlineLevel="1">
      <c r="A2514" s="1">
        <v>9</v>
      </c>
      <c r="F2514" s="22">
        <v>866854050215238</v>
      </c>
      <c r="M2514" s="2" t="s">
        <v>3092</v>
      </c>
      <c r="N2514" s="2" t="s">
        <v>3093</v>
      </c>
      <c r="O2514" s="18">
        <v>44481</v>
      </c>
    </row>
    <row r="2515" spans="1:19" hidden="1" outlineLevel="1">
      <c r="A2515" s="1">
        <v>10</v>
      </c>
      <c r="F2515" s="22">
        <v>866854050062986</v>
      </c>
      <c r="M2515" s="2" t="s">
        <v>3094</v>
      </c>
      <c r="N2515" s="2" t="s">
        <v>1467</v>
      </c>
      <c r="O2515" s="18">
        <v>44494</v>
      </c>
    </row>
    <row r="2516" spans="1:19" hidden="1" outlineLevel="1">
      <c r="A2516" s="1">
        <v>11</v>
      </c>
      <c r="F2516" s="22">
        <v>866854050069668</v>
      </c>
      <c r="M2516" s="2" t="s">
        <v>3095</v>
      </c>
      <c r="N2516" s="2" t="s">
        <v>2111</v>
      </c>
      <c r="O2516" s="18">
        <v>43846</v>
      </c>
    </row>
    <row r="2517" spans="1:19" hidden="1" outlineLevel="1">
      <c r="A2517" s="1">
        <v>12</v>
      </c>
      <c r="F2517" s="22">
        <v>866854050006132</v>
      </c>
      <c r="M2517" s="2" t="s">
        <v>3096</v>
      </c>
      <c r="N2517" s="2" t="s">
        <v>267</v>
      </c>
      <c r="O2517" s="18">
        <v>44495</v>
      </c>
    </row>
    <row r="2518" spans="1:19" hidden="1" outlineLevel="1">
      <c r="A2518" s="1">
        <v>13</v>
      </c>
      <c r="F2518" s="22">
        <v>866854050084642</v>
      </c>
      <c r="M2518" s="2" t="s">
        <v>3097</v>
      </c>
      <c r="N2518" s="2" t="s">
        <v>1625</v>
      </c>
      <c r="O2518" s="18">
        <v>44489</v>
      </c>
    </row>
    <row r="2519" spans="1:19" hidden="1" outlineLevel="1">
      <c r="A2519" s="1">
        <v>14</v>
      </c>
      <c r="F2519" s="22">
        <v>866854050120347</v>
      </c>
      <c r="M2519" s="2" t="s">
        <v>3098</v>
      </c>
      <c r="N2519" s="2" t="s">
        <v>1144</v>
      </c>
      <c r="O2519" s="18">
        <v>44489</v>
      </c>
    </row>
    <row r="2520" spans="1:19" hidden="1" outlineLevel="1">
      <c r="A2520" s="1">
        <v>15</v>
      </c>
      <c r="F2520" s="22">
        <v>866854050007783</v>
      </c>
      <c r="M2520" s="2" t="s">
        <v>3099</v>
      </c>
      <c r="N2520" s="2" t="s">
        <v>896</v>
      </c>
      <c r="O2520" s="18">
        <v>44501</v>
      </c>
    </row>
    <row r="2521" spans="1:19" hidden="1" outlineLevel="1">
      <c r="A2521" s="1">
        <v>16</v>
      </c>
      <c r="F2521" s="22">
        <v>866854050087108</v>
      </c>
      <c r="M2521" s="2" t="s">
        <v>3100</v>
      </c>
      <c r="N2521" s="2" t="s">
        <v>3087</v>
      </c>
      <c r="O2521" s="18">
        <v>44496</v>
      </c>
    </row>
    <row r="2522" spans="1:19" hidden="1" outlineLevel="1">
      <c r="A2522" s="1">
        <v>17</v>
      </c>
      <c r="F2522" s="22">
        <v>866854050084378</v>
      </c>
      <c r="M2522" s="2" t="s">
        <v>3101</v>
      </c>
      <c r="N2522" s="2" t="s">
        <v>1534</v>
      </c>
      <c r="O2522" s="18">
        <v>44499</v>
      </c>
    </row>
    <row r="2523" spans="1:19" hidden="1" outlineLevel="1">
      <c r="A2523" s="1">
        <v>18</v>
      </c>
      <c r="F2523" s="22">
        <v>866854050010175</v>
      </c>
      <c r="M2523" s="2" t="s">
        <v>3102</v>
      </c>
      <c r="N2523" s="2" t="s">
        <v>224</v>
      </c>
      <c r="O2523" s="18">
        <v>44509</v>
      </c>
    </row>
    <row r="2524" spans="1:19" hidden="1" outlineLevel="1">
      <c r="A2524" s="1">
        <v>19</v>
      </c>
      <c r="F2524" s="22">
        <v>866854050214991</v>
      </c>
      <c r="M2524" s="2" t="s">
        <v>3103</v>
      </c>
      <c r="N2524" s="2" t="s">
        <v>3104</v>
      </c>
      <c r="O2524" s="18">
        <v>44487</v>
      </c>
    </row>
    <row r="2525" spans="1:19" hidden="1" outlineLevel="1">
      <c r="A2525" s="1">
        <v>20</v>
      </c>
      <c r="F2525" s="22">
        <v>866854050070443</v>
      </c>
      <c r="M2525" s="2" t="s">
        <v>3105</v>
      </c>
      <c r="N2525" s="2" t="s">
        <v>224</v>
      </c>
      <c r="O2525" s="18">
        <v>44510</v>
      </c>
    </row>
    <row r="2526" spans="1:19" hidden="1" outlineLevel="1">
      <c r="A2526" s="8"/>
      <c r="B2526" s="58"/>
      <c r="C2526" s="159"/>
      <c r="D2526" s="8"/>
      <c r="E2526" s="8"/>
      <c r="F2526" s="9"/>
      <c r="G2526" s="8"/>
      <c r="H2526" s="8"/>
      <c r="I2526" s="8"/>
      <c r="J2526" s="58"/>
      <c r="K2526" s="8"/>
      <c r="L2526" s="58"/>
      <c r="M2526" s="8"/>
      <c r="N2526" s="8"/>
      <c r="O2526" s="58"/>
      <c r="P2526" s="8"/>
      <c r="Q2526" s="8"/>
      <c r="R2526" s="8"/>
      <c r="S2526" s="8"/>
    </row>
    <row r="2527" spans="1:19" hidden="1" outlineLevel="1">
      <c r="A2527" s="1">
        <v>1</v>
      </c>
      <c r="B2527" s="11">
        <v>44525</v>
      </c>
      <c r="C2527" s="160">
        <v>4390</v>
      </c>
      <c r="E2527" s="1" t="s">
        <v>639</v>
      </c>
      <c r="F2527" s="22">
        <v>866854050111593</v>
      </c>
      <c r="M2527" s="2" t="s">
        <v>3106</v>
      </c>
      <c r="N2527" s="2" t="s">
        <v>863</v>
      </c>
      <c r="O2527" s="18">
        <v>42857</v>
      </c>
    </row>
    <row r="2528" spans="1:19" hidden="1" outlineLevel="1">
      <c r="A2528" s="1">
        <v>2</v>
      </c>
      <c r="F2528" s="22">
        <v>866854050036543</v>
      </c>
      <c r="M2528" s="2" t="s">
        <v>3107</v>
      </c>
      <c r="N2528" s="2" t="s">
        <v>1534</v>
      </c>
      <c r="O2528" s="18">
        <v>44530</v>
      </c>
    </row>
    <row r="2529" spans="1:15" hidden="1" outlineLevel="1">
      <c r="A2529" s="1">
        <v>3</v>
      </c>
      <c r="F2529" s="22">
        <v>866854050005506</v>
      </c>
      <c r="M2529" s="2" t="s">
        <v>3108</v>
      </c>
      <c r="N2529" s="2" t="s">
        <v>2813</v>
      </c>
      <c r="O2529" s="18">
        <v>44536</v>
      </c>
    </row>
    <row r="2530" spans="1:15" hidden="1" outlineLevel="1">
      <c r="A2530" s="1">
        <v>4</v>
      </c>
      <c r="F2530" s="22">
        <v>866854050048746</v>
      </c>
      <c r="M2530" s="2" t="s">
        <v>3109</v>
      </c>
      <c r="N2530" s="2" t="s">
        <v>1454</v>
      </c>
      <c r="O2530" s="18">
        <v>43879</v>
      </c>
    </row>
    <row r="2531" spans="1:15" hidden="1" outlineLevel="1">
      <c r="A2531" s="1">
        <v>5</v>
      </c>
      <c r="F2531" s="22">
        <v>866854050102840</v>
      </c>
      <c r="M2531" s="2" t="s">
        <v>3110</v>
      </c>
      <c r="N2531" s="2" t="s">
        <v>3111</v>
      </c>
      <c r="O2531" s="18">
        <v>44524</v>
      </c>
    </row>
    <row r="2532" spans="1:15" hidden="1" outlineLevel="1">
      <c r="A2532" s="1">
        <v>6</v>
      </c>
      <c r="F2532" s="22">
        <v>866854050003634</v>
      </c>
      <c r="M2532" s="2" t="s">
        <v>3112</v>
      </c>
      <c r="N2532" s="2" t="s">
        <v>3113</v>
      </c>
      <c r="O2532" s="18">
        <v>44517</v>
      </c>
    </row>
    <row r="2533" spans="1:15" hidden="1" outlineLevel="1">
      <c r="A2533" s="1">
        <v>7</v>
      </c>
      <c r="F2533" s="22">
        <v>866854050048613</v>
      </c>
      <c r="M2533" s="2" t="s">
        <v>3114</v>
      </c>
      <c r="N2533" s="2" t="s">
        <v>3115</v>
      </c>
      <c r="O2533" s="18">
        <v>44519</v>
      </c>
    </row>
    <row r="2534" spans="1:15" hidden="1" outlineLevel="1">
      <c r="A2534" s="1">
        <v>8</v>
      </c>
      <c r="F2534" s="22">
        <v>866854050128662</v>
      </c>
      <c r="M2534" s="2" t="s">
        <v>3116</v>
      </c>
      <c r="N2534" s="2" t="s">
        <v>3117</v>
      </c>
      <c r="O2534" s="18">
        <v>44522</v>
      </c>
    </row>
    <row r="2535" spans="1:15" hidden="1" outlineLevel="1">
      <c r="A2535" s="1">
        <v>9</v>
      </c>
      <c r="F2535" s="22">
        <v>866854050096752</v>
      </c>
      <c r="M2535" s="2" t="s">
        <v>3118</v>
      </c>
      <c r="N2535" s="2" t="s">
        <v>2219</v>
      </c>
      <c r="O2535" s="18">
        <v>44518</v>
      </c>
    </row>
    <row r="2536" spans="1:15" hidden="1" outlineLevel="1">
      <c r="A2536" s="1">
        <v>10</v>
      </c>
      <c r="F2536" s="22">
        <v>866854050039323</v>
      </c>
      <c r="M2536" s="2" t="s">
        <v>3119</v>
      </c>
      <c r="N2536" s="2" t="s">
        <v>1522</v>
      </c>
      <c r="O2536" s="18">
        <v>44517</v>
      </c>
    </row>
    <row r="2537" spans="1:15" hidden="1" outlineLevel="1">
      <c r="A2537" s="1">
        <v>11</v>
      </c>
      <c r="F2537" s="22">
        <v>866854050146706</v>
      </c>
      <c r="M2537" s="2" t="s">
        <v>3120</v>
      </c>
      <c r="N2537" s="2" t="s">
        <v>3121</v>
      </c>
      <c r="O2537" s="18">
        <v>44511</v>
      </c>
    </row>
    <row r="2538" spans="1:15" hidden="1" outlineLevel="1">
      <c r="A2538" s="1">
        <v>12</v>
      </c>
      <c r="F2538" s="22">
        <v>866854050036436</v>
      </c>
      <c r="M2538" s="2" t="s">
        <v>3122</v>
      </c>
      <c r="N2538" s="2" t="s">
        <v>3113</v>
      </c>
      <c r="O2538" s="18">
        <v>44511</v>
      </c>
    </row>
    <row r="2539" spans="1:15" hidden="1" outlineLevel="1">
      <c r="A2539" s="1">
        <v>13</v>
      </c>
      <c r="F2539" s="22">
        <v>866854050037749</v>
      </c>
      <c r="M2539" s="2" t="s">
        <v>3123</v>
      </c>
      <c r="N2539" s="2" t="s">
        <v>278</v>
      </c>
      <c r="O2539" s="18">
        <v>44512</v>
      </c>
    </row>
    <row r="2540" spans="1:15" hidden="1" outlineLevel="1">
      <c r="A2540" s="1">
        <v>14</v>
      </c>
      <c r="F2540" s="22">
        <v>866854050036360</v>
      </c>
      <c r="M2540" s="2" t="s">
        <v>3124</v>
      </c>
      <c r="N2540" s="2" t="s">
        <v>1042</v>
      </c>
      <c r="O2540" s="18">
        <v>42941</v>
      </c>
    </row>
    <row r="2541" spans="1:15" hidden="1" outlineLevel="1">
      <c r="A2541" s="1">
        <v>15</v>
      </c>
      <c r="F2541" s="22">
        <v>866854050110967</v>
      </c>
      <c r="M2541" s="2" t="s">
        <v>3125</v>
      </c>
      <c r="N2541" s="2" t="s">
        <v>865</v>
      </c>
      <c r="O2541" s="18">
        <v>44531</v>
      </c>
    </row>
    <row r="2542" spans="1:15" hidden="1" outlineLevel="1">
      <c r="A2542" s="1">
        <v>16</v>
      </c>
      <c r="F2542" s="22">
        <v>866854050131337</v>
      </c>
    </row>
    <row r="2543" spans="1:15" hidden="1" outlineLevel="1">
      <c r="A2543" s="1">
        <v>17</v>
      </c>
      <c r="F2543" s="22">
        <v>866854050096539</v>
      </c>
      <c r="M2543" s="2" t="s">
        <v>3126</v>
      </c>
      <c r="N2543" s="2" t="s">
        <v>3127</v>
      </c>
      <c r="O2543" s="18">
        <v>44525</v>
      </c>
    </row>
    <row r="2544" spans="1:15" hidden="1" outlineLevel="1">
      <c r="A2544" s="1">
        <v>18</v>
      </c>
      <c r="F2544" s="22">
        <v>866854050110868</v>
      </c>
      <c r="M2544" s="2" t="s">
        <v>3128</v>
      </c>
      <c r="N2544" s="2" t="s">
        <v>3113</v>
      </c>
      <c r="O2544" s="18">
        <v>44515</v>
      </c>
    </row>
    <row r="2545" spans="1:19" hidden="1" outlineLevel="1">
      <c r="A2545" s="1">
        <v>19</v>
      </c>
      <c r="F2545" s="22">
        <v>866854050037186</v>
      </c>
      <c r="M2545" s="2" t="s">
        <v>3129</v>
      </c>
      <c r="N2545" s="2" t="s">
        <v>295</v>
      </c>
      <c r="O2545" s="18">
        <v>44531</v>
      </c>
    </row>
    <row r="2546" spans="1:19" hidden="1" outlineLevel="1">
      <c r="A2546" s="1">
        <v>20</v>
      </c>
      <c r="F2546" s="22">
        <v>866854050046088</v>
      </c>
      <c r="M2546" s="2" t="s">
        <v>3130</v>
      </c>
      <c r="N2546" s="2" t="s">
        <v>2063</v>
      </c>
      <c r="O2546" s="18">
        <v>44123</v>
      </c>
    </row>
    <row r="2547" spans="1:19" hidden="1" outlineLevel="1">
      <c r="A2547" s="1">
        <v>21</v>
      </c>
      <c r="F2547" s="22">
        <v>866854050039976</v>
      </c>
      <c r="M2547" s="2" t="s">
        <v>3131</v>
      </c>
      <c r="N2547" s="2" t="s">
        <v>224</v>
      </c>
      <c r="O2547" s="18">
        <v>44536</v>
      </c>
    </row>
    <row r="2548" spans="1:19" hidden="1" outlineLevel="1">
      <c r="A2548" s="1">
        <v>22</v>
      </c>
      <c r="F2548" s="22">
        <v>866854050097560</v>
      </c>
      <c r="M2548" s="2" t="s">
        <v>3132</v>
      </c>
      <c r="N2548" s="2" t="s">
        <v>3121</v>
      </c>
      <c r="O2548" s="18">
        <v>44876</v>
      </c>
    </row>
    <row r="2549" spans="1:19" hidden="1" outlineLevel="1">
      <c r="A2549" s="1">
        <v>23</v>
      </c>
      <c r="F2549" s="22">
        <v>866854050131104</v>
      </c>
      <c r="M2549" s="2" t="s">
        <v>3133</v>
      </c>
      <c r="N2549" s="2" t="s">
        <v>3134</v>
      </c>
      <c r="O2549" s="18">
        <v>44526</v>
      </c>
    </row>
    <row r="2550" spans="1:19" hidden="1" outlineLevel="1">
      <c r="A2550" s="1">
        <v>24</v>
      </c>
      <c r="F2550" s="22">
        <v>866854050111478</v>
      </c>
      <c r="M2550" s="2" t="s">
        <v>3135</v>
      </c>
      <c r="N2550" s="2" t="s">
        <v>3136</v>
      </c>
      <c r="S2550" s="1" t="s">
        <v>767</v>
      </c>
    </row>
    <row r="2551" spans="1:19" hidden="1" outlineLevel="1">
      <c r="A2551" s="1">
        <v>25</v>
      </c>
      <c r="F2551" s="22">
        <v>866854050128779</v>
      </c>
      <c r="M2551" s="2" t="s">
        <v>3137</v>
      </c>
      <c r="N2551" s="2" t="s">
        <v>1534</v>
      </c>
      <c r="O2551" s="18">
        <v>44526</v>
      </c>
    </row>
    <row r="2552" spans="1:19" hidden="1" outlineLevel="1">
      <c r="A2552" s="1">
        <v>26</v>
      </c>
      <c r="F2552" s="22">
        <v>866854050018004</v>
      </c>
      <c r="M2552" s="2" t="s">
        <v>3138</v>
      </c>
      <c r="N2552" s="2" t="s">
        <v>185</v>
      </c>
      <c r="O2552" s="18">
        <v>44510</v>
      </c>
    </row>
    <row r="2553" spans="1:19" hidden="1" outlineLevel="1">
      <c r="A2553" s="1">
        <v>27</v>
      </c>
      <c r="F2553" s="22">
        <v>866854050097016</v>
      </c>
      <c r="M2553" s="2" t="s">
        <v>3139</v>
      </c>
      <c r="N2553" s="2" t="s">
        <v>1158</v>
      </c>
      <c r="O2553" s="18">
        <v>44536</v>
      </c>
    </row>
    <row r="2554" spans="1:19" hidden="1" outlineLevel="1">
      <c r="A2554" s="1">
        <v>28</v>
      </c>
      <c r="F2554" s="22">
        <v>866854050130759</v>
      </c>
      <c r="M2554" s="2" t="s">
        <v>3140</v>
      </c>
      <c r="N2554" s="2" t="s">
        <v>1217</v>
      </c>
      <c r="O2554" s="18">
        <v>44525</v>
      </c>
    </row>
    <row r="2555" spans="1:19" hidden="1" outlineLevel="1">
      <c r="A2555" s="1">
        <v>29</v>
      </c>
      <c r="F2555" s="22">
        <v>866854050131344</v>
      </c>
      <c r="M2555" s="2" t="s">
        <v>3141</v>
      </c>
      <c r="N2555" s="2" t="s">
        <v>3142</v>
      </c>
      <c r="O2555" s="18">
        <v>44533</v>
      </c>
    </row>
    <row r="2556" spans="1:19" hidden="1" outlineLevel="1">
      <c r="A2556" s="1">
        <v>30</v>
      </c>
      <c r="F2556" s="22">
        <v>866854050037178</v>
      </c>
      <c r="M2556" s="2" t="s">
        <v>3143</v>
      </c>
      <c r="N2556" s="2" t="s">
        <v>3144</v>
      </c>
      <c r="O2556" s="18">
        <v>44532</v>
      </c>
    </row>
    <row r="2557" spans="1:19" hidden="1" outlineLevel="1">
      <c r="A2557" s="8"/>
      <c r="B2557" s="58"/>
      <c r="C2557" s="159"/>
      <c r="D2557" s="8"/>
      <c r="E2557" s="8"/>
      <c r="F2557" s="9"/>
      <c r="G2557" s="8"/>
      <c r="H2557" s="8"/>
      <c r="I2557" s="8"/>
      <c r="J2557" s="58"/>
      <c r="K2557" s="8"/>
      <c r="L2557" s="58"/>
      <c r="M2557" s="8"/>
      <c r="N2557" s="8"/>
      <c r="O2557" s="58"/>
      <c r="P2557" s="8"/>
      <c r="Q2557" s="8"/>
      <c r="R2557" s="8"/>
      <c r="S2557" s="8"/>
    </row>
    <row r="2558" spans="1:19" hidden="1" outlineLevel="1">
      <c r="A2558" s="1">
        <v>1</v>
      </c>
      <c r="B2558" s="11">
        <v>44510</v>
      </c>
      <c r="C2558" s="160">
        <v>4550</v>
      </c>
      <c r="E2558" s="1" t="s">
        <v>640</v>
      </c>
      <c r="F2558" s="22">
        <v>861774057927202</v>
      </c>
      <c r="M2558" s="2" t="s">
        <v>3145</v>
      </c>
      <c r="N2558" s="2" t="s">
        <v>3146</v>
      </c>
      <c r="O2558" s="18">
        <v>44550</v>
      </c>
      <c r="S2558" s="1" t="s">
        <v>768</v>
      </c>
    </row>
    <row r="2559" spans="1:19" hidden="1" outlineLevel="1">
      <c r="A2559" s="1">
        <v>2</v>
      </c>
      <c r="F2559" s="22">
        <v>861774058023472</v>
      </c>
      <c r="M2559" s="2" t="s">
        <v>3147</v>
      </c>
      <c r="N2559" s="2" t="s">
        <v>3148</v>
      </c>
      <c r="O2559" s="18">
        <v>44512</v>
      </c>
      <c r="S2559" s="1" t="s">
        <v>769</v>
      </c>
    </row>
    <row r="2560" spans="1:19" hidden="1" outlineLevel="1">
      <c r="A2560" s="1">
        <v>3</v>
      </c>
      <c r="F2560" s="22">
        <v>861774057889667</v>
      </c>
      <c r="M2560" s="2" t="s">
        <v>3149</v>
      </c>
      <c r="N2560" s="2" t="s">
        <v>3148</v>
      </c>
      <c r="O2560" s="18">
        <v>44512</v>
      </c>
      <c r="S2560" s="1" t="s">
        <v>769</v>
      </c>
    </row>
    <row r="2561" spans="1:19" hidden="1" outlineLevel="1">
      <c r="A2561" s="1">
        <v>4</v>
      </c>
      <c r="F2561" s="22">
        <v>861774057927244</v>
      </c>
      <c r="M2561" s="2" t="s">
        <v>3150</v>
      </c>
      <c r="N2561" s="2" t="s">
        <v>3151</v>
      </c>
      <c r="O2561" s="18">
        <v>44512</v>
      </c>
      <c r="S2561" s="1" t="s">
        <v>770</v>
      </c>
    </row>
    <row r="2562" spans="1:19" hidden="1" outlineLevel="1">
      <c r="A2562" s="1">
        <v>5</v>
      </c>
      <c r="F2562" s="22">
        <v>861774057922153</v>
      </c>
      <c r="M2562" s="2" t="s">
        <v>3152</v>
      </c>
      <c r="N2562" s="2" t="s">
        <v>3153</v>
      </c>
      <c r="O2562" s="18">
        <v>44544</v>
      </c>
      <c r="S2562" s="1" t="s">
        <v>771</v>
      </c>
    </row>
    <row r="2563" spans="1:19" hidden="1" outlineLevel="1">
      <c r="A2563" s="1">
        <v>6</v>
      </c>
      <c r="F2563" s="22">
        <v>861774058028596</v>
      </c>
      <c r="M2563" s="2" t="s">
        <v>3154</v>
      </c>
      <c r="N2563" s="2" t="s">
        <v>3151</v>
      </c>
      <c r="O2563" s="18">
        <v>44512</v>
      </c>
      <c r="S2563" s="1" t="s">
        <v>770</v>
      </c>
    </row>
    <row r="2564" spans="1:19" hidden="1" outlineLevel="1">
      <c r="A2564" s="1">
        <v>7</v>
      </c>
      <c r="F2564" s="22">
        <v>861774057928168</v>
      </c>
      <c r="M2564" s="2" t="s">
        <v>3155</v>
      </c>
      <c r="N2564" s="2" t="s">
        <v>3151</v>
      </c>
      <c r="O2564" s="18">
        <v>44512</v>
      </c>
      <c r="S2564" s="1" t="s">
        <v>772</v>
      </c>
    </row>
    <row r="2565" spans="1:19" hidden="1" outlineLevel="1">
      <c r="A2565" s="1">
        <v>8</v>
      </c>
      <c r="F2565" s="22">
        <v>861774057923243</v>
      </c>
      <c r="M2565" s="2" t="s">
        <v>3156</v>
      </c>
      <c r="N2565" s="2" t="s">
        <v>95</v>
      </c>
      <c r="O2565" s="18">
        <v>44544</v>
      </c>
      <c r="S2565" s="1" t="s">
        <v>771</v>
      </c>
    </row>
    <row r="2566" spans="1:19" hidden="1" outlineLevel="1">
      <c r="A2566" s="1">
        <v>9</v>
      </c>
      <c r="F2566" s="22">
        <v>861774057932723</v>
      </c>
      <c r="M2566" s="2" t="s">
        <v>3157</v>
      </c>
      <c r="N2566" s="2" t="s">
        <v>3151</v>
      </c>
      <c r="O2566" s="18">
        <v>44512</v>
      </c>
      <c r="S2566" s="1" t="s">
        <v>770</v>
      </c>
    </row>
    <row r="2567" spans="1:19" hidden="1" outlineLevel="1">
      <c r="A2567" s="1">
        <v>10</v>
      </c>
      <c r="F2567" s="22">
        <v>861774057933259</v>
      </c>
      <c r="M2567" s="2" t="s">
        <v>3158</v>
      </c>
      <c r="N2567" s="2" t="s">
        <v>3148</v>
      </c>
      <c r="O2567" s="18">
        <v>44512</v>
      </c>
      <c r="S2567" s="1" t="s">
        <v>769</v>
      </c>
    </row>
    <row r="2568" spans="1:19" hidden="1" outlineLevel="1">
      <c r="A2568" s="8"/>
      <c r="B2568" s="58"/>
      <c r="C2568" s="159"/>
      <c r="D2568" s="8"/>
      <c r="E2568" s="8"/>
      <c r="F2568" s="9"/>
      <c r="G2568" s="8"/>
      <c r="H2568" s="8"/>
      <c r="I2568" s="8"/>
      <c r="J2568" s="58"/>
      <c r="K2568" s="8"/>
      <c r="L2568" s="58"/>
      <c r="M2568" s="8"/>
      <c r="N2568" s="8"/>
      <c r="O2568" s="58"/>
      <c r="P2568" s="8"/>
      <c r="Q2568" s="8"/>
      <c r="R2568" s="8"/>
      <c r="S2568" s="8"/>
    </row>
    <row r="2569" spans="1:19" hidden="1" outlineLevel="1">
      <c r="A2569" s="1">
        <v>1</v>
      </c>
      <c r="B2569" s="11">
        <v>44529</v>
      </c>
      <c r="C2569" s="160">
        <v>4924</v>
      </c>
      <c r="E2569" s="1" t="s">
        <v>176</v>
      </c>
      <c r="F2569" s="22">
        <v>866854050249310</v>
      </c>
      <c r="M2569" s="2" t="s">
        <v>3159</v>
      </c>
      <c r="N2569" s="2" t="s">
        <v>1706</v>
      </c>
      <c r="O2569" s="18">
        <v>44551</v>
      </c>
      <c r="S2569" s="1" t="s">
        <v>773</v>
      </c>
    </row>
    <row r="2570" spans="1:19" hidden="1" outlineLevel="1">
      <c r="A2570" s="1">
        <v>2</v>
      </c>
      <c r="F2570" s="22">
        <v>866854050090441</v>
      </c>
      <c r="M2570" s="2" t="s">
        <v>3160</v>
      </c>
      <c r="N2570" s="2" t="s">
        <v>126</v>
      </c>
      <c r="O2570" s="18">
        <v>44543</v>
      </c>
      <c r="S2570" s="1" t="s">
        <v>774</v>
      </c>
    </row>
    <row r="2571" spans="1:19" hidden="1" outlineLevel="1">
      <c r="A2571" s="1">
        <v>3</v>
      </c>
      <c r="F2571" s="22">
        <v>866854050123879</v>
      </c>
      <c r="M2571" s="2" t="s">
        <v>3161</v>
      </c>
      <c r="N2571" s="2" t="s">
        <v>3162</v>
      </c>
      <c r="O2571" s="18">
        <v>44543</v>
      </c>
      <c r="S2571" s="1" t="s">
        <v>775</v>
      </c>
    </row>
    <row r="2572" spans="1:19" hidden="1" outlineLevel="1">
      <c r="A2572" s="1">
        <v>4</v>
      </c>
      <c r="F2572" s="22">
        <v>866854050249518</v>
      </c>
      <c r="M2572" s="2" t="s">
        <v>3163</v>
      </c>
      <c r="N2572" s="2" t="s">
        <v>1515</v>
      </c>
      <c r="O2572" s="18">
        <v>44546</v>
      </c>
      <c r="S2572" s="1" t="s">
        <v>776</v>
      </c>
    </row>
    <row r="2573" spans="1:19" hidden="1" outlineLevel="1">
      <c r="A2573" s="1">
        <v>5</v>
      </c>
      <c r="F2573" s="22">
        <v>866854050047086</v>
      </c>
      <c r="M2573" s="2" t="s">
        <v>3164</v>
      </c>
      <c r="N2573" s="2" t="s">
        <v>968</v>
      </c>
      <c r="O2573" s="18">
        <v>44538</v>
      </c>
      <c r="S2573" s="1" t="s">
        <v>777</v>
      </c>
    </row>
    <row r="2574" spans="1:19" hidden="1" outlineLevel="1">
      <c r="A2574" s="1">
        <v>6</v>
      </c>
      <c r="F2574" s="22">
        <v>866854050222002</v>
      </c>
      <c r="M2574" s="2" t="s">
        <v>3165</v>
      </c>
      <c r="N2574" s="2" t="s">
        <v>1936</v>
      </c>
      <c r="O2574" s="18">
        <v>44574</v>
      </c>
      <c r="S2574" s="1" t="s">
        <v>778</v>
      </c>
    </row>
    <row r="2575" spans="1:19" hidden="1" outlineLevel="1">
      <c r="A2575" s="1">
        <v>7</v>
      </c>
      <c r="F2575" s="22">
        <v>866854050119877</v>
      </c>
      <c r="M2575" s="2" t="s">
        <v>3166</v>
      </c>
      <c r="N2575" s="2" t="s">
        <v>3167</v>
      </c>
      <c r="O2575" s="18">
        <v>44558</v>
      </c>
      <c r="S2575" s="1" t="s">
        <v>779</v>
      </c>
    </row>
    <row r="2576" spans="1:19" hidden="1" outlineLevel="1">
      <c r="A2576" s="1">
        <v>8</v>
      </c>
      <c r="F2576" s="22">
        <v>866854050101339</v>
      </c>
      <c r="M2576" s="2" t="s">
        <v>3168</v>
      </c>
      <c r="N2576" s="2" t="s">
        <v>1156</v>
      </c>
      <c r="O2576" s="18">
        <v>44571</v>
      </c>
      <c r="S2576" s="1" t="s">
        <v>780</v>
      </c>
    </row>
    <row r="2577" spans="1:19" hidden="1" outlineLevel="1">
      <c r="A2577" s="1">
        <v>9</v>
      </c>
      <c r="F2577" s="22">
        <v>866854050047482</v>
      </c>
      <c r="M2577" s="2" t="s">
        <v>3169</v>
      </c>
      <c r="N2577" s="2" t="s">
        <v>3146</v>
      </c>
      <c r="O2577" s="18">
        <v>44550</v>
      </c>
      <c r="S2577" s="1" t="s">
        <v>781</v>
      </c>
    </row>
    <row r="2578" spans="1:19" hidden="1" outlineLevel="1">
      <c r="A2578" s="1">
        <v>10</v>
      </c>
      <c r="F2578" s="22">
        <v>866854050101297</v>
      </c>
      <c r="M2578" s="2" t="s">
        <v>3170</v>
      </c>
      <c r="N2578" s="2" t="s">
        <v>2014</v>
      </c>
      <c r="O2578" s="18">
        <v>44573</v>
      </c>
      <c r="S2578" s="1" t="s">
        <v>782</v>
      </c>
    </row>
    <row r="2579" spans="1:19" hidden="1" outlineLevel="1">
      <c r="A2579" s="1">
        <v>11</v>
      </c>
      <c r="F2579" s="22">
        <v>866854050092157</v>
      </c>
      <c r="M2579" s="2" t="s">
        <v>3171</v>
      </c>
      <c r="N2579" s="2" t="s">
        <v>3146</v>
      </c>
      <c r="O2579" s="18">
        <v>44547</v>
      </c>
      <c r="S2579" s="1" t="s">
        <v>781</v>
      </c>
    </row>
    <row r="2580" spans="1:19" hidden="1" outlineLevel="1">
      <c r="A2580" s="1">
        <v>12</v>
      </c>
      <c r="F2580" s="22">
        <v>866854050120149</v>
      </c>
      <c r="M2580" s="2" t="s">
        <v>3172</v>
      </c>
      <c r="N2580" s="2" t="s">
        <v>221</v>
      </c>
      <c r="O2580" s="18">
        <v>44578</v>
      </c>
      <c r="S2580" s="1" t="s">
        <v>783</v>
      </c>
    </row>
    <row r="2581" spans="1:19" hidden="1" outlineLevel="1">
      <c r="A2581" s="1">
        <v>13</v>
      </c>
      <c r="F2581" s="22">
        <v>866854050099012</v>
      </c>
      <c r="M2581" s="2" t="s">
        <v>3173</v>
      </c>
      <c r="N2581" s="2" t="s">
        <v>3174</v>
      </c>
      <c r="O2581" s="18">
        <v>44559</v>
      </c>
      <c r="S2581" s="1" t="s">
        <v>784</v>
      </c>
    </row>
    <row r="2582" spans="1:19" hidden="1" outlineLevel="1">
      <c r="A2582" s="1">
        <v>14</v>
      </c>
      <c r="F2582" s="22">
        <v>866854050116105</v>
      </c>
      <c r="M2582" s="2" t="s">
        <v>3175</v>
      </c>
      <c r="N2582" s="2" t="s">
        <v>3146</v>
      </c>
      <c r="O2582" s="18">
        <v>44547</v>
      </c>
      <c r="S2582" s="1" t="s">
        <v>785</v>
      </c>
    </row>
    <row r="2583" spans="1:19" hidden="1" outlineLevel="1">
      <c r="A2583" s="1">
        <v>15</v>
      </c>
      <c r="F2583" s="22">
        <v>866854050244238</v>
      </c>
      <c r="M2583" s="2" t="s">
        <v>3176</v>
      </c>
      <c r="N2583" s="2" t="s">
        <v>2237</v>
      </c>
      <c r="O2583" s="18">
        <v>44579</v>
      </c>
      <c r="S2583" s="1" t="s">
        <v>786</v>
      </c>
    </row>
    <row r="2584" spans="1:19" hidden="1" outlineLevel="1">
      <c r="A2584" s="1">
        <v>16</v>
      </c>
      <c r="F2584" s="22">
        <v>866854050060980</v>
      </c>
      <c r="M2584" s="2" t="s">
        <v>3177</v>
      </c>
      <c r="N2584" s="2" t="s">
        <v>3146</v>
      </c>
      <c r="O2584" s="18">
        <v>44550</v>
      </c>
      <c r="S2584" s="1" t="s">
        <v>785</v>
      </c>
    </row>
    <row r="2585" spans="1:19" hidden="1" outlineLevel="1">
      <c r="A2585" s="1">
        <v>17</v>
      </c>
      <c r="F2585" s="22">
        <v>866854050123804</v>
      </c>
      <c r="M2585" s="2" t="s">
        <v>3178</v>
      </c>
      <c r="N2585" s="2" t="s">
        <v>1210</v>
      </c>
      <c r="O2585" s="18">
        <v>41116</v>
      </c>
      <c r="S2585" s="1" t="s">
        <v>787</v>
      </c>
    </row>
    <row r="2586" spans="1:19" hidden="1" outlineLevel="1">
      <c r="A2586" s="1">
        <v>18</v>
      </c>
      <c r="F2586" s="22">
        <v>866854050047615</v>
      </c>
      <c r="M2586" s="2" t="s">
        <v>3179</v>
      </c>
      <c r="N2586" s="2" t="s">
        <v>3146</v>
      </c>
      <c r="O2586" s="18">
        <v>44547</v>
      </c>
      <c r="S2586" s="1" t="s">
        <v>785</v>
      </c>
    </row>
    <row r="2587" spans="1:19" hidden="1" outlineLevel="1">
      <c r="A2587" s="1">
        <v>19</v>
      </c>
      <c r="F2587" s="22">
        <v>866854050249237</v>
      </c>
      <c r="M2587" s="2" t="s">
        <v>3180</v>
      </c>
      <c r="N2587" s="2" t="s">
        <v>938</v>
      </c>
      <c r="O2587" s="18">
        <v>42444</v>
      </c>
      <c r="S2587" s="1" t="s">
        <v>788</v>
      </c>
    </row>
    <row r="2588" spans="1:19" hidden="1" outlineLevel="1">
      <c r="A2588" s="1">
        <v>20</v>
      </c>
      <c r="F2588" s="22">
        <v>866854050123093</v>
      </c>
      <c r="M2588" s="2" t="s">
        <v>3181</v>
      </c>
      <c r="N2588" s="2" t="s">
        <v>3146</v>
      </c>
      <c r="O2588" s="18">
        <v>44550</v>
      </c>
      <c r="S2588" s="1" t="s">
        <v>785</v>
      </c>
    </row>
    <row r="2589" spans="1:19" hidden="1" outlineLevel="1">
      <c r="A2589" s="1">
        <v>21</v>
      </c>
      <c r="F2589" s="22">
        <v>866854050047516</v>
      </c>
      <c r="M2589" s="2" t="s">
        <v>3182</v>
      </c>
      <c r="N2589" s="2" t="s">
        <v>1936</v>
      </c>
      <c r="O2589" s="18">
        <v>44623</v>
      </c>
      <c r="S2589" s="1" t="s">
        <v>789</v>
      </c>
    </row>
    <row r="2590" spans="1:19" hidden="1" outlineLevel="1">
      <c r="A2590" s="1">
        <v>22</v>
      </c>
      <c r="F2590" s="22">
        <v>866854050083644</v>
      </c>
      <c r="M2590" s="2" t="s">
        <v>3183</v>
      </c>
      <c r="N2590" s="2" t="s">
        <v>212</v>
      </c>
      <c r="O2590" s="18">
        <v>44588</v>
      </c>
      <c r="S2590" s="1" t="s">
        <v>213</v>
      </c>
    </row>
    <row r="2591" spans="1:19" hidden="1" outlineLevel="1">
      <c r="A2591" s="1">
        <v>23</v>
      </c>
      <c r="F2591" s="22">
        <v>866854050047706</v>
      </c>
      <c r="M2591" s="2" t="s">
        <v>3184</v>
      </c>
      <c r="N2591" s="2" t="s">
        <v>1512</v>
      </c>
      <c r="O2591" s="18">
        <v>44581</v>
      </c>
      <c r="S2591" s="1" t="s">
        <v>790</v>
      </c>
    </row>
    <row r="2592" spans="1:19" hidden="1" outlineLevel="1">
      <c r="A2592" s="1">
        <v>24</v>
      </c>
      <c r="F2592" s="22">
        <v>866854050071979</v>
      </c>
      <c r="M2592" s="2" t="s">
        <v>3185</v>
      </c>
      <c r="N2592" s="2" t="s">
        <v>1149</v>
      </c>
      <c r="O2592" s="18">
        <v>44554</v>
      </c>
      <c r="S2592" s="1" t="s">
        <v>791</v>
      </c>
    </row>
    <row r="2593" spans="1:19" hidden="1" outlineLevel="1">
      <c r="A2593" s="1">
        <v>25</v>
      </c>
      <c r="F2593" s="22">
        <v>866854050213902</v>
      </c>
      <c r="M2593" s="2" t="s">
        <v>3186</v>
      </c>
      <c r="N2593" s="2" t="s">
        <v>3187</v>
      </c>
      <c r="O2593" s="18">
        <v>44585</v>
      </c>
      <c r="S2593" s="1" t="s">
        <v>792</v>
      </c>
    </row>
    <row r="2594" spans="1:19" hidden="1" outlineLevel="1">
      <c r="A2594" s="1">
        <v>26</v>
      </c>
      <c r="F2594" s="22">
        <v>866854050124182</v>
      </c>
      <c r="M2594" s="2" t="s">
        <v>3188</v>
      </c>
      <c r="N2594" s="2" t="s">
        <v>3189</v>
      </c>
      <c r="O2594" s="18">
        <v>44581</v>
      </c>
      <c r="S2594" s="1" t="s">
        <v>210</v>
      </c>
    </row>
    <row r="2595" spans="1:19" hidden="1" outlineLevel="1">
      <c r="A2595" s="1">
        <v>27</v>
      </c>
      <c r="F2595" s="22">
        <v>866854050207771</v>
      </c>
      <c r="M2595" s="2" t="s">
        <v>3190</v>
      </c>
      <c r="N2595" s="2" t="s">
        <v>3191</v>
      </c>
      <c r="O2595" s="18">
        <v>44620</v>
      </c>
      <c r="S2595" s="1" t="s">
        <v>789</v>
      </c>
    </row>
    <row r="2596" spans="1:19" hidden="1" outlineLevel="1">
      <c r="A2596" s="1">
        <v>28</v>
      </c>
      <c r="F2596" s="22">
        <v>866854050071706</v>
      </c>
      <c r="M2596" s="2" t="s">
        <v>3192</v>
      </c>
      <c r="N2596" s="2" t="s">
        <v>938</v>
      </c>
      <c r="O2596" s="18">
        <v>43783</v>
      </c>
      <c r="S2596" s="1" t="s">
        <v>793</v>
      </c>
    </row>
    <row r="2597" spans="1:19" hidden="1" outlineLevel="1">
      <c r="A2597" s="1">
        <v>29</v>
      </c>
      <c r="F2597" s="22">
        <v>866854050047318</v>
      </c>
      <c r="M2597" s="2" t="s">
        <v>3193</v>
      </c>
      <c r="N2597" s="2" t="s">
        <v>968</v>
      </c>
      <c r="O2597" s="18">
        <v>44560</v>
      </c>
      <c r="S2597" s="1" t="s">
        <v>794</v>
      </c>
    </row>
    <row r="2598" spans="1:19" hidden="1" outlineLevel="1">
      <c r="A2598" s="1">
        <v>30</v>
      </c>
      <c r="F2598" s="22">
        <v>866854050249534</v>
      </c>
      <c r="M2598" s="2" t="s">
        <v>3194</v>
      </c>
      <c r="N2598" s="2" t="s">
        <v>3195</v>
      </c>
      <c r="O2598" s="18">
        <v>44537</v>
      </c>
      <c r="S2598" s="1" t="s">
        <v>795</v>
      </c>
    </row>
    <row r="2599" spans="1:19" hidden="1" outlineLevel="1">
      <c r="A2599" s="1">
        <v>31</v>
      </c>
      <c r="E2599" s="1" t="s">
        <v>229</v>
      </c>
      <c r="F2599" s="22">
        <v>866854050077463</v>
      </c>
      <c r="M2599" s="2" t="s">
        <v>3196</v>
      </c>
      <c r="N2599" s="2" t="s">
        <v>3197</v>
      </c>
      <c r="O2599" s="18">
        <v>44558</v>
      </c>
    </row>
    <row r="2600" spans="1:19" hidden="1" outlineLevel="1">
      <c r="A2600" s="1">
        <v>32</v>
      </c>
      <c r="F2600" s="22">
        <v>866854050107831</v>
      </c>
      <c r="M2600" s="2" t="s">
        <v>3198</v>
      </c>
      <c r="N2600" s="2" t="s">
        <v>3199</v>
      </c>
      <c r="O2600" s="18">
        <v>44551</v>
      </c>
      <c r="S2600" s="1" t="s">
        <v>796</v>
      </c>
    </row>
    <row r="2601" spans="1:19" hidden="1" outlineLevel="1">
      <c r="A2601" s="1">
        <v>33</v>
      </c>
      <c r="F2601" s="22">
        <v>866854050173643</v>
      </c>
      <c r="M2601" s="2" t="s">
        <v>3200</v>
      </c>
      <c r="N2601" s="2" t="s">
        <v>3201</v>
      </c>
      <c r="O2601" s="18">
        <v>44580</v>
      </c>
      <c r="S2601" s="1" t="s">
        <v>797</v>
      </c>
    </row>
    <row r="2602" spans="1:19" hidden="1" outlineLevel="1">
      <c r="A2602" s="1">
        <v>34</v>
      </c>
      <c r="F2602" s="22">
        <v>866854050077703</v>
      </c>
      <c r="M2602" s="2" t="s">
        <v>3202</v>
      </c>
      <c r="N2602" s="2" t="s">
        <v>3203</v>
      </c>
      <c r="O2602" s="18">
        <v>44579</v>
      </c>
      <c r="S2602" s="1" t="s">
        <v>798</v>
      </c>
    </row>
    <row r="2603" spans="1:19" hidden="1" outlineLevel="1">
      <c r="A2603" s="1">
        <v>35</v>
      </c>
      <c r="F2603" s="22">
        <v>866854050100638</v>
      </c>
      <c r="M2603" s="2" t="s">
        <v>3204</v>
      </c>
      <c r="N2603" s="2" t="s">
        <v>3205</v>
      </c>
      <c r="O2603" s="18">
        <v>44574</v>
      </c>
      <c r="S2603" s="1" t="s">
        <v>799</v>
      </c>
    </row>
    <row r="2604" spans="1:19" hidden="1" outlineLevel="1">
      <c r="A2604" s="1">
        <v>36</v>
      </c>
      <c r="F2604" s="22">
        <v>866854050064800</v>
      </c>
      <c r="M2604" s="2" t="s">
        <v>3206</v>
      </c>
      <c r="N2604" s="2" t="s">
        <v>3207</v>
      </c>
      <c r="O2604" s="18">
        <v>44586</v>
      </c>
      <c r="S2604" s="1" t="s">
        <v>800</v>
      </c>
    </row>
    <row r="2605" spans="1:19" hidden="1" outlineLevel="1">
      <c r="A2605" s="1">
        <v>37</v>
      </c>
      <c r="F2605" s="22">
        <v>866854050136590</v>
      </c>
      <c r="M2605" s="2" t="s">
        <v>3208</v>
      </c>
      <c r="N2605" s="2" t="s">
        <v>3209</v>
      </c>
      <c r="O2605" s="18">
        <v>44580</v>
      </c>
      <c r="S2605" s="1" t="s">
        <v>801</v>
      </c>
    </row>
    <row r="2606" spans="1:19" hidden="1" outlineLevel="1">
      <c r="A2606" s="1">
        <v>38</v>
      </c>
      <c r="F2606" s="22">
        <v>866854050151185</v>
      </c>
      <c r="M2606" s="2" t="s">
        <v>3210</v>
      </c>
      <c r="N2606" s="2" t="s">
        <v>3211</v>
      </c>
      <c r="O2606" s="18">
        <v>44582</v>
      </c>
      <c r="S2606" s="1" t="s">
        <v>802</v>
      </c>
    </row>
    <row r="2607" spans="1:19" hidden="1" outlineLevel="1">
      <c r="A2607" s="1">
        <v>39</v>
      </c>
      <c r="F2607" s="22">
        <v>866854050119448</v>
      </c>
      <c r="M2607" s="2" t="s">
        <v>3212</v>
      </c>
      <c r="N2607" s="2" t="s">
        <v>3213</v>
      </c>
      <c r="O2607" s="18">
        <v>44588</v>
      </c>
      <c r="S2607" s="1" t="s">
        <v>803</v>
      </c>
    </row>
    <row r="2608" spans="1:19" hidden="1" outlineLevel="1">
      <c r="A2608" s="1">
        <v>40</v>
      </c>
      <c r="F2608" s="22">
        <v>866854050122749</v>
      </c>
      <c r="M2608" s="2" t="s">
        <v>3214</v>
      </c>
      <c r="N2608" s="2" t="s">
        <v>3213</v>
      </c>
      <c r="O2608" s="18">
        <v>44588</v>
      </c>
      <c r="S2608" s="1" t="s">
        <v>803</v>
      </c>
    </row>
    <row r="2609" spans="1:19" hidden="1" outlineLevel="1">
      <c r="A2609" s="8"/>
      <c r="B2609" s="58"/>
      <c r="C2609" s="159"/>
      <c r="D2609" s="8"/>
      <c r="E2609" s="8"/>
      <c r="F2609" s="9"/>
      <c r="G2609" s="8"/>
      <c r="H2609" s="8"/>
      <c r="I2609" s="8"/>
      <c r="J2609" s="58"/>
      <c r="K2609" s="8"/>
      <c r="L2609" s="58"/>
      <c r="M2609" s="8"/>
      <c r="N2609" s="8"/>
      <c r="O2609" s="58"/>
      <c r="P2609" s="8"/>
      <c r="Q2609" s="8"/>
      <c r="R2609" s="8"/>
      <c r="S2609" s="8"/>
    </row>
    <row r="2610" spans="1:19" hidden="1" outlineLevel="1">
      <c r="A2610" s="1">
        <v>1</v>
      </c>
      <c r="B2610" s="11">
        <v>44529</v>
      </c>
      <c r="C2610" s="160">
        <v>4932</v>
      </c>
      <c r="E2610" s="1" t="s">
        <v>275</v>
      </c>
      <c r="F2610" s="22">
        <v>353465071968851</v>
      </c>
    </row>
    <row r="2611" spans="1:19" hidden="1" outlineLevel="1">
      <c r="A2611" s="1">
        <v>2</v>
      </c>
      <c r="F2611" s="22">
        <v>353465071976151</v>
      </c>
    </row>
    <row r="2612" spans="1:19" hidden="1" outlineLevel="1">
      <c r="A2612" s="1">
        <v>3</v>
      </c>
      <c r="F2612" s="22">
        <v>353465071968919</v>
      </c>
    </row>
    <row r="2613" spans="1:19" hidden="1" outlineLevel="1">
      <c r="A2613" s="1">
        <v>4</v>
      </c>
      <c r="F2613" s="22">
        <v>353465071986655</v>
      </c>
    </row>
    <row r="2614" spans="1:19" hidden="1" outlineLevel="1">
      <c r="A2614" s="1">
        <v>5</v>
      </c>
      <c r="F2614" s="22">
        <v>353465072282336</v>
      </c>
    </row>
    <row r="2615" spans="1:19" hidden="1" outlineLevel="1">
      <c r="A2615" s="1">
        <v>6</v>
      </c>
      <c r="F2615" s="22">
        <v>353465071604365</v>
      </c>
    </row>
    <row r="2616" spans="1:19" hidden="1" outlineLevel="1">
      <c r="A2616" s="1">
        <v>7</v>
      </c>
      <c r="F2616" s="22">
        <v>353465071985996</v>
      </c>
    </row>
    <row r="2617" spans="1:19" hidden="1" outlineLevel="1">
      <c r="A2617" s="8"/>
      <c r="B2617" s="58"/>
      <c r="C2617" s="159"/>
      <c r="D2617" s="8"/>
      <c r="E2617" s="8"/>
      <c r="F2617" s="9"/>
      <c r="G2617" s="8"/>
      <c r="H2617" s="8"/>
      <c r="I2617" s="8"/>
      <c r="J2617" s="58"/>
      <c r="K2617" s="8"/>
      <c r="L2617" s="58"/>
      <c r="M2617" s="8"/>
      <c r="N2617" s="8"/>
      <c r="O2617" s="58"/>
      <c r="P2617" s="8"/>
      <c r="Q2617" s="8"/>
      <c r="R2617" s="8"/>
      <c r="S2617" s="8"/>
    </row>
    <row r="2618" spans="1:19" hidden="1" outlineLevel="1">
      <c r="A2618" s="1">
        <v>1</v>
      </c>
      <c r="B2618" s="11">
        <v>44536</v>
      </c>
      <c r="C2618" s="160">
        <v>5013</v>
      </c>
      <c r="E2618" s="1" t="s">
        <v>275</v>
      </c>
      <c r="F2618" s="22">
        <v>353465072294422</v>
      </c>
      <c r="G2618" s="4" t="s">
        <v>177</v>
      </c>
      <c r="I2618" s="2" t="s">
        <v>44</v>
      </c>
    </row>
    <row r="2619" spans="1:19" hidden="1" outlineLevel="1">
      <c r="A2619" s="8"/>
      <c r="B2619" s="58"/>
      <c r="C2619" s="159"/>
      <c r="D2619" s="8"/>
      <c r="E2619" s="8"/>
      <c r="F2619" s="9"/>
      <c r="G2619" s="8"/>
      <c r="H2619" s="8"/>
      <c r="I2619" s="8"/>
      <c r="J2619" s="58"/>
      <c r="K2619" s="8"/>
      <c r="L2619" s="58"/>
      <c r="M2619" s="8"/>
      <c r="N2619" s="8"/>
      <c r="O2619" s="58"/>
      <c r="P2619" s="8"/>
      <c r="Q2619" s="8"/>
      <c r="R2619" s="8"/>
      <c r="S2619" s="8"/>
    </row>
    <row r="2620" spans="1:19" hidden="1" outlineLevel="1">
      <c r="A2620" s="1">
        <v>1</v>
      </c>
      <c r="B2620" s="11">
        <v>44540</v>
      </c>
      <c r="C2620" s="160">
        <v>5222</v>
      </c>
      <c r="E2620" s="1" t="s">
        <v>313</v>
      </c>
      <c r="F2620" s="22">
        <v>861292058520769</v>
      </c>
      <c r="G2620" s="4" t="s">
        <v>519</v>
      </c>
      <c r="I2620" s="2" t="s">
        <v>44</v>
      </c>
      <c r="M2620" s="2" t="s">
        <v>3215</v>
      </c>
      <c r="N2620" s="2" t="s">
        <v>314</v>
      </c>
      <c r="O2620" s="18">
        <v>44622</v>
      </c>
    </row>
    <row r="2621" spans="1:19" hidden="1" outlineLevel="1">
      <c r="A2621" s="8"/>
      <c r="B2621" s="58"/>
      <c r="C2621" s="159"/>
      <c r="D2621" s="8"/>
      <c r="E2621" s="8"/>
      <c r="F2621" s="9"/>
      <c r="G2621" s="8"/>
      <c r="H2621" s="8"/>
      <c r="I2621" s="8"/>
      <c r="J2621" s="58"/>
      <c r="K2621" s="8"/>
      <c r="L2621" s="58"/>
      <c r="M2621" s="8"/>
      <c r="N2621" s="8"/>
      <c r="O2621" s="58"/>
      <c r="P2621" s="8"/>
      <c r="Q2621" s="8"/>
      <c r="R2621" s="8"/>
      <c r="S2621" s="8"/>
    </row>
    <row r="2622" spans="1:19" hidden="1" outlineLevel="1">
      <c r="A2622" s="1">
        <v>1</v>
      </c>
      <c r="B2622" s="11">
        <v>44546</v>
      </c>
      <c r="C2622" s="160">
        <v>5310</v>
      </c>
      <c r="E2622" s="1" t="s">
        <v>641</v>
      </c>
      <c r="F2622" s="22">
        <v>860665055877020</v>
      </c>
      <c r="G2622" s="4" t="s">
        <v>519</v>
      </c>
      <c r="M2622" s="2" t="s">
        <v>3216</v>
      </c>
      <c r="N2622" s="2" t="s">
        <v>3217</v>
      </c>
      <c r="O2622" s="18">
        <v>44587</v>
      </c>
    </row>
    <row r="2623" spans="1:19" hidden="1" outlineLevel="1">
      <c r="A2623" s="1">
        <v>2</v>
      </c>
      <c r="F2623" s="22">
        <v>860665055817257</v>
      </c>
      <c r="M2623" s="2" t="s">
        <v>3218</v>
      </c>
      <c r="N2623" s="2" t="s">
        <v>304</v>
      </c>
      <c r="O2623" s="18">
        <v>44553</v>
      </c>
      <c r="S2623" s="1" t="s">
        <v>804</v>
      </c>
    </row>
    <row r="2624" spans="1:19" hidden="1" outlineLevel="1">
      <c r="A2624" s="1">
        <v>3</v>
      </c>
      <c r="F2624" s="22">
        <v>860665055879380</v>
      </c>
      <c r="M2624" s="2" t="s">
        <v>3219</v>
      </c>
      <c r="N2624" s="2" t="s">
        <v>95</v>
      </c>
      <c r="O2624" s="18">
        <v>44553</v>
      </c>
      <c r="S2624" s="1" t="s">
        <v>805</v>
      </c>
    </row>
    <row r="2625" spans="1:19" hidden="1" outlineLevel="1">
      <c r="A2625" s="1">
        <v>4</v>
      </c>
      <c r="F2625" s="22">
        <v>860665055875644</v>
      </c>
      <c r="M2625" s="2" t="s">
        <v>3220</v>
      </c>
      <c r="N2625" s="2" t="s">
        <v>95</v>
      </c>
      <c r="O2625" s="18">
        <v>44553</v>
      </c>
      <c r="S2625" s="1" t="s">
        <v>805</v>
      </c>
    </row>
    <row r="2626" spans="1:19" hidden="1" outlineLevel="1">
      <c r="A2626" s="1">
        <v>5</v>
      </c>
      <c r="F2626" s="22">
        <v>860665055877970</v>
      </c>
      <c r="G2626" s="4" t="s">
        <v>519</v>
      </c>
      <c r="M2626" s="2" t="s">
        <v>3221</v>
      </c>
      <c r="N2626" s="2" t="s">
        <v>3222</v>
      </c>
      <c r="O2626" s="18">
        <v>44602</v>
      </c>
    </row>
    <row r="2627" spans="1:19" hidden="1" outlineLevel="1">
      <c r="A2627" s="8"/>
      <c r="B2627" s="58"/>
      <c r="C2627" s="159"/>
      <c r="D2627" s="8"/>
      <c r="E2627" s="8"/>
      <c r="F2627" s="9"/>
      <c r="G2627" s="8"/>
      <c r="H2627" s="8"/>
      <c r="I2627" s="8"/>
      <c r="J2627" s="58"/>
      <c r="K2627" s="8"/>
      <c r="L2627" s="58"/>
      <c r="M2627" s="8"/>
      <c r="N2627" s="8"/>
      <c r="O2627" s="58"/>
      <c r="P2627" s="8"/>
      <c r="Q2627" s="8"/>
      <c r="R2627" s="8"/>
      <c r="S2627" s="8"/>
    </row>
    <row r="2628" spans="1:19" hidden="1" outlineLevel="1">
      <c r="A2628" s="1">
        <v>1</v>
      </c>
      <c r="B2628" s="11">
        <v>44546</v>
      </c>
      <c r="C2628" s="160">
        <v>5311</v>
      </c>
      <c r="E2628" s="1" t="s">
        <v>627</v>
      </c>
      <c r="F2628" s="22">
        <v>862531049090807</v>
      </c>
      <c r="M2628" s="2" t="s">
        <v>3223</v>
      </c>
      <c r="N2628" s="2" t="s">
        <v>1195</v>
      </c>
      <c r="O2628" s="18">
        <v>44548</v>
      </c>
    </row>
    <row r="2629" spans="1:19" hidden="1" outlineLevel="1">
      <c r="A2629" s="1">
        <v>2</v>
      </c>
      <c r="F2629" s="22">
        <v>862531049082481</v>
      </c>
      <c r="M2629" s="2" t="s">
        <v>3224</v>
      </c>
      <c r="N2629" s="2" t="s">
        <v>1195</v>
      </c>
      <c r="O2629" s="18">
        <v>44548</v>
      </c>
    </row>
    <row r="2630" spans="1:19" hidden="1" outlineLevel="1">
      <c r="A2630" s="1">
        <v>3</v>
      </c>
      <c r="F2630" s="22">
        <v>862531049091185</v>
      </c>
      <c r="M2630" s="2" t="s">
        <v>3225</v>
      </c>
      <c r="N2630" s="2" t="s">
        <v>1195</v>
      </c>
      <c r="O2630" s="18">
        <v>44551</v>
      </c>
    </row>
    <row r="2631" spans="1:19" hidden="1" outlineLevel="1">
      <c r="A2631" s="1">
        <v>4</v>
      </c>
      <c r="F2631" s="22">
        <v>862531049102909</v>
      </c>
      <c r="M2631" s="2" t="s">
        <v>3226</v>
      </c>
      <c r="N2631" s="2" t="s">
        <v>1195</v>
      </c>
      <c r="O2631" s="18">
        <v>44548</v>
      </c>
    </row>
    <row r="2632" spans="1:19" hidden="1" outlineLevel="1">
      <c r="A2632" s="1">
        <v>5</v>
      </c>
      <c r="F2632" s="22">
        <v>862531049102487</v>
      </c>
      <c r="M2632" s="2" t="s">
        <v>3227</v>
      </c>
      <c r="N2632" s="2" t="s">
        <v>1195</v>
      </c>
      <c r="O2632" s="18">
        <v>44551</v>
      </c>
    </row>
    <row r="2633" spans="1:19" hidden="1" outlineLevel="1">
      <c r="A2633" s="1">
        <v>6</v>
      </c>
      <c r="F2633" s="22">
        <v>862531049082531</v>
      </c>
      <c r="M2633" s="2" t="s">
        <v>3228</v>
      </c>
      <c r="N2633" s="2" t="s">
        <v>1195</v>
      </c>
      <c r="O2633" s="18">
        <v>44551</v>
      </c>
    </row>
    <row r="2634" spans="1:19" hidden="1" outlineLevel="1">
      <c r="A2634" s="1">
        <v>7</v>
      </c>
      <c r="F2634" s="22">
        <v>862531049082259</v>
      </c>
      <c r="M2634" s="2" t="s">
        <v>3229</v>
      </c>
      <c r="N2634" s="2" t="s">
        <v>1195</v>
      </c>
      <c r="O2634" s="18">
        <v>44551</v>
      </c>
    </row>
    <row r="2635" spans="1:19" hidden="1" outlineLevel="1">
      <c r="A2635" s="1">
        <v>8</v>
      </c>
      <c r="F2635" s="22">
        <v>862531049082317</v>
      </c>
      <c r="M2635" s="2" t="s">
        <v>3230</v>
      </c>
      <c r="N2635" s="2" t="s">
        <v>1195</v>
      </c>
      <c r="O2635" s="18">
        <v>44558</v>
      </c>
    </row>
    <row r="2636" spans="1:19" hidden="1" outlineLevel="1">
      <c r="A2636" s="1">
        <v>9</v>
      </c>
      <c r="F2636" s="22">
        <v>862531049091342</v>
      </c>
      <c r="M2636" s="2" t="s">
        <v>3231</v>
      </c>
      <c r="N2636" s="2" t="s">
        <v>1195</v>
      </c>
      <c r="O2636" s="18">
        <v>44548</v>
      </c>
    </row>
    <row r="2637" spans="1:19" collapsed="1">
      <c r="A2637" s="8">
        <v>2022</v>
      </c>
      <c r="B2637" s="58"/>
      <c r="C2637" s="159"/>
      <c r="D2637" s="8"/>
      <c r="E2637" s="8"/>
      <c r="F2637" s="9"/>
      <c r="G2637" s="8"/>
      <c r="H2637" s="8"/>
      <c r="I2637" s="8"/>
      <c r="J2637" s="58"/>
      <c r="K2637" s="8"/>
      <c r="L2637" s="58"/>
      <c r="M2637" s="8"/>
      <c r="N2637" s="8"/>
      <c r="O2637" s="58"/>
      <c r="P2637" s="8"/>
      <c r="Q2637" s="8"/>
      <c r="R2637" s="8"/>
      <c r="S2637" s="8"/>
    </row>
    <row r="2638" spans="1:19">
      <c r="A2638" s="1">
        <v>1</v>
      </c>
      <c r="B2638" s="11">
        <v>44581</v>
      </c>
      <c r="C2638" s="160">
        <v>274</v>
      </c>
      <c r="E2638" s="1" t="s">
        <v>176</v>
      </c>
      <c r="F2638" s="22">
        <v>866854053776129</v>
      </c>
      <c r="G2638" s="4" t="s">
        <v>177</v>
      </c>
      <c r="M2638" s="2" t="s">
        <v>178</v>
      </c>
      <c r="N2638" s="2" t="s">
        <v>179</v>
      </c>
      <c r="O2638" s="18">
        <v>44613</v>
      </c>
      <c r="S2638" s="1" t="s">
        <v>180</v>
      </c>
    </row>
    <row r="2639" spans="1:19">
      <c r="A2639" s="1">
        <v>2</v>
      </c>
      <c r="F2639" s="22">
        <v>866854051152893</v>
      </c>
      <c r="G2639" s="4" t="s">
        <v>177</v>
      </c>
      <c r="M2639" s="2" t="s">
        <v>181</v>
      </c>
      <c r="N2639" s="2" t="s">
        <v>182</v>
      </c>
      <c r="O2639" s="18">
        <v>44613</v>
      </c>
      <c r="S2639" s="1" t="s">
        <v>183</v>
      </c>
    </row>
    <row r="2640" spans="1:19">
      <c r="A2640" s="1">
        <v>3</v>
      </c>
      <c r="F2640" s="22">
        <v>866854051105776</v>
      </c>
      <c r="G2640" s="4" t="s">
        <v>177</v>
      </c>
      <c r="M2640" s="2" t="s">
        <v>184</v>
      </c>
      <c r="N2640" s="2" t="s">
        <v>185</v>
      </c>
      <c r="O2640" s="18">
        <v>44619</v>
      </c>
      <c r="S2640" s="1" t="s">
        <v>186</v>
      </c>
    </row>
    <row r="2641" spans="1:19">
      <c r="A2641" s="1">
        <v>4</v>
      </c>
      <c r="F2641" s="22">
        <v>866854050633232</v>
      </c>
      <c r="G2641" s="4" t="s">
        <v>177</v>
      </c>
      <c r="M2641" s="2" t="s">
        <v>187</v>
      </c>
      <c r="N2641" s="2" t="s">
        <v>188</v>
      </c>
      <c r="O2641" s="18">
        <v>44613</v>
      </c>
      <c r="S2641" s="1" t="s">
        <v>189</v>
      </c>
    </row>
    <row r="2642" spans="1:19">
      <c r="A2642" s="1">
        <v>5</v>
      </c>
      <c r="F2642" s="22">
        <v>866854051189754</v>
      </c>
      <c r="G2642" s="4" t="s">
        <v>177</v>
      </c>
      <c r="M2642" s="2" t="s">
        <v>190</v>
      </c>
      <c r="N2642" s="2" t="s">
        <v>191</v>
      </c>
      <c r="O2642" s="18">
        <v>44609</v>
      </c>
      <c r="S2642" s="1" t="s">
        <v>192</v>
      </c>
    </row>
    <row r="2643" spans="1:19">
      <c r="A2643" s="1">
        <v>6</v>
      </c>
      <c r="F2643" s="22">
        <v>866854051179441</v>
      </c>
      <c r="G2643" s="4" t="s">
        <v>177</v>
      </c>
      <c r="M2643" s="2" t="s">
        <v>193</v>
      </c>
      <c r="N2643" s="2" t="s">
        <v>194</v>
      </c>
      <c r="O2643" s="18">
        <v>44599</v>
      </c>
      <c r="S2643" s="1" t="s">
        <v>195</v>
      </c>
    </row>
    <row r="2644" spans="1:19">
      <c r="A2644" s="1">
        <v>7</v>
      </c>
      <c r="F2644" s="22">
        <v>866854051187923</v>
      </c>
      <c r="G2644" s="4" t="s">
        <v>177</v>
      </c>
      <c r="M2644" s="2" t="s">
        <v>196</v>
      </c>
      <c r="N2644" s="2" t="s">
        <v>197</v>
      </c>
      <c r="O2644" s="18">
        <v>44594</v>
      </c>
      <c r="S2644" s="1" t="s">
        <v>198</v>
      </c>
    </row>
    <row r="2645" spans="1:19">
      <c r="A2645" s="1">
        <v>8</v>
      </c>
      <c r="F2645" s="22">
        <v>866854051190422</v>
      </c>
      <c r="G2645" s="4" t="s">
        <v>177</v>
      </c>
      <c r="M2645" s="2" t="s">
        <v>199</v>
      </c>
      <c r="N2645" s="2" t="s">
        <v>200</v>
      </c>
      <c r="O2645" s="18">
        <v>44596</v>
      </c>
      <c r="S2645" s="1" t="s">
        <v>201</v>
      </c>
    </row>
    <row r="2646" spans="1:19">
      <c r="A2646" s="1">
        <v>9</v>
      </c>
      <c r="F2646" s="22">
        <v>866854051001199</v>
      </c>
      <c r="G2646" s="4" t="s">
        <v>177</v>
      </c>
      <c r="M2646" s="2" t="s">
        <v>202</v>
      </c>
      <c r="N2646" s="2" t="s">
        <v>203</v>
      </c>
      <c r="O2646" s="18">
        <v>44603</v>
      </c>
      <c r="S2646" s="1" t="s">
        <v>204</v>
      </c>
    </row>
    <row r="2647" spans="1:19">
      <c r="A2647" s="1">
        <v>10</v>
      </c>
      <c r="F2647" s="22">
        <v>866854050622730</v>
      </c>
      <c r="G2647" s="4" t="s">
        <v>177</v>
      </c>
      <c r="M2647" s="2" t="s">
        <v>205</v>
      </c>
      <c r="N2647" s="2" t="s">
        <v>206</v>
      </c>
      <c r="O2647" s="18">
        <v>44599</v>
      </c>
      <c r="S2647" s="1" t="s">
        <v>207</v>
      </c>
    </row>
    <row r="2648" spans="1:19">
      <c r="A2648" s="1">
        <v>11</v>
      </c>
      <c r="F2648" s="22">
        <v>866854050560559</v>
      </c>
      <c r="M2648" s="2" t="s">
        <v>208</v>
      </c>
      <c r="N2648" s="2" t="s">
        <v>209</v>
      </c>
      <c r="O2648" s="18">
        <v>44582</v>
      </c>
      <c r="S2648" s="1" t="s">
        <v>210</v>
      </c>
    </row>
    <row r="2649" spans="1:19">
      <c r="A2649" s="1">
        <v>12</v>
      </c>
      <c r="F2649" s="22">
        <v>866854050563389</v>
      </c>
      <c r="M2649" s="2" t="s">
        <v>211</v>
      </c>
      <c r="N2649" s="2" t="s">
        <v>212</v>
      </c>
      <c r="O2649" s="18">
        <v>44588</v>
      </c>
      <c r="S2649" s="1" t="s">
        <v>213</v>
      </c>
    </row>
    <row r="2650" spans="1:19">
      <c r="A2650" s="1">
        <v>13</v>
      </c>
      <c r="F2650" s="22">
        <v>866854051094236</v>
      </c>
      <c r="M2650" s="2" t="s">
        <v>214</v>
      </c>
      <c r="N2650" s="2" t="s">
        <v>212</v>
      </c>
      <c r="O2650" s="18">
        <v>44588</v>
      </c>
      <c r="S2650" s="1" t="s">
        <v>213</v>
      </c>
    </row>
    <row r="2651" spans="1:19">
      <c r="A2651" s="1">
        <v>14</v>
      </c>
      <c r="F2651" s="22">
        <v>866854051180563</v>
      </c>
      <c r="M2651" s="2" t="s">
        <v>215</v>
      </c>
      <c r="N2651" s="2" t="s">
        <v>212</v>
      </c>
      <c r="O2651" s="18">
        <v>44588</v>
      </c>
      <c r="S2651" s="1" t="s">
        <v>213</v>
      </c>
    </row>
    <row r="2652" spans="1:19">
      <c r="A2652" s="1">
        <v>15</v>
      </c>
      <c r="F2652" s="22">
        <v>866854051183120</v>
      </c>
      <c r="M2652" s="2" t="s">
        <v>216</v>
      </c>
      <c r="N2652" s="2" t="s">
        <v>212</v>
      </c>
      <c r="O2652" s="18">
        <v>44588</v>
      </c>
      <c r="S2652" s="1" t="s">
        <v>213</v>
      </c>
    </row>
    <row r="2653" spans="1:19">
      <c r="A2653" s="1">
        <v>16</v>
      </c>
      <c r="F2653" s="22">
        <v>866854051095019</v>
      </c>
      <c r="M2653" s="2" t="s">
        <v>217</v>
      </c>
      <c r="N2653" s="2" t="s">
        <v>218</v>
      </c>
      <c r="O2653" s="18">
        <v>44610</v>
      </c>
      <c r="S2653" s="1" t="s">
        <v>219</v>
      </c>
    </row>
    <row r="2654" spans="1:19">
      <c r="A2654" s="1">
        <v>17</v>
      </c>
      <c r="F2654" s="22">
        <v>866854051094772</v>
      </c>
      <c r="G2654" s="4" t="s">
        <v>177</v>
      </c>
      <c r="N2654" s="2" t="s">
        <v>3232</v>
      </c>
      <c r="O2654" s="18">
        <v>44638</v>
      </c>
    </row>
    <row r="2655" spans="1:19">
      <c r="A2655" s="1">
        <v>18</v>
      </c>
      <c r="F2655" s="22">
        <v>866854050702086</v>
      </c>
      <c r="M2655" s="2" t="s">
        <v>220</v>
      </c>
      <c r="N2655" s="2" t="s">
        <v>221</v>
      </c>
      <c r="O2655" s="18">
        <v>44592</v>
      </c>
      <c r="S2655" s="1" t="s">
        <v>222</v>
      </c>
    </row>
    <row r="2656" spans="1:19">
      <c r="A2656" s="1">
        <v>19</v>
      </c>
      <c r="F2656" s="22">
        <v>866854050556367</v>
      </c>
      <c r="M2656" s="2" t="s">
        <v>223</v>
      </c>
      <c r="N2656" s="2" t="s">
        <v>224</v>
      </c>
      <c r="O2656" s="18">
        <v>44589</v>
      </c>
      <c r="S2656" s="1" t="s">
        <v>225</v>
      </c>
    </row>
    <row r="2657" spans="1:19">
      <c r="A2657" s="1">
        <v>20</v>
      </c>
      <c r="F2657" s="22">
        <v>866854053053172</v>
      </c>
      <c r="M2657" s="2" t="s">
        <v>226</v>
      </c>
      <c r="N2657" s="2" t="s">
        <v>227</v>
      </c>
      <c r="O2657" s="18">
        <v>44589</v>
      </c>
      <c r="S2657" s="1" t="s">
        <v>228</v>
      </c>
    </row>
    <row r="2658" spans="1:19">
      <c r="A2658" s="1">
        <v>21</v>
      </c>
      <c r="E2658" s="1" t="s">
        <v>229</v>
      </c>
      <c r="F2658" s="22">
        <v>866854050982969</v>
      </c>
      <c r="G2658" s="4" t="s">
        <v>177</v>
      </c>
      <c r="M2658" s="2" t="s">
        <v>230</v>
      </c>
      <c r="N2658" s="2" t="s">
        <v>231</v>
      </c>
      <c r="O2658" s="18">
        <v>44614</v>
      </c>
      <c r="S2658" s="1" t="s">
        <v>232</v>
      </c>
    </row>
    <row r="2659" spans="1:19">
      <c r="A2659" s="1">
        <v>22</v>
      </c>
      <c r="F2659" s="22">
        <v>866854050984221</v>
      </c>
      <c r="G2659" s="4" t="s">
        <v>177</v>
      </c>
      <c r="M2659" s="2" t="s">
        <v>233</v>
      </c>
      <c r="N2659" s="2" t="s">
        <v>234</v>
      </c>
      <c r="O2659" s="18">
        <v>44609</v>
      </c>
      <c r="S2659" s="1" t="s">
        <v>235</v>
      </c>
    </row>
    <row r="2660" spans="1:19">
      <c r="A2660" s="1">
        <v>23</v>
      </c>
      <c r="F2660" s="22">
        <v>866854050998205</v>
      </c>
      <c r="G2660" s="4" t="s">
        <v>177</v>
      </c>
      <c r="M2660" s="2" t="s">
        <v>236</v>
      </c>
      <c r="N2660" s="2" t="s">
        <v>237</v>
      </c>
      <c r="O2660" s="18">
        <v>44614</v>
      </c>
      <c r="S2660" s="1" t="s">
        <v>238</v>
      </c>
    </row>
    <row r="2661" spans="1:19">
      <c r="A2661" s="1">
        <v>24</v>
      </c>
      <c r="F2661" s="22">
        <v>866854050560245</v>
      </c>
      <c r="G2661" s="4" t="s">
        <v>177</v>
      </c>
      <c r="N2661" s="2" t="s">
        <v>237</v>
      </c>
      <c r="S2661" s="1" t="s">
        <v>238</v>
      </c>
    </row>
    <row r="2662" spans="1:19">
      <c r="A2662" s="1">
        <v>25</v>
      </c>
      <c r="F2662" s="22">
        <v>866854050691966</v>
      </c>
      <c r="G2662" s="4" t="s">
        <v>177</v>
      </c>
      <c r="N2662" s="2" t="s">
        <v>237</v>
      </c>
      <c r="S2662" s="1" t="s">
        <v>238</v>
      </c>
    </row>
    <row r="2663" spans="1:19">
      <c r="A2663" s="1">
        <v>26</v>
      </c>
      <c r="F2663" s="22">
        <v>866854052932384</v>
      </c>
      <c r="G2663" s="4" t="s">
        <v>177</v>
      </c>
      <c r="M2663" s="2" t="s">
        <v>239</v>
      </c>
      <c r="N2663" s="2" t="s">
        <v>240</v>
      </c>
      <c r="O2663" s="18">
        <v>44601</v>
      </c>
      <c r="S2663" s="1" t="s">
        <v>241</v>
      </c>
    </row>
    <row r="2664" spans="1:19">
      <c r="A2664" s="1">
        <v>27</v>
      </c>
      <c r="F2664" s="22">
        <v>866854052867721</v>
      </c>
      <c r="G2664" s="4" t="s">
        <v>177</v>
      </c>
      <c r="N2664" s="2" t="s">
        <v>237</v>
      </c>
      <c r="S2664" s="1" t="s">
        <v>238</v>
      </c>
    </row>
    <row r="2665" spans="1:19">
      <c r="A2665" s="1">
        <v>28</v>
      </c>
      <c r="F2665" s="22">
        <v>866854050978611</v>
      </c>
      <c r="G2665" s="4" t="s">
        <v>177</v>
      </c>
      <c r="M2665" s="2" t="s">
        <v>242</v>
      </c>
      <c r="N2665" s="2" t="s">
        <v>243</v>
      </c>
      <c r="O2665" s="18">
        <v>44595</v>
      </c>
      <c r="S2665" s="1" t="s">
        <v>244</v>
      </c>
    </row>
    <row r="2666" spans="1:19">
      <c r="A2666" s="1">
        <v>29</v>
      </c>
      <c r="F2666" s="22">
        <v>866854050935611</v>
      </c>
      <c r="G2666" s="4" t="s">
        <v>245</v>
      </c>
      <c r="M2666" s="2" t="s">
        <v>246</v>
      </c>
      <c r="N2666" s="2" t="s">
        <v>247</v>
      </c>
      <c r="S2666" s="1" t="s">
        <v>248</v>
      </c>
    </row>
    <row r="2667" spans="1:19">
      <c r="A2667" s="1">
        <v>30</v>
      </c>
      <c r="F2667" s="22">
        <v>866854051066325</v>
      </c>
      <c r="G2667" s="4" t="s">
        <v>177</v>
      </c>
      <c r="M2667" s="2" t="s">
        <v>249</v>
      </c>
      <c r="N2667" s="2" t="s">
        <v>250</v>
      </c>
      <c r="O2667" s="18">
        <v>44614</v>
      </c>
      <c r="S2667" s="1" t="s">
        <v>251</v>
      </c>
    </row>
    <row r="2668" spans="1:19">
      <c r="A2668" s="1">
        <v>31</v>
      </c>
      <c r="F2668" s="22">
        <v>866854050687840</v>
      </c>
      <c r="G2668" s="4" t="s">
        <v>177</v>
      </c>
      <c r="M2668" s="2" t="s">
        <v>252</v>
      </c>
      <c r="N2668" s="2" t="s">
        <v>237</v>
      </c>
      <c r="O2668" s="18">
        <v>44614</v>
      </c>
      <c r="S2668" s="1" t="s">
        <v>238</v>
      </c>
    </row>
    <row r="2669" spans="1:19">
      <c r="A2669" s="1">
        <v>32</v>
      </c>
      <c r="F2669" s="22">
        <v>866854050519803</v>
      </c>
      <c r="G2669" s="4" t="s">
        <v>177</v>
      </c>
      <c r="N2669" s="2" t="s">
        <v>237</v>
      </c>
      <c r="S2669" s="1" t="s">
        <v>238</v>
      </c>
    </row>
    <row r="2670" spans="1:19">
      <c r="A2670" s="1">
        <v>33</v>
      </c>
      <c r="F2670" s="22">
        <v>866854050693459</v>
      </c>
      <c r="G2670" s="4" t="s">
        <v>177</v>
      </c>
      <c r="M2670" s="2" t="s">
        <v>253</v>
      </c>
      <c r="N2670" s="2" t="s">
        <v>243</v>
      </c>
      <c r="O2670" s="18">
        <v>44606</v>
      </c>
      <c r="S2670" s="1" t="s">
        <v>241</v>
      </c>
    </row>
    <row r="2671" spans="1:19">
      <c r="A2671" s="1">
        <v>34</v>
      </c>
      <c r="F2671" s="22">
        <v>866854051106527</v>
      </c>
      <c r="G2671" s="4" t="s">
        <v>177</v>
      </c>
      <c r="M2671" s="2" t="s">
        <v>254</v>
      </c>
      <c r="N2671" s="2" t="s">
        <v>255</v>
      </c>
      <c r="O2671" s="18">
        <v>44609</v>
      </c>
      <c r="S2671" s="1" t="s">
        <v>256</v>
      </c>
    </row>
    <row r="2672" spans="1:19">
      <c r="A2672" s="1">
        <v>35</v>
      </c>
      <c r="F2672" s="22">
        <v>866854050688327</v>
      </c>
      <c r="G2672" s="4" t="s">
        <v>177</v>
      </c>
      <c r="M2672" s="2" t="s">
        <v>257</v>
      </c>
      <c r="N2672" s="2" t="s">
        <v>240</v>
      </c>
      <c r="O2672" s="18">
        <v>44601</v>
      </c>
      <c r="S2672" s="1" t="s">
        <v>241</v>
      </c>
    </row>
    <row r="2673" spans="1:19">
      <c r="A2673" s="1">
        <v>36</v>
      </c>
      <c r="F2673" s="22">
        <v>866854050547515</v>
      </c>
      <c r="G2673" s="4" t="s">
        <v>177</v>
      </c>
      <c r="M2673" s="2" t="s">
        <v>258</v>
      </c>
      <c r="N2673" s="2" t="s">
        <v>185</v>
      </c>
      <c r="O2673" s="18">
        <v>44600</v>
      </c>
      <c r="S2673" s="1" t="s">
        <v>259</v>
      </c>
    </row>
    <row r="2674" spans="1:19">
      <c r="A2674" s="1">
        <v>37</v>
      </c>
      <c r="F2674" s="22">
        <v>866854050527541</v>
      </c>
      <c r="M2674" s="2" t="s">
        <v>260</v>
      </c>
      <c r="N2674" s="2" t="s">
        <v>261</v>
      </c>
      <c r="O2674" s="18">
        <v>44592</v>
      </c>
      <c r="S2674" s="1" t="s">
        <v>262</v>
      </c>
    </row>
    <row r="2675" spans="1:19">
      <c r="A2675" s="1">
        <v>38</v>
      </c>
      <c r="F2675" s="22">
        <v>866854051116484</v>
      </c>
      <c r="G2675" s="4" t="s">
        <v>263</v>
      </c>
      <c r="M2675" s="2" t="s">
        <v>264</v>
      </c>
      <c r="N2675" s="2" t="s">
        <v>265</v>
      </c>
      <c r="O2675" s="18">
        <v>44592</v>
      </c>
    </row>
    <row r="2676" spans="1:19">
      <c r="A2676" s="1">
        <v>39</v>
      </c>
      <c r="F2676" s="22">
        <v>866854050982977</v>
      </c>
      <c r="G2676" s="4" t="s">
        <v>177</v>
      </c>
      <c r="M2676" s="2" t="s">
        <v>266</v>
      </c>
      <c r="N2676" s="2" t="s">
        <v>267</v>
      </c>
      <c r="O2676" s="18">
        <v>44595</v>
      </c>
      <c r="S2676" s="1" t="s">
        <v>268</v>
      </c>
    </row>
    <row r="2677" spans="1:19">
      <c r="A2677" s="1">
        <v>40</v>
      </c>
      <c r="F2677" s="22">
        <v>866854050982035</v>
      </c>
      <c r="G2677" s="4" t="s">
        <v>177</v>
      </c>
      <c r="M2677" s="2" t="s">
        <v>269</v>
      </c>
      <c r="N2677" s="2" t="s">
        <v>243</v>
      </c>
      <c r="O2677" s="18">
        <v>44606</v>
      </c>
      <c r="S2677" s="1" t="s">
        <v>241</v>
      </c>
    </row>
    <row r="2678" spans="1:19">
      <c r="A2678" s="1">
        <v>41</v>
      </c>
      <c r="E2678" s="1" t="s">
        <v>270</v>
      </c>
      <c r="F2678" s="22">
        <v>866854052647198</v>
      </c>
      <c r="G2678" s="4" t="s">
        <v>177</v>
      </c>
      <c r="I2678" s="2" t="s">
        <v>44</v>
      </c>
    </row>
    <row r="2679" spans="1:19">
      <c r="A2679" s="1">
        <v>42</v>
      </c>
      <c r="F2679" s="22">
        <v>866854051206574</v>
      </c>
      <c r="G2679" s="4" t="s">
        <v>177</v>
      </c>
      <c r="M2679" s="2" t="s">
        <v>271</v>
      </c>
      <c r="N2679" s="2" t="s">
        <v>272</v>
      </c>
      <c r="O2679" s="18">
        <v>44608</v>
      </c>
      <c r="S2679" s="1" t="s">
        <v>273</v>
      </c>
    </row>
    <row r="2680" spans="1:19">
      <c r="A2680" s="1">
        <v>43</v>
      </c>
      <c r="F2680" s="22">
        <v>866854052631796</v>
      </c>
      <c r="G2680" s="4" t="s">
        <v>177</v>
      </c>
      <c r="I2680" s="2" t="s">
        <v>44</v>
      </c>
    </row>
    <row r="2681" spans="1:19">
      <c r="A2681" s="1">
        <v>44</v>
      </c>
      <c r="F2681" s="22">
        <v>866854052633677</v>
      </c>
      <c r="G2681" s="4" t="s">
        <v>177</v>
      </c>
      <c r="I2681" s="2" t="s">
        <v>44</v>
      </c>
    </row>
    <row r="2682" spans="1:19">
      <c r="A2682" s="1">
        <v>45</v>
      </c>
      <c r="F2682" s="22">
        <v>866854052654475</v>
      </c>
      <c r="G2682" s="4" t="s">
        <v>177</v>
      </c>
      <c r="M2682" s="2" t="s">
        <v>271</v>
      </c>
      <c r="N2682" s="2" t="s">
        <v>274</v>
      </c>
      <c r="O2682" s="18">
        <v>44608</v>
      </c>
      <c r="S2682" s="1" t="s">
        <v>273</v>
      </c>
    </row>
    <row r="2683" spans="1:19">
      <c r="A2683" s="8"/>
      <c r="B2683" s="58"/>
      <c r="C2683" s="159"/>
      <c r="D2683" s="8"/>
      <c r="E2683" s="8"/>
      <c r="F2683" s="9"/>
      <c r="G2683" s="8"/>
      <c r="H2683" s="8"/>
      <c r="I2683" s="8"/>
      <c r="J2683" s="58"/>
      <c r="K2683" s="8"/>
      <c r="L2683" s="58"/>
      <c r="M2683" s="8"/>
      <c r="N2683" s="8"/>
      <c r="O2683" s="58"/>
      <c r="P2683" s="8"/>
      <c r="Q2683" s="8"/>
      <c r="R2683" s="8"/>
      <c r="S2683" s="8"/>
    </row>
    <row r="2684" spans="1:19">
      <c r="A2684" s="1">
        <v>1</v>
      </c>
      <c r="B2684" s="11">
        <v>44581</v>
      </c>
      <c r="C2684" s="160">
        <v>275</v>
      </c>
      <c r="E2684" s="1" t="s">
        <v>275</v>
      </c>
      <c r="F2684" s="22">
        <v>353465071991275</v>
      </c>
      <c r="G2684" s="4" t="s">
        <v>177</v>
      </c>
      <c r="I2684" s="2" t="s">
        <v>44</v>
      </c>
      <c r="N2684" s="2" t="s">
        <v>3233</v>
      </c>
      <c r="O2684" s="18">
        <v>44635</v>
      </c>
    </row>
    <row r="2685" spans="1:19">
      <c r="A2685" s="8"/>
      <c r="B2685" s="58"/>
      <c r="C2685" s="159"/>
      <c r="D2685" s="8"/>
      <c r="E2685" s="8"/>
      <c r="F2685" s="9"/>
      <c r="G2685" s="8"/>
      <c r="H2685" s="8"/>
      <c r="I2685" s="8"/>
      <c r="J2685" s="58"/>
      <c r="K2685" s="8"/>
      <c r="L2685" s="58"/>
      <c r="M2685" s="8"/>
      <c r="N2685" s="8"/>
      <c r="O2685" s="58"/>
      <c r="P2685" s="8"/>
      <c r="Q2685" s="8"/>
      <c r="R2685" s="8"/>
      <c r="S2685" s="8"/>
    </row>
    <row r="2686" spans="1:19">
      <c r="A2686" s="1">
        <v>1</v>
      </c>
      <c r="B2686" s="11">
        <v>44603</v>
      </c>
      <c r="C2686" s="160">
        <v>549</v>
      </c>
      <c r="E2686" s="1" t="s">
        <v>176</v>
      </c>
      <c r="F2686" s="22">
        <v>866854050996175</v>
      </c>
      <c r="I2686" s="2" t="s">
        <v>44</v>
      </c>
      <c r="M2686" s="2" t="s">
        <v>3234</v>
      </c>
      <c r="N2686" s="2" t="s">
        <v>276</v>
      </c>
      <c r="O2686" s="18">
        <v>44630</v>
      </c>
      <c r="S2686" s="1" t="s">
        <v>806</v>
      </c>
    </row>
    <row r="2687" spans="1:19">
      <c r="A2687" s="1">
        <v>2</v>
      </c>
      <c r="F2687" s="22">
        <v>866854051100686</v>
      </c>
      <c r="I2687" s="2" t="s">
        <v>44</v>
      </c>
      <c r="M2687" s="2" t="s">
        <v>277</v>
      </c>
      <c r="N2687" s="2" t="s">
        <v>278</v>
      </c>
      <c r="O2687" s="18">
        <v>44624</v>
      </c>
    </row>
    <row r="2688" spans="1:19">
      <c r="A2688" s="1">
        <v>3</v>
      </c>
      <c r="F2688" s="22">
        <v>866854050918021</v>
      </c>
      <c r="I2688" s="2" t="s">
        <v>44</v>
      </c>
      <c r="M2688" s="2" t="s">
        <v>279</v>
      </c>
      <c r="N2688" s="2" t="s">
        <v>280</v>
      </c>
      <c r="O2688" s="18">
        <v>44623</v>
      </c>
      <c r="S2688" s="1" t="s">
        <v>807</v>
      </c>
    </row>
    <row r="2689" spans="1:19">
      <c r="A2689" s="1">
        <v>4</v>
      </c>
      <c r="F2689" s="22">
        <v>866854051114224</v>
      </c>
      <c r="I2689" s="2" t="s">
        <v>44</v>
      </c>
      <c r="M2689" s="2" t="s">
        <v>281</v>
      </c>
      <c r="N2689" s="2" t="s">
        <v>282</v>
      </c>
      <c r="O2689" s="18">
        <v>44624</v>
      </c>
      <c r="S2689" s="1" t="s">
        <v>808</v>
      </c>
    </row>
    <row r="2690" spans="1:19">
      <c r="A2690" s="1">
        <v>5</v>
      </c>
      <c r="F2690" s="22">
        <v>866854053778539</v>
      </c>
      <c r="I2690" s="2" t="s">
        <v>44</v>
      </c>
      <c r="N2690" s="2" t="s">
        <v>126</v>
      </c>
      <c r="O2690" s="18">
        <v>44641</v>
      </c>
    </row>
    <row r="2691" spans="1:19">
      <c r="A2691" s="1">
        <v>6</v>
      </c>
      <c r="F2691" s="22">
        <v>866854051106923</v>
      </c>
      <c r="I2691" s="2" t="s">
        <v>44</v>
      </c>
      <c r="M2691" s="2" t="s">
        <v>8372</v>
      </c>
      <c r="N2691" s="2" t="s">
        <v>1625</v>
      </c>
      <c r="O2691" s="18" t="s">
        <v>8373</v>
      </c>
    </row>
    <row r="2692" spans="1:19">
      <c r="A2692" s="1">
        <v>7</v>
      </c>
      <c r="F2692" s="22">
        <v>866854050563207</v>
      </c>
      <c r="I2692" s="2" t="s">
        <v>44</v>
      </c>
      <c r="M2692" s="2" t="s">
        <v>283</v>
      </c>
      <c r="N2692" s="2" t="s">
        <v>284</v>
      </c>
      <c r="O2692" s="18" t="s">
        <v>8374</v>
      </c>
    </row>
    <row r="2693" spans="1:19">
      <c r="A2693" s="1">
        <v>8</v>
      </c>
      <c r="F2693" s="22">
        <v>866854051114265</v>
      </c>
      <c r="M2693" s="2" t="s">
        <v>285</v>
      </c>
      <c r="N2693" s="2" t="s">
        <v>276</v>
      </c>
      <c r="O2693" s="18" t="s">
        <v>8375</v>
      </c>
      <c r="S2693" s="1" t="s">
        <v>286</v>
      </c>
    </row>
    <row r="2694" spans="1:19">
      <c r="A2694" s="1">
        <v>9</v>
      </c>
      <c r="F2694" s="22">
        <v>866854051004912</v>
      </c>
      <c r="N2694" s="2" t="s">
        <v>237</v>
      </c>
      <c r="S2694" s="1" t="s">
        <v>238</v>
      </c>
    </row>
    <row r="2695" spans="1:19">
      <c r="A2695" s="1">
        <v>10</v>
      </c>
      <c r="F2695" s="22">
        <v>866854053024157</v>
      </c>
      <c r="I2695" s="2" t="s">
        <v>44</v>
      </c>
      <c r="M2695" s="2" t="s">
        <v>8376</v>
      </c>
      <c r="N2695" s="2" t="s">
        <v>276</v>
      </c>
      <c r="O2695" s="18" t="s">
        <v>8377</v>
      </c>
      <c r="S2695" s="1" t="s">
        <v>806</v>
      </c>
    </row>
    <row r="2696" spans="1:19">
      <c r="A2696" s="1">
        <v>11</v>
      </c>
      <c r="F2696" s="22">
        <v>866854051004771</v>
      </c>
      <c r="M2696" s="2" t="s">
        <v>287</v>
      </c>
      <c r="N2696" s="2" t="s">
        <v>288</v>
      </c>
      <c r="O2696" s="18" t="s">
        <v>8378</v>
      </c>
      <c r="S2696" s="1" t="s">
        <v>289</v>
      </c>
    </row>
    <row r="2697" spans="1:19">
      <c r="A2697" s="1">
        <v>12</v>
      </c>
      <c r="F2697" s="22">
        <v>866854051102765</v>
      </c>
      <c r="M2697" s="2" t="s">
        <v>290</v>
      </c>
      <c r="N2697" s="2" t="s">
        <v>185</v>
      </c>
      <c r="O2697" s="18">
        <v>44617</v>
      </c>
      <c r="S2697" s="1" t="s">
        <v>291</v>
      </c>
    </row>
    <row r="2698" spans="1:19">
      <c r="A2698" s="1">
        <v>13</v>
      </c>
      <c r="F2698" s="22">
        <v>866854050981904</v>
      </c>
      <c r="I2698" s="2" t="s">
        <v>44</v>
      </c>
      <c r="M2698" s="2" t="s">
        <v>8379</v>
      </c>
      <c r="N2698" s="2" t="s">
        <v>1238</v>
      </c>
      <c r="O2698" s="18" t="s">
        <v>8380</v>
      </c>
    </row>
    <row r="2699" spans="1:19">
      <c r="A2699" s="1">
        <v>14</v>
      </c>
      <c r="F2699" s="22">
        <v>866854050947301</v>
      </c>
      <c r="I2699" s="2" t="s">
        <v>44</v>
      </c>
      <c r="M2699" s="2" t="s">
        <v>292</v>
      </c>
      <c r="N2699" s="2" t="s">
        <v>293</v>
      </c>
      <c r="O2699" s="18" t="s">
        <v>8381</v>
      </c>
    </row>
    <row r="2700" spans="1:19">
      <c r="A2700" s="1">
        <v>15</v>
      </c>
      <c r="F2700" s="22">
        <v>866854051111972</v>
      </c>
      <c r="I2700" s="2" t="s">
        <v>44</v>
      </c>
      <c r="M2700" s="2" t="s">
        <v>8382</v>
      </c>
      <c r="N2700" s="2" t="s">
        <v>938</v>
      </c>
      <c r="O2700" s="18" t="s">
        <v>8383</v>
      </c>
    </row>
    <row r="2701" spans="1:19">
      <c r="A2701" s="1">
        <v>16</v>
      </c>
      <c r="F2701" s="22">
        <v>866854050917874</v>
      </c>
      <c r="M2701" s="2" t="s">
        <v>294</v>
      </c>
      <c r="N2701" s="2" t="s">
        <v>295</v>
      </c>
      <c r="O2701" s="18" t="s">
        <v>8375</v>
      </c>
      <c r="S2701" s="1" t="s">
        <v>296</v>
      </c>
    </row>
    <row r="2702" spans="1:19">
      <c r="A2702" s="1">
        <v>17</v>
      </c>
      <c r="F2702" s="22">
        <v>866854050946790</v>
      </c>
      <c r="I2702" s="2" t="s">
        <v>44</v>
      </c>
      <c r="M2702" s="2" t="s">
        <v>297</v>
      </c>
      <c r="N2702" s="2" t="s">
        <v>298</v>
      </c>
      <c r="O2702" s="18" t="s">
        <v>8384</v>
      </c>
      <c r="S2702" s="1" t="s">
        <v>809</v>
      </c>
    </row>
    <row r="2703" spans="1:19">
      <c r="A2703" s="1">
        <v>18</v>
      </c>
      <c r="F2703" s="22">
        <v>866854051114257</v>
      </c>
      <c r="I2703" s="2" t="s">
        <v>44</v>
      </c>
      <c r="M2703" s="2" t="s">
        <v>8385</v>
      </c>
      <c r="N2703" s="2" t="s">
        <v>1706</v>
      </c>
      <c r="O2703" s="18" t="s">
        <v>8386</v>
      </c>
    </row>
    <row r="2704" spans="1:19">
      <c r="A2704" s="1">
        <v>19</v>
      </c>
      <c r="F2704" s="22">
        <v>866854050986085</v>
      </c>
      <c r="I2704" s="2" t="s">
        <v>44</v>
      </c>
      <c r="M2704" s="2" t="s">
        <v>299</v>
      </c>
      <c r="N2704" s="2" t="s">
        <v>224</v>
      </c>
      <c r="O2704" s="18" t="s">
        <v>8387</v>
      </c>
    </row>
    <row r="2705" spans="1:19">
      <c r="A2705" s="1">
        <v>20</v>
      </c>
      <c r="F2705" s="22">
        <v>866854051112301</v>
      </c>
      <c r="M2705" s="2" t="s">
        <v>300</v>
      </c>
      <c r="N2705" s="2" t="s">
        <v>301</v>
      </c>
      <c r="O2705" s="18" t="s">
        <v>8388</v>
      </c>
      <c r="S2705" s="1" t="s">
        <v>810</v>
      </c>
    </row>
    <row r="2706" spans="1:19">
      <c r="A2706" s="8"/>
      <c r="B2706" s="58"/>
      <c r="C2706" s="159"/>
      <c r="D2706" s="8"/>
      <c r="E2706" s="8"/>
      <c r="F2706" s="9"/>
      <c r="G2706" s="8"/>
      <c r="H2706" s="8"/>
      <c r="I2706" s="8"/>
      <c r="J2706" s="58"/>
      <c r="K2706" s="8"/>
      <c r="L2706" s="58"/>
      <c r="M2706" s="8"/>
      <c r="N2706" s="8"/>
      <c r="O2706" s="58"/>
      <c r="P2706" s="8"/>
      <c r="Q2706" s="8"/>
      <c r="R2706" s="8"/>
      <c r="S2706" s="8"/>
    </row>
    <row r="2707" spans="1:19">
      <c r="A2707" s="1">
        <v>1</v>
      </c>
      <c r="B2707" s="11">
        <v>44607</v>
      </c>
      <c r="C2707" s="160">
        <v>560</v>
      </c>
      <c r="E2707" s="1" t="s">
        <v>302</v>
      </c>
      <c r="F2707" s="22">
        <v>869688052043496</v>
      </c>
      <c r="I2707" s="2" t="s">
        <v>44</v>
      </c>
      <c r="M2707" s="2" t="s">
        <v>8389</v>
      </c>
      <c r="N2707" s="2" t="s">
        <v>304</v>
      </c>
      <c r="O2707" s="18" t="s">
        <v>8390</v>
      </c>
    </row>
    <row r="2708" spans="1:19">
      <c r="A2708" s="1">
        <v>2</v>
      </c>
      <c r="F2708" s="22">
        <v>869688052041409</v>
      </c>
      <c r="I2708" s="2" t="s">
        <v>44</v>
      </c>
      <c r="M2708" s="2" t="s">
        <v>303</v>
      </c>
      <c r="N2708" s="2" t="s">
        <v>304</v>
      </c>
      <c r="O2708" s="18" t="s">
        <v>8391</v>
      </c>
    </row>
    <row r="2709" spans="1:19">
      <c r="A2709" s="1">
        <v>3</v>
      </c>
      <c r="F2709" s="22">
        <v>869688052095470</v>
      </c>
      <c r="I2709" s="2" t="s">
        <v>44</v>
      </c>
      <c r="M2709" s="2" t="s">
        <v>305</v>
      </c>
      <c r="N2709" s="2" t="s">
        <v>95</v>
      </c>
      <c r="O2709" s="18" t="s">
        <v>8391</v>
      </c>
    </row>
    <row r="2710" spans="1:19">
      <c r="A2710" s="1">
        <v>4</v>
      </c>
      <c r="E2710" s="1" t="s">
        <v>306</v>
      </c>
      <c r="F2710" s="22">
        <v>869688052059484</v>
      </c>
      <c r="I2710" s="2" t="s">
        <v>44</v>
      </c>
    </row>
    <row r="2711" spans="1:19">
      <c r="A2711" s="1">
        <v>5</v>
      </c>
      <c r="F2711" s="22">
        <v>869688052055250</v>
      </c>
      <c r="I2711" s="2" t="s">
        <v>44</v>
      </c>
      <c r="M2711" s="2" t="s">
        <v>3236</v>
      </c>
      <c r="N2711" s="2" t="s">
        <v>3237</v>
      </c>
      <c r="O2711" s="18">
        <v>44636</v>
      </c>
    </row>
    <row r="2712" spans="1:19">
      <c r="A2712" s="1">
        <v>6</v>
      </c>
      <c r="F2712" s="22">
        <v>869688052023258</v>
      </c>
      <c r="M2712" s="2" t="s">
        <v>8392</v>
      </c>
      <c r="N2712" s="2" t="s">
        <v>3217</v>
      </c>
      <c r="O2712" s="18" t="s">
        <v>8393</v>
      </c>
      <c r="S2712" s="1" t="s">
        <v>307</v>
      </c>
    </row>
    <row r="2713" spans="1:19">
      <c r="A2713" s="8"/>
      <c r="B2713" s="58"/>
      <c r="C2713" s="159"/>
      <c r="D2713" s="8"/>
      <c r="E2713" s="8"/>
      <c r="F2713" s="9"/>
      <c r="G2713" s="8"/>
      <c r="H2713" s="8"/>
      <c r="I2713" s="8"/>
      <c r="J2713" s="58"/>
      <c r="K2713" s="8"/>
      <c r="L2713" s="58"/>
      <c r="M2713" s="8"/>
      <c r="N2713" s="8"/>
      <c r="O2713" s="58"/>
      <c r="P2713" s="8"/>
      <c r="Q2713" s="8"/>
      <c r="R2713" s="8"/>
      <c r="S2713" s="8"/>
    </row>
    <row r="2714" spans="1:19">
      <c r="A2714" s="1">
        <v>1</v>
      </c>
      <c r="B2714" s="11">
        <v>44616</v>
      </c>
      <c r="C2714" s="160">
        <v>805</v>
      </c>
      <c r="E2714" s="1" t="s">
        <v>229</v>
      </c>
      <c r="F2714" s="22">
        <v>862531042831850</v>
      </c>
      <c r="I2714" s="2" t="s">
        <v>44</v>
      </c>
      <c r="M2714" s="2" t="s">
        <v>8394</v>
      </c>
      <c r="N2714" s="2" t="s">
        <v>8395</v>
      </c>
      <c r="O2714" s="18" t="s">
        <v>8396</v>
      </c>
    </row>
    <row r="2715" spans="1:19">
      <c r="A2715" s="1">
        <v>2</v>
      </c>
      <c r="F2715" s="22">
        <v>866854050690182</v>
      </c>
      <c r="I2715" s="2" t="s">
        <v>44</v>
      </c>
      <c r="M2715" s="2" t="s">
        <v>311</v>
      </c>
      <c r="N2715" s="2" t="s">
        <v>2771</v>
      </c>
      <c r="O2715" s="18" t="s">
        <v>8397</v>
      </c>
    </row>
    <row r="2716" spans="1:19">
      <c r="A2716" s="1">
        <v>3</v>
      </c>
      <c r="F2716" s="22">
        <v>862531042753401</v>
      </c>
      <c r="I2716" s="2" t="s">
        <v>44</v>
      </c>
      <c r="M2716" s="2" t="s">
        <v>8398</v>
      </c>
      <c r="N2716" s="2" t="s">
        <v>278</v>
      </c>
      <c r="O2716" s="18" t="s">
        <v>8396</v>
      </c>
    </row>
    <row r="2717" spans="1:19">
      <c r="A2717" s="1">
        <v>4</v>
      </c>
      <c r="F2717" s="22">
        <v>866854050514317</v>
      </c>
      <c r="I2717" s="2" t="s">
        <v>44</v>
      </c>
      <c r="M2717" s="2" t="s">
        <v>8399</v>
      </c>
      <c r="N2717" s="2" t="s">
        <v>278</v>
      </c>
      <c r="O2717" s="18" t="s">
        <v>8396</v>
      </c>
    </row>
    <row r="2718" spans="1:19">
      <c r="A2718" s="1">
        <v>5</v>
      </c>
      <c r="F2718" s="22">
        <v>866854053012285</v>
      </c>
      <c r="I2718" s="2" t="s">
        <v>44</v>
      </c>
      <c r="M2718" s="2" t="s">
        <v>308</v>
      </c>
      <c r="N2718" s="2" t="s">
        <v>224</v>
      </c>
      <c r="O2718" s="18" t="s">
        <v>8400</v>
      </c>
    </row>
    <row r="2719" spans="1:19">
      <c r="A2719" s="1">
        <v>6</v>
      </c>
      <c r="F2719" s="22">
        <v>866854053015270</v>
      </c>
      <c r="I2719" s="2" t="s">
        <v>44</v>
      </c>
      <c r="M2719" s="2" t="s">
        <v>309</v>
      </c>
      <c r="N2719" s="2" t="s">
        <v>310</v>
      </c>
      <c r="O2719" s="18" t="s">
        <v>8401</v>
      </c>
    </row>
    <row r="2720" spans="1:19">
      <c r="A2720" s="1">
        <v>7</v>
      </c>
      <c r="F2720" s="22">
        <v>862531042791658</v>
      </c>
      <c r="I2720" s="2" t="s">
        <v>44</v>
      </c>
      <c r="M2720" s="2" t="s">
        <v>8402</v>
      </c>
      <c r="N2720" s="2" t="s">
        <v>8395</v>
      </c>
      <c r="O2720" s="18" t="s">
        <v>8396</v>
      </c>
    </row>
    <row r="2721" spans="1:19">
      <c r="A2721" s="1">
        <v>8</v>
      </c>
      <c r="F2721" s="22">
        <v>862531042220757</v>
      </c>
      <c r="I2721" s="2" t="s">
        <v>44</v>
      </c>
    </row>
    <row r="2722" spans="1:19">
      <c r="A2722" s="1">
        <v>9</v>
      </c>
      <c r="F2722" s="22">
        <v>862531042830043</v>
      </c>
      <c r="I2722" s="2" t="s">
        <v>44</v>
      </c>
    </row>
    <row r="2723" spans="1:19">
      <c r="A2723" s="1">
        <v>10</v>
      </c>
      <c r="F2723" s="22">
        <v>862531042753351</v>
      </c>
      <c r="I2723" s="2" t="s">
        <v>44</v>
      </c>
    </row>
    <row r="2724" spans="1:19">
      <c r="A2724" s="1">
        <v>11</v>
      </c>
      <c r="F2724" s="22">
        <v>866854051000795</v>
      </c>
      <c r="I2724" s="2" t="s">
        <v>44</v>
      </c>
    </row>
    <row r="2725" spans="1:19">
      <c r="A2725" s="1">
        <v>12</v>
      </c>
      <c r="F2725" s="22">
        <v>862531042832064</v>
      </c>
      <c r="I2725" s="2" t="s">
        <v>44</v>
      </c>
    </row>
    <row r="2726" spans="1:19">
      <c r="A2726" s="1">
        <v>13</v>
      </c>
      <c r="F2726" s="22">
        <v>862531042215401</v>
      </c>
      <c r="I2726" s="2" t="s">
        <v>44</v>
      </c>
    </row>
    <row r="2727" spans="1:19">
      <c r="A2727" s="1">
        <v>14</v>
      </c>
      <c r="F2727" s="22">
        <v>866854050990384</v>
      </c>
      <c r="I2727" s="2" t="s">
        <v>44</v>
      </c>
      <c r="M2727" s="2" t="s">
        <v>8403</v>
      </c>
      <c r="N2727" s="2" t="s">
        <v>8395</v>
      </c>
      <c r="O2727" s="18" t="s">
        <v>8396</v>
      </c>
    </row>
    <row r="2728" spans="1:19">
      <c r="A2728" s="1">
        <v>15</v>
      </c>
      <c r="F2728" s="22">
        <v>866854050691172</v>
      </c>
      <c r="I2728" s="2" t="s">
        <v>44</v>
      </c>
    </row>
    <row r="2729" spans="1:19">
      <c r="A2729" s="1">
        <v>16</v>
      </c>
      <c r="F2729" s="22">
        <v>862531042778218</v>
      </c>
      <c r="I2729" s="2" t="s">
        <v>44</v>
      </c>
      <c r="M2729" s="2" t="s">
        <v>8404</v>
      </c>
      <c r="N2729" s="2" t="s">
        <v>2771</v>
      </c>
      <c r="O2729" s="18" t="s">
        <v>8391</v>
      </c>
    </row>
    <row r="2730" spans="1:19">
      <c r="A2730" s="1">
        <v>17</v>
      </c>
      <c r="F2730" s="22">
        <v>866854053052000</v>
      </c>
      <c r="I2730" s="2" t="s">
        <v>44</v>
      </c>
      <c r="M2730" s="2" t="s">
        <v>8405</v>
      </c>
      <c r="N2730" s="2" t="s">
        <v>8395</v>
      </c>
      <c r="O2730" s="18" t="s">
        <v>8396</v>
      </c>
    </row>
    <row r="2731" spans="1:19">
      <c r="A2731" s="1">
        <v>18</v>
      </c>
      <c r="F2731" s="22">
        <v>866854050624819</v>
      </c>
      <c r="I2731" s="2" t="s">
        <v>44</v>
      </c>
      <c r="M2731" s="2" t="s">
        <v>8406</v>
      </c>
      <c r="N2731" s="2" t="s">
        <v>8407</v>
      </c>
      <c r="O2731" s="18" t="s">
        <v>8390</v>
      </c>
    </row>
    <row r="2732" spans="1:19">
      <c r="A2732" s="1">
        <v>19</v>
      </c>
      <c r="F2732" s="22">
        <v>866854051062944</v>
      </c>
      <c r="I2732" s="2" t="s">
        <v>44</v>
      </c>
      <c r="M2732" s="2" t="s">
        <v>8408</v>
      </c>
      <c r="N2732" s="2" t="s">
        <v>278</v>
      </c>
      <c r="O2732" s="18" t="s">
        <v>8396</v>
      </c>
    </row>
    <row r="2733" spans="1:19">
      <c r="A2733" s="1">
        <v>20</v>
      </c>
      <c r="F2733" s="22">
        <v>862531042796707</v>
      </c>
      <c r="I2733" s="2" t="s">
        <v>44</v>
      </c>
    </row>
    <row r="2734" spans="1:19">
      <c r="A2734" s="8"/>
      <c r="B2734" s="58"/>
      <c r="C2734" s="159"/>
      <c r="D2734" s="8"/>
      <c r="E2734" s="8"/>
      <c r="F2734" s="9"/>
      <c r="G2734" s="8"/>
      <c r="H2734" s="8"/>
      <c r="I2734" s="8"/>
      <c r="J2734" s="58"/>
      <c r="K2734" s="8"/>
      <c r="L2734" s="58"/>
      <c r="M2734" s="8"/>
      <c r="N2734" s="8"/>
      <c r="O2734" s="58"/>
      <c r="P2734" s="8"/>
      <c r="Q2734" s="8"/>
      <c r="R2734" s="8"/>
      <c r="S2734" s="8"/>
    </row>
    <row r="2735" spans="1:19">
      <c r="A2735" s="1">
        <v>1</v>
      </c>
      <c r="B2735" s="11">
        <v>44613</v>
      </c>
      <c r="C2735" s="160">
        <v>273</v>
      </c>
      <c r="E2735" s="1" t="s">
        <v>313</v>
      </c>
      <c r="F2735" s="22">
        <v>869688055859419</v>
      </c>
      <c r="I2735" s="2" t="s">
        <v>44</v>
      </c>
      <c r="M2735" s="2" t="s">
        <v>8409</v>
      </c>
      <c r="N2735" s="2" t="s">
        <v>314</v>
      </c>
      <c r="O2735" s="18" t="s">
        <v>8410</v>
      </c>
    </row>
    <row r="2736" spans="1:19">
      <c r="A2736" s="1">
        <v>2</v>
      </c>
      <c r="F2736" s="22">
        <v>869688055841029</v>
      </c>
      <c r="I2736" s="2" t="s">
        <v>44</v>
      </c>
      <c r="M2736" s="2" t="s">
        <v>8411</v>
      </c>
      <c r="N2736" s="2" t="s">
        <v>278</v>
      </c>
      <c r="O2736" s="18" t="s">
        <v>8412</v>
      </c>
    </row>
    <row r="2737" spans="1:15">
      <c r="A2737" s="1">
        <v>3</v>
      </c>
      <c r="F2737" s="22">
        <v>869688055844932</v>
      </c>
      <c r="I2737" s="2" t="s">
        <v>44</v>
      </c>
      <c r="M2737" s="2" t="s">
        <v>8413</v>
      </c>
      <c r="N2737" s="2" t="s">
        <v>2490</v>
      </c>
      <c r="O2737" s="18" t="s">
        <v>8414</v>
      </c>
    </row>
    <row r="2738" spans="1:15">
      <c r="A2738" s="1">
        <v>4</v>
      </c>
      <c r="F2738" s="22">
        <v>869688055845988</v>
      </c>
      <c r="I2738" s="2" t="s">
        <v>44</v>
      </c>
      <c r="N2738" s="2" t="s">
        <v>3238</v>
      </c>
      <c r="O2738" s="18">
        <v>44644</v>
      </c>
    </row>
    <row r="2739" spans="1:15">
      <c r="A2739" s="1">
        <v>5</v>
      </c>
      <c r="F2739" s="22">
        <v>869688056138573</v>
      </c>
      <c r="I2739" s="2" t="s">
        <v>44</v>
      </c>
      <c r="M2739" s="2" t="s">
        <v>308</v>
      </c>
      <c r="N2739" s="2" t="s">
        <v>224</v>
      </c>
      <c r="O2739" s="18">
        <v>44622</v>
      </c>
    </row>
    <row r="2740" spans="1:15">
      <c r="A2740" s="1">
        <v>6</v>
      </c>
      <c r="E2740" s="1" t="s">
        <v>315</v>
      </c>
      <c r="F2740" s="22">
        <v>869688052274653</v>
      </c>
      <c r="I2740" s="2" t="s">
        <v>44</v>
      </c>
      <c r="M2740" s="2" t="s">
        <v>309</v>
      </c>
      <c r="N2740" s="2" t="s">
        <v>310</v>
      </c>
      <c r="O2740" s="18">
        <v>44625</v>
      </c>
    </row>
    <row r="2741" spans="1:15">
      <c r="A2741" s="1">
        <v>7</v>
      </c>
      <c r="F2741" s="22">
        <v>869688052328210</v>
      </c>
      <c r="I2741" s="2" t="s">
        <v>44</v>
      </c>
      <c r="N2741" s="2" t="s">
        <v>3238</v>
      </c>
      <c r="O2741" s="18">
        <v>44644</v>
      </c>
    </row>
    <row r="2742" spans="1:15">
      <c r="A2742" s="1">
        <v>8</v>
      </c>
      <c r="F2742" s="22">
        <v>869688052136290</v>
      </c>
      <c r="I2742" s="2" t="s">
        <v>44</v>
      </c>
    </row>
    <row r="2743" spans="1:15">
      <c r="A2743" s="1">
        <v>9</v>
      </c>
      <c r="F2743" s="22">
        <v>869688052184597</v>
      </c>
      <c r="I2743" s="2" t="s">
        <v>44</v>
      </c>
    </row>
    <row r="2744" spans="1:15">
      <c r="A2744" s="1">
        <v>10</v>
      </c>
      <c r="F2744" s="22">
        <v>869688052136449</v>
      </c>
      <c r="I2744" s="2" t="s">
        <v>44</v>
      </c>
    </row>
    <row r="2745" spans="1:15">
      <c r="A2745" s="1">
        <v>11</v>
      </c>
      <c r="E2745" s="1" t="s">
        <v>316</v>
      </c>
      <c r="F2745" s="22">
        <v>869688052031756</v>
      </c>
      <c r="I2745" s="2" t="s">
        <v>44</v>
      </c>
    </row>
    <row r="2746" spans="1:15">
      <c r="A2746" s="1">
        <v>12</v>
      </c>
      <c r="F2746" s="22">
        <v>869688052068469</v>
      </c>
      <c r="I2746" s="2" t="s">
        <v>44</v>
      </c>
    </row>
    <row r="2747" spans="1:15">
      <c r="A2747" s="1">
        <v>13</v>
      </c>
      <c r="F2747" s="22">
        <v>869688052051366</v>
      </c>
      <c r="I2747" s="2" t="s">
        <v>44</v>
      </c>
    </row>
    <row r="2748" spans="1:15">
      <c r="A2748" s="1">
        <v>14</v>
      </c>
      <c r="F2748" s="22">
        <v>869688052068576</v>
      </c>
      <c r="I2748" s="2" t="s">
        <v>44</v>
      </c>
      <c r="N2748" s="2" t="s">
        <v>3238</v>
      </c>
      <c r="O2748" s="18">
        <v>44644</v>
      </c>
    </row>
    <row r="2749" spans="1:15">
      <c r="A2749" s="1">
        <v>15</v>
      </c>
      <c r="F2749" s="22">
        <v>869688052069947</v>
      </c>
      <c r="I2749" s="2" t="s">
        <v>44</v>
      </c>
    </row>
    <row r="2750" spans="1:15">
      <c r="A2750" s="1">
        <v>16</v>
      </c>
      <c r="E2750" s="1" t="s">
        <v>317</v>
      </c>
      <c r="F2750" s="22">
        <v>869688052165554</v>
      </c>
      <c r="I2750" s="2" t="s">
        <v>44</v>
      </c>
      <c r="M2750" s="2" t="s">
        <v>311</v>
      </c>
      <c r="N2750" s="2" t="s">
        <v>278</v>
      </c>
      <c r="O2750" s="18">
        <v>44631</v>
      </c>
    </row>
    <row r="2751" spans="1:15">
      <c r="A2751" s="1">
        <v>17</v>
      </c>
      <c r="F2751" s="22">
        <v>869688052162320</v>
      </c>
      <c r="I2751" s="2" t="s">
        <v>44</v>
      </c>
      <c r="N2751" s="2" t="s">
        <v>3238</v>
      </c>
      <c r="O2751" s="18">
        <v>44644</v>
      </c>
    </row>
    <row r="2752" spans="1:15">
      <c r="A2752" s="1">
        <v>18</v>
      </c>
      <c r="F2752" s="22">
        <v>869688052248806</v>
      </c>
      <c r="I2752" s="2" t="s">
        <v>44</v>
      </c>
      <c r="N2752" s="2" t="s">
        <v>3240</v>
      </c>
      <c r="O2752" s="18">
        <v>44637</v>
      </c>
    </row>
    <row r="2753" spans="1:19">
      <c r="A2753" s="1">
        <v>19</v>
      </c>
      <c r="F2753" s="22">
        <v>869688052297209</v>
      </c>
      <c r="I2753" s="2" t="s">
        <v>44</v>
      </c>
      <c r="N2753" s="2" t="s">
        <v>3238</v>
      </c>
      <c r="O2753" s="18">
        <v>44644</v>
      </c>
    </row>
    <row r="2754" spans="1:19">
      <c r="A2754" s="1">
        <v>20</v>
      </c>
      <c r="F2754" s="22">
        <v>869688052249184</v>
      </c>
      <c r="I2754" s="2" t="s">
        <v>44</v>
      </c>
    </row>
    <row r="2755" spans="1:19">
      <c r="A2755" s="8"/>
      <c r="B2755" s="58"/>
      <c r="C2755" s="159"/>
      <c r="D2755" s="8"/>
      <c r="E2755" s="8"/>
      <c r="F2755" s="9"/>
      <c r="G2755" s="8"/>
      <c r="H2755" s="8"/>
      <c r="I2755" s="8"/>
      <c r="J2755" s="58"/>
      <c r="K2755" s="8"/>
      <c r="L2755" s="58"/>
      <c r="M2755" s="8"/>
      <c r="N2755" s="8"/>
      <c r="O2755" s="58"/>
      <c r="P2755" s="8"/>
      <c r="Q2755" s="8"/>
      <c r="R2755" s="8"/>
      <c r="S2755" s="8"/>
    </row>
    <row r="2756" spans="1:19">
      <c r="A2756" s="1">
        <v>1</v>
      </c>
      <c r="B2756" s="11">
        <v>44629</v>
      </c>
      <c r="C2756" s="160">
        <v>931</v>
      </c>
      <c r="E2756" s="1" t="s">
        <v>149</v>
      </c>
      <c r="F2756" s="22">
        <v>866854054507085</v>
      </c>
      <c r="I2756" s="2" t="s">
        <v>44</v>
      </c>
      <c r="N2756" s="2" t="s">
        <v>8347</v>
      </c>
      <c r="O2756" s="18">
        <v>44644</v>
      </c>
    </row>
    <row r="2757" spans="1:19">
      <c r="A2757" s="1">
        <v>2</v>
      </c>
      <c r="F2757" s="22">
        <v>866854054463859</v>
      </c>
      <c r="I2757" s="2" t="s">
        <v>44</v>
      </c>
      <c r="N2757" s="2" t="s">
        <v>8347</v>
      </c>
      <c r="O2757" s="18">
        <v>44644</v>
      </c>
    </row>
    <row r="2758" spans="1:19">
      <c r="A2758" s="1">
        <v>3</v>
      </c>
      <c r="F2758" s="22">
        <v>866854054243343</v>
      </c>
      <c r="I2758" s="2" t="s">
        <v>44</v>
      </c>
      <c r="M2758" s="2" t="s">
        <v>8415</v>
      </c>
      <c r="N2758" s="2" t="s">
        <v>1942</v>
      </c>
      <c r="O2758" s="18" t="s">
        <v>8416</v>
      </c>
    </row>
    <row r="2759" spans="1:19">
      <c r="A2759" s="1">
        <v>4</v>
      </c>
      <c r="F2759" s="22">
        <v>866854054319291</v>
      </c>
      <c r="I2759" s="2" t="s">
        <v>44</v>
      </c>
      <c r="N2759" s="2" t="s">
        <v>8347</v>
      </c>
      <c r="O2759" s="18">
        <v>44644</v>
      </c>
    </row>
    <row r="2760" spans="1:19">
      <c r="A2760" s="1">
        <v>5</v>
      </c>
      <c r="F2760" s="22">
        <v>866854054464014</v>
      </c>
      <c r="I2760" s="2" t="s">
        <v>44</v>
      </c>
      <c r="M2760" s="2" t="s">
        <v>8417</v>
      </c>
      <c r="N2760" s="2" t="s">
        <v>1942</v>
      </c>
      <c r="O2760" s="18" t="s">
        <v>8418</v>
      </c>
    </row>
    <row r="2761" spans="1:19">
      <c r="A2761" s="1">
        <v>6</v>
      </c>
      <c r="F2761" s="22">
        <v>866854054329431</v>
      </c>
      <c r="I2761" s="2" t="s">
        <v>44</v>
      </c>
      <c r="N2761" s="2" t="s">
        <v>8347</v>
      </c>
      <c r="O2761" s="18">
        <v>44644</v>
      </c>
    </row>
    <row r="2762" spans="1:19">
      <c r="A2762" s="1">
        <v>7</v>
      </c>
      <c r="F2762" s="22">
        <v>866854054300432</v>
      </c>
      <c r="I2762" s="2" t="s">
        <v>44</v>
      </c>
    </row>
    <row r="2763" spans="1:19">
      <c r="A2763" s="1">
        <v>8</v>
      </c>
      <c r="F2763" s="22">
        <v>866854054311405</v>
      </c>
      <c r="I2763" s="2" t="s">
        <v>44</v>
      </c>
      <c r="N2763" s="2" t="s">
        <v>8347</v>
      </c>
      <c r="O2763" s="18">
        <v>44644</v>
      </c>
    </row>
    <row r="2764" spans="1:19">
      <c r="A2764" s="1">
        <v>9</v>
      </c>
      <c r="F2764" s="22">
        <v>866854054309102</v>
      </c>
      <c r="I2764" s="2" t="s">
        <v>44</v>
      </c>
    </row>
    <row r="2765" spans="1:19">
      <c r="A2765" s="1">
        <v>10</v>
      </c>
      <c r="F2765" s="22">
        <v>866854054510972</v>
      </c>
      <c r="I2765" s="2" t="s">
        <v>44</v>
      </c>
      <c r="M2765" s="2" t="s">
        <v>8419</v>
      </c>
      <c r="N2765" s="2" t="s">
        <v>2177</v>
      </c>
      <c r="O2765" s="18" t="s">
        <v>8396</v>
      </c>
    </row>
    <row r="2766" spans="1:19">
      <c r="A2766" s="1">
        <v>11</v>
      </c>
      <c r="F2766" s="22">
        <v>866854054464204</v>
      </c>
      <c r="I2766" s="2" t="s">
        <v>44</v>
      </c>
      <c r="M2766" s="2" t="s">
        <v>8420</v>
      </c>
      <c r="N2766" s="2" t="s">
        <v>1942</v>
      </c>
      <c r="O2766" s="18" t="s">
        <v>8421</v>
      </c>
    </row>
    <row r="2767" spans="1:19">
      <c r="A2767" s="1">
        <v>12</v>
      </c>
      <c r="F2767" s="22">
        <v>866854054261337</v>
      </c>
      <c r="I2767" s="2" t="s">
        <v>44</v>
      </c>
      <c r="M2767" s="2" t="s">
        <v>8422</v>
      </c>
      <c r="N2767" s="2" t="s">
        <v>1942</v>
      </c>
      <c r="O2767" s="18" t="s">
        <v>8421</v>
      </c>
    </row>
    <row r="2768" spans="1:19">
      <c r="A2768" s="1">
        <v>13</v>
      </c>
      <c r="F2768" s="22">
        <v>866854054292902</v>
      </c>
      <c r="I2768" s="2" t="s">
        <v>44</v>
      </c>
      <c r="M2768" s="2" t="s">
        <v>8423</v>
      </c>
      <c r="N2768" s="2" t="s">
        <v>2186</v>
      </c>
      <c r="O2768" s="18" t="s">
        <v>8424</v>
      </c>
    </row>
    <row r="2769" spans="1:19">
      <c r="A2769" s="1">
        <v>14</v>
      </c>
      <c r="F2769" s="22">
        <v>866854054308948</v>
      </c>
      <c r="I2769" s="2" t="s">
        <v>44</v>
      </c>
      <c r="M2769" s="2" t="s">
        <v>8425</v>
      </c>
      <c r="N2769" s="2" t="s">
        <v>278</v>
      </c>
      <c r="O2769" s="18" t="s">
        <v>8426</v>
      </c>
    </row>
    <row r="2770" spans="1:19">
      <c r="A2770" s="1">
        <v>15</v>
      </c>
      <c r="F2770" s="22">
        <v>866854054507549</v>
      </c>
      <c r="I2770" s="2" t="s">
        <v>44</v>
      </c>
      <c r="M2770" s="2" t="s">
        <v>8427</v>
      </c>
      <c r="N2770" s="2" t="s">
        <v>2095</v>
      </c>
      <c r="O2770" s="18" t="s">
        <v>8426</v>
      </c>
    </row>
    <row r="2771" spans="1:19">
      <c r="A2771" s="1">
        <v>16</v>
      </c>
      <c r="F2771" s="22">
        <v>866854054331155</v>
      </c>
      <c r="I2771" s="2" t="s">
        <v>44</v>
      </c>
    </row>
    <row r="2772" spans="1:19">
      <c r="A2772" s="1">
        <v>17</v>
      </c>
      <c r="F2772" s="22">
        <v>866854054264364</v>
      </c>
      <c r="I2772" s="2" t="s">
        <v>44</v>
      </c>
      <c r="M2772" s="2" t="s">
        <v>8428</v>
      </c>
      <c r="N2772" s="2" t="s">
        <v>1625</v>
      </c>
      <c r="O2772" s="18" t="s">
        <v>8418</v>
      </c>
    </row>
    <row r="2773" spans="1:19">
      <c r="A2773" s="1">
        <v>18</v>
      </c>
      <c r="F2773" s="22">
        <v>866854054327732</v>
      </c>
      <c r="I2773" s="2" t="s">
        <v>44</v>
      </c>
    </row>
    <row r="2774" spans="1:19">
      <c r="A2774" s="1">
        <v>19</v>
      </c>
      <c r="F2774" s="22">
        <v>866854054241347</v>
      </c>
      <c r="I2774" s="2" t="s">
        <v>44</v>
      </c>
      <c r="M2774" s="2" t="s">
        <v>8349</v>
      </c>
      <c r="N2774" s="2" t="s">
        <v>8348</v>
      </c>
      <c r="O2774" s="18">
        <v>44649</v>
      </c>
    </row>
    <row r="2775" spans="1:19">
      <c r="A2775" s="1">
        <v>20</v>
      </c>
      <c r="F2775" s="22">
        <v>866854054328904</v>
      </c>
      <c r="I2775" s="2" t="s">
        <v>44</v>
      </c>
      <c r="M2775" s="2" t="s">
        <v>8429</v>
      </c>
      <c r="N2775" s="2" t="s">
        <v>8430</v>
      </c>
      <c r="O2775" s="18" t="s">
        <v>8426</v>
      </c>
    </row>
    <row r="2776" spans="1:19">
      <c r="A2776" s="8"/>
      <c r="B2776" s="58"/>
      <c r="C2776" s="159"/>
      <c r="D2776" s="8"/>
      <c r="E2776" s="8"/>
      <c r="F2776" s="9"/>
      <c r="G2776" s="8"/>
      <c r="H2776" s="8"/>
      <c r="I2776" s="8"/>
      <c r="J2776" s="58"/>
      <c r="K2776" s="8"/>
      <c r="L2776" s="58"/>
      <c r="M2776" s="8"/>
      <c r="N2776" s="8"/>
      <c r="O2776" s="58"/>
      <c r="P2776" s="8"/>
      <c r="Q2776" s="8"/>
      <c r="R2776" s="8"/>
      <c r="S2776" s="8"/>
    </row>
    <row r="2777" spans="1:19">
      <c r="A2777" s="1">
        <v>1</v>
      </c>
      <c r="B2777" s="11">
        <v>44636</v>
      </c>
      <c r="C2777" s="160">
        <v>1052</v>
      </c>
      <c r="E2777" s="1" t="s">
        <v>609</v>
      </c>
      <c r="F2777" s="22">
        <v>866854055446275</v>
      </c>
      <c r="I2777" s="2" t="s">
        <v>44</v>
      </c>
    </row>
    <row r="2778" spans="1:19">
      <c r="A2778" s="1">
        <v>2</v>
      </c>
      <c r="F2778" s="22">
        <v>866854055287018</v>
      </c>
      <c r="I2778" s="2" t="s">
        <v>44</v>
      </c>
    </row>
    <row r="2779" spans="1:19">
      <c r="A2779" s="1">
        <v>3</v>
      </c>
      <c r="F2779" s="22">
        <v>866854055183217</v>
      </c>
      <c r="I2779" s="2" t="s">
        <v>44</v>
      </c>
    </row>
    <row r="2780" spans="1:19">
      <c r="A2780" s="1">
        <v>4</v>
      </c>
      <c r="F2780" s="22">
        <v>866854055408531</v>
      </c>
      <c r="I2780" s="2" t="s">
        <v>44</v>
      </c>
    </row>
    <row r="2781" spans="1:19">
      <c r="A2781" s="1">
        <v>5</v>
      </c>
      <c r="F2781" s="22">
        <v>866854055258803</v>
      </c>
      <c r="I2781" s="2" t="s">
        <v>44</v>
      </c>
    </row>
    <row r="2782" spans="1:19">
      <c r="A2782" s="1">
        <v>6</v>
      </c>
      <c r="E2782" s="1" t="s">
        <v>270</v>
      </c>
      <c r="F2782" s="22">
        <v>866854054403392</v>
      </c>
      <c r="I2782" s="2" t="s">
        <v>44</v>
      </c>
    </row>
    <row r="2783" spans="1:19">
      <c r="A2783" s="1">
        <v>7</v>
      </c>
      <c r="F2783" s="22">
        <v>866854054403095</v>
      </c>
      <c r="I2783" s="2" t="s">
        <v>44</v>
      </c>
    </row>
    <row r="2784" spans="1:19">
      <c r="A2784" s="1">
        <v>8</v>
      </c>
      <c r="F2784" s="22">
        <v>866854054401982</v>
      </c>
      <c r="I2784" s="2" t="s">
        <v>44</v>
      </c>
    </row>
    <row r="2785" spans="1:19">
      <c r="A2785" s="1">
        <v>9</v>
      </c>
      <c r="F2785" s="22">
        <v>866854054402014</v>
      </c>
      <c r="I2785" s="2" t="s">
        <v>44</v>
      </c>
    </row>
    <row r="2786" spans="1:19">
      <c r="A2786" s="1">
        <v>10</v>
      </c>
      <c r="F2786" s="22">
        <v>866854054234151</v>
      </c>
      <c r="I2786" s="2" t="s">
        <v>44</v>
      </c>
    </row>
    <row r="2787" spans="1:19">
      <c r="A2787" s="8"/>
      <c r="B2787" s="58"/>
      <c r="C2787" s="159"/>
      <c r="D2787" s="8"/>
      <c r="E2787" s="8"/>
      <c r="F2787" s="9"/>
      <c r="G2787" s="8"/>
      <c r="H2787" s="8"/>
      <c r="I2787" s="8"/>
      <c r="J2787" s="58"/>
      <c r="K2787" s="8"/>
      <c r="L2787" s="58"/>
      <c r="M2787" s="8"/>
      <c r="N2787" s="8"/>
      <c r="O2787" s="58"/>
      <c r="P2787" s="8"/>
      <c r="Q2787" s="8"/>
      <c r="R2787" s="8"/>
      <c r="S2787" s="8"/>
    </row>
    <row r="2788" spans="1:19">
      <c r="A2788" s="1">
        <v>1</v>
      </c>
      <c r="B2788" s="11">
        <v>44649</v>
      </c>
      <c r="C2788" s="160">
        <v>1312</v>
      </c>
      <c r="E2788" s="1" t="s">
        <v>275</v>
      </c>
      <c r="F2788" s="22">
        <v>353465072455296</v>
      </c>
      <c r="I2788" s="2" t="s">
        <v>44</v>
      </c>
    </row>
    <row r="2789" spans="1:19">
      <c r="A2789" s="8"/>
      <c r="B2789" s="58"/>
      <c r="C2789" s="159"/>
      <c r="D2789" s="8"/>
      <c r="E2789" s="8"/>
      <c r="F2789" s="9"/>
      <c r="G2789" s="8"/>
      <c r="H2789" s="8"/>
      <c r="I2789" s="8"/>
      <c r="J2789" s="58"/>
      <c r="K2789" s="8"/>
      <c r="L2789" s="58"/>
      <c r="M2789" s="8"/>
      <c r="N2789" s="8"/>
      <c r="O2789" s="58"/>
      <c r="P2789" s="8"/>
      <c r="Q2789" s="8"/>
      <c r="R2789" s="8"/>
      <c r="S2789" s="8"/>
    </row>
    <row r="2790" spans="1:19">
      <c r="A2790" s="4">
        <v>1</v>
      </c>
      <c r="B2790" s="24">
        <v>44649</v>
      </c>
      <c r="C2790" s="158">
        <v>1313</v>
      </c>
      <c r="D2790" s="4"/>
      <c r="E2790" s="4" t="s">
        <v>275</v>
      </c>
      <c r="F2790" s="22">
        <v>353465072485707</v>
      </c>
      <c r="H2790" s="4"/>
      <c r="I2790" s="2" t="s">
        <v>44</v>
      </c>
      <c r="J2790" s="24"/>
      <c r="P2790" s="4"/>
      <c r="Q2790" s="4"/>
      <c r="R2790" s="4"/>
      <c r="S2790" s="4"/>
    </row>
    <row r="2791" spans="1:19">
      <c r="A2791" s="8"/>
      <c r="B2791" s="58"/>
      <c r="C2791" s="159"/>
      <c r="D2791" s="8"/>
      <c r="E2791" s="8"/>
      <c r="F2791" s="9"/>
      <c r="G2791" s="8"/>
      <c r="H2791" s="8"/>
      <c r="I2791" s="8"/>
      <c r="J2791" s="58"/>
      <c r="K2791" s="8"/>
      <c r="L2791" s="58"/>
      <c r="M2791" s="8"/>
      <c r="N2791" s="8"/>
      <c r="O2791" s="58"/>
      <c r="P2791" s="8"/>
      <c r="Q2791" s="8"/>
      <c r="R2791" s="8"/>
      <c r="S2791" s="8"/>
    </row>
    <row r="2792" spans="1:19">
      <c r="A2792" s="4">
        <v>1</v>
      </c>
      <c r="B2792" s="24">
        <v>44652</v>
      </c>
      <c r="C2792" s="158">
        <v>1380</v>
      </c>
      <c r="D2792" s="4"/>
      <c r="E2792" s="4" t="s">
        <v>229</v>
      </c>
      <c r="F2792" s="22">
        <v>866854054489565</v>
      </c>
      <c r="H2792" s="4"/>
      <c r="I2792" s="2" t="s">
        <v>46</v>
      </c>
      <c r="N2792" s="2" t="s">
        <v>8451</v>
      </c>
      <c r="O2792" s="18">
        <v>44707</v>
      </c>
    </row>
    <row r="2793" spans="1:19">
      <c r="A2793" s="1">
        <v>2</v>
      </c>
      <c r="F2793" s="22">
        <v>866854054459691</v>
      </c>
      <c r="I2793" s="2" t="s">
        <v>46</v>
      </c>
      <c r="N2793" s="2" t="s">
        <v>8452</v>
      </c>
      <c r="O2793" s="18">
        <v>44712</v>
      </c>
    </row>
    <row r="2794" spans="1:19">
      <c r="A2794" s="1">
        <v>3</v>
      </c>
      <c r="F2794" s="22">
        <v>866854054462513</v>
      </c>
      <c r="I2794" s="2" t="s">
        <v>44</v>
      </c>
    </row>
    <row r="2795" spans="1:19">
      <c r="A2795" s="4">
        <v>4</v>
      </c>
      <c r="F2795" s="22">
        <v>866854052949594</v>
      </c>
      <c r="I2795" s="2" t="s">
        <v>46</v>
      </c>
      <c r="N2795" s="2" t="s">
        <v>8453</v>
      </c>
      <c r="O2795" s="18">
        <v>44712</v>
      </c>
    </row>
    <row r="2796" spans="1:19">
      <c r="A2796" s="1">
        <v>5</v>
      </c>
      <c r="F2796" s="22">
        <v>866854052991471</v>
      </c>
      <c r="I2796" s="2" t="s">
        <v>46</v>
      </c>
      <c r="N2796" s="2" t="s">
        <v>8453</v>
      </c>
      <c r="O2796" s="18">
        <v>44712</v>
      </c>
    </row>
    <row r="2797" spans="1:19">
      <c r="A2797" s="1">
        <v>6</v>
      </c>
      <c r="F2797" s="22">
        <v>866854056251260</v>
      </c>
      <c r="I2797" s="2" t="s">
        <v>46</v>
      </c>
      <c r="N2797" s="2" t="s">
        <v>8454</v>
      </c>
      <c r="O2797" s="18">
        <v>44711</v>
      </c>
    </row>
    <row r="2798" spans="1:19">
      <c r="A2798" s="4">
        <v>7</v>
      </c>
      <c r="F2798" s="22">
        <v>866854054251247</v>
      </c>
      <c r="I2798" s="2" t="s">
        <v>46</v>
      </c>
      <c r="N2798" s="2" t="s">
        <v>8455</v>
      </c>
      <c r="O2798" s="18">
        <v>44679</v>
      </c>
    </row>
    <row r="2799" spans="1:19">
      <c r="A2799" s="1">
        <v>8</v>
      </c>
      <c r="F2799" s="22">
        <v>866854054464634</v>
      </c>
      <c r="I2799" s="2" t="s">
        <v>44</v>
      </c>
      <c r="M2799" s="2" t="s">
        <v>8456</v>
      </c>
      <c r="N2799" s="2" t="s">
        <v>8457</v>
      </c>
    </row>
    <row r="2800" spans="1:19">
      <c r="A2800" s="1">
        <v>9</v>
      </c>
      <c r="F2800" s="22">
        <v>866854054251684</v>
      </c>
      <c r="I2800" s="2" t="s">
        <v>44</v>
      </c>
      <c r="N2800" s="2" t="s">
        <v>8458</v>
      </c>
      <c r="O2800" s="18">
        <v>44698</v>
      </c>
    </row>
    <row r="2801" spans="1:15">
      <c r="A2801" s="4">
        <v>10</v>
      </c>
      <c r="F2801" s="22">
        <v>866854054256618</v>
      </c>
      <c r="I2801" s="2" t="s">
        <v>46</v>
      </c>
      <c r="N2801" s="2" t="s">
        <v>8459</v>
      </c>
      <c r="O2801" s="18">
        <v>44663</v>
      </c>
    </row>
    <row r="2802" spans="1:15">
      <c r="A2802" s="1">
        <v>11</v>
      </c>
      <c r="E2802" s="4" t="s">
        <v>176</v>
      </c>
      <c r="F2802" s="22">
        <v>866854053018720</v>
      </c>
      <c r="I2802" s="2" t="s">
        <v>46</v>
      </c>
      <c r="M2802" s="2" t="s">
        <v>8460</v>
      </c>
      <c r="N2802" s="2" t="s">
        <v>8348</v>
      </c>
      <c r="O2802" s="18">
        <v>44698</v>
      </c>
    </row>
    <row r="2803" spans="1:15">
      <c r="A2803" s="1">
        <v>12</v>
      </c>
      <c r="F2803" s="22">
        <v>866854052193334</v>
      </c>
      <c r="I2803" s="2" t="s">
        <v>46</v>
      </c>
      <c r="M2803" s="2" t="s">
        <v>8461</v>
      </c>
      <c r="N2803" s="2" t="s">
        <v>8462</v>
      </c>
      <c r="O2803" s="18">
        <v>44672</v>
      </c>
    </row>
    <row r="2804" spans="1:15">
      <c r="A2804" s="4">
        <v>13</v>
      </c>
      <c r="F2804" s="22">
        <v>866854052950022</v>
      </c>
      <c r="I2804" s="2" t="s">
        <v>46</v>
      </c>
      <c r="N2804" s="2" t="s">
        <v>3628</v>
      </c>
      <c r="O2804" s="18">
        <v>44672</v>
      </c>
    </row>
    <row r="2805" spans="1:15">
      <c r="A2805" s="1">
        <v>14</v>
      </c>
      <c r="F2805" s="22">
        <v>866854053030683</v>
      </c>
      <c r="I2805" s="2" t="s">
        <v>46</v>
      </c>
      <c r="M2805" s="2" t="s">
        <v>8463</v>
      </c>
      <c r="N2805" s="2" t="s">
        <v>3918</v>
      </c>
      <c r="O2805" s="18">
        <v>44680</v>
      </c>
    </row>
    <row r="2806" spans="1:15">
      <c r="A2806" s="1">
        <v>15</v>
      </c>
      <c r="F2806" s="22">
        <v>866854052148684</v>
      </c>
      <c r="I2806" s="2" t="s">
        <v>46</v>
      </c>
      <c r="M2806" s="2" t="s">
        <v>8464</v>
      </c>
      <c r="N2806" s="2" t="s">
        <v>8465</v>
      </c>
      <c r="O2806" s="18">
        <v>44658</v>
      </c>
    </row>
    <row r="2807" spans="1:15">
      <c r="A2807" s="4">
        <v>16</v>
      </c>
      <c r="F2807" s="22">
        <v>866854052099358</v>
      </c>
      <c r="I2807" s="2" t="s">
        <v>46</v>
      </c>
      <c r="N2807" s="2" t="s">
        <v>8466</v>
      </c>
      <c r="O2807" s="18">
        <v>44658</v>
      </c>
    </row>
    <row r="2808" spans="1:15">
      <c r="A2808" s="1">
        <v>17</v>
      </c>
      <c r="F2808" s="22">
        <v>866854053051077</v>
      </c>
      <c r="I2808" s="2" t="s">
        <v>46</v>
      </c>
      <c r="N2808" s="2" t="s">
        <v>8466</v>
      </c>
      <c r="O2808" s="18">
        <v>44658</v>
      </c>
    </row>
    <row r="2809" spans="1:15">
      <c r="A2809" s="1">
        <v>18</v>
      </c>
      <c r="F2809" s="22">
        <v>866854053047778</v>
      </c>
      <c r="I2809" s="2" t="s">
        <v>46</v>
      </c>
      <c r="N2809" s="2" t="s">
        <v>8466</v>
      </c>
      <c r="O2809" s="18">
        <v>44658</v>
      </c>
    </row>
    <row r="2810" spans="1:15">
      <c r="A2810" s="4">
        <v>19</v>
      </c>
      <c r="F2810" s="22">
        <v>866854052950121</v>
      </c>
      <c r="I2810" s="2" t="s">
        <v>46</v>
      </c>
      <c r="N2810" s="2" t="s">
        <v>8467</v>
      </c>
      <c r="O2810" s="18">
        <v>44663</v>
      </c>
    </row>
    <row r="2811" spans="1:15">
      <c r="A2811" s="1">
        <v>20</v>
      </c>
      <c r="F2811" s="22">
        <v>866854052976613</v>
      </c>
      <c r="I2811" s="2" t="s">
        <v>46</v>
      </c>
      <c r="N2811" s="2" t="s">
        <v>8468</v>
      </c>
      <c r="O2811" s="18">
        <v>44656</v>
      </c>
    </row>
    <row r="2812" spans="1:15">
      <c r="A2812" s="1">
        <v>21</v>
      </c>
      <c r="F2812" s="22">
        <v>866854050502767</v>
      </c>
      <c r="I2812" s="2" t="s">
        <v>46</v>
      </c>
      <c r="N2812" s="2" t="s">
        <v>8469</v>
      </c>
      <c r="O2812" s="18">
        <v>44662</v>
      </c>
    </row>
    <row r="2813" spans="1:15">
      <c r="A2813" s="4">
        <v>22</v>
      </c>
      <c r="F2813" s="22">
        <v>866854050600504</v>
      </c>
      <c r="I2813" s="2" t="s">
        <v>46</v>
      </c>
      <c r="M2813" s="2" t="s">
        <v>8470</v>
      </c>
      <c r="N2813" s="2" t="s">
        <v>8471</v>
      </c>
      <c r="O2813" s="18">
        <v>44663</v>
      </c>
    </row>
    <row r="2814" spans="1:15">
      <c r="A2814" s="1">
        <v>23</v>
      </c>
      <c r="F2814" s="22">
        <v>866854052181297</v>
      </c>
      <c r="I2814" s="2" t="s">
        <v>46</v>
      </c>
      <c r="N2814" s="2" t="s">
        <v>3863</v>
      </c>
      <c r="O2814" s="18">
        <v>44663</v>
      </c>
    </row>
    <row r="2815" spans="1:15">
      <c r="A2815" s="1">
        <v>24</v>
      </c>
      <c r="F2815" s="22">
        <v>866854050615403</v>
      </c>
      <c r="I2815" s="2" t="s">
        <v>46</v>
      </c>
      <c r="N2815" s="2" t="s">
        <v>8465</v>
      </c>
      <c r="O2815" s="18">
        <v>44663</v>
      </c>
    </row>
    <row r="2816" spans="1:15">
      <c r="A2816" s="4">
        <v>25</v>
      </c>
      <c r="F2816" s="22">
        <v>866854050615247</v>
      </c>
      <c r="I2816" s="2" t="s">
        <v>46</v>
      </c>
      <c r="M2816" s="2" t="s">
        <v>8472</v>
      </c>
      <c r="N2816" s="2" t="s">
        <v>8473</v>
      </c>
      <c r="O2816" s="18">
        <v>44670</v>
      </c>
    </row>
    <row r="2817" spans="1:15">
      <c r="A2817" s="1">
        <v>26</v>
      </c>
      <c r="F2817" s="22">
        <v>866854052976167</v>
      </c>
      <c r="I2817" s="2" t="s">
        <v>46</v>
      </c>
      <c r="N2817" s="2" t="s">
        <v>8474</v>
      </c>
      <c r="O2817" s="18">
        <v>44676</v>
      </c>
    </row>
    <row r="2818" spans="1:15">
      <c r="A2818" s="1">
        <v>27</v>
      </c>
      <c r="F2818" s="22">
        <v>866854052976779</v>
      </c>
      <c r="I2818" s="2" t="s">
        <v>46</v>
      </c>
      <c r="M2818" s="2" t="s">
        <v>8475</v>
      </c>
      <c r="N2818" s="2" t="s">
        <v>8476</v>
      </c>
      <c r="O2818" s="18">
        <v>44677</v>
      </c>
    </row>
    <row r="2819" spans="1:15">
      <c r="A2819" s="4">
        <v>28</v>
      </c>
      <c r="F2819" s="22">
        <v>866854052864553</v>
      </c>
      <c r="I2819" s="2" t="s">
        <v>46</v>
      </c>
      <c r="M2819" s="2" t="s">
        <v>8477</v>
      </c>
      <c r="N2819" s="2" t="s">
        <v>8462</v>
      </c>
      <c r="O2819" s="18">
        <v>44672</v>
      </c>
    </row>
    <row r="2820" spans="1:15">
      <c r="A2820" s="1">
        <v>29</v>
      </c>
      <c r="F2820" s="22">
        <v>866854051075607</v>
      </c>
      <c r="I2820" s="2" t="s">
        <v>46</v>
      </c>
      <c r="M2820" s="2" t="s">
        <v>8478</v>
      </c>
      <c r="N2820" s="2" t="s">
        <v>3996</v>
      </c>
      <c r="O2820" s="18">
        <v>44673</v>
      </c>
    </row>
    <row r="2821" spans="1:15">
      <c r="A2821" s="1">
        <v>30</v>
      </c>
      <c r="F2821" s="22">
        <v>866854052193375</v>
      </c>
      <c r="I2821" s="2" t="s">
        <v>46</v>
      </c>
      <c r="N2821" s="2" t="s">
        <v>3918</v>
      </c>
      <c r="O2821" s="18">
        <v>44676</v>
      </c>
    </row>
    <row r="2822" spans="1:15">
      <c r="A2822" s="8"/>
      <c r="B2822" s="58"/>
      <c r="C2822" s="159"/>
      <c r="D2822" s="8"/>
      <c r="E2822" s="8"/>
      <c r="F2822" s="9"/>
      <c r="G2822" s="8"/>
      <c r="H2822" s="8"/>
      <c r="I2822" s="8"/>
      <c r="J2822" s="58"/>
      <c r="K2822" s="8"/>
      <c r="L2822" s="58"/>
      <c r="M2822" s="8"/>
      <c r="N2822" s="8"/>
      <c r="O2822" s="58"/>
    </row>
    <row r="2823" spans="1:15">
      <c r="A2823" s="1">
        <v>1</v>
      </c>
      <c r="B2823" s="11">
        <v>44650</v>
      </c>
      <c r="C2823" s="160">
        <v>529</v>
      </c>
      <c r="E2823" s="1" t="s">
        <v>313</v>
      </c>
      <c r="F2823" s="22">
        <v>869688055975900</v>
      </c>
      <c r="I2823" s="2" t="s">
        <v>46</v>
      </c>
      <c r="N2823" s="2" t="s">
        <v>8479</v>
      </c>
      <c r="O2823" s="18">
        <v>44658</v>
      </c>
    </row>
    <row r="2824" spans="1:15">
      <c r="A2824" s="1">
        <v>2</v>
      </c>
      <c r="F2824" s="22">
        <v>869688055931325</v>
      </c>
      <c r="I2824" s="2" t="s">
        <v>46</v>
      </c>
      <c r="N2824" s="2" t="s">
        <v>8479</v>
      </c>
      <c r="O2824" s="18">
        <v>44658</v>
      </c>
    </row>
    <row r="2825" spans="1:15">
      <c r="A2825" s="1">
        <v>3</v>
      </c>
      <c r="F2825" s="22">
        <v>869688055902979</v>
      </c>
      <c r="I2825" s="2" t="s">
        <v>46</v>
      </c>
      <c r="N2825" s="2" t="s">
        <v>8479</v>
      </c>
      <c r="O2825" s="18">
        <v>44669</v>
      </c>
    </row>
    <row r="2826" spans="1:15">
      <c r="A2826" s="1">
        <v>4</v>
      </c>
      <c r="F2826" s="22">
        <v>869688055931317</v>
      </c>
      <c r="I2826" s="2" t="s">
        <v>46</v>
      </c>
      <c r="M2826" s="2" t="s">
        <v>8480</v>
      </c>
      <c r="N2826" s="2" t="s">
        <v>272</v>
      </c>
      <c r="O2826" s="18">
        <v>44693</v>
      </c>
    </row>
    <row r="2827" spans="1:15">
      <c r="A2827" s="1">
        <v>5</v>
      </c>
      <c r="F2827" s="22">
        <v>869688055909370</v>
      </c>
      <c r="I2827" s="2" t="s">
        <v>46</v>
      </c>
      <c r="N2827" s="2" t="s">
        <v>8479</v>
      </c>
      <c r="O2827" s="18">
        <v>44658</v>
      </c>
    </row>
    <row r="2828" spans="1:15">
      <c r="A2828" s="1">
        <v>6</v>
      </c>
      <c r="F2828" s="22">
        <v>869688055923926</v>
      </c>
      <c r="I2828" s="2" t="s">
        <v>46</v>
      </c>
      <c r="N2828" s="2" t="s">
        <v>8479</v>
      </c>
      <c r="O2828" s="18">
        <v>44658</v>
      </c>
    </row>
    <row r="2829" spans="1:15">
      <c r="A2829" s="1">
        <v>7</v>
      </c>
      <c r="F2829" s="22">
        <v>869688055926697</v>
      </c>
      <c r="I2829" s="2" t="s">
        <v>46</v>
      </c>
      <c r="N2829" s="2" t="s">
        <v>8479</v>
      </c>
      <c r="O2829" s="18">
        <v>44669</v>
      </c>
    </row>
    <row r="2830" spans="1:15">
      <c r="A2830" s="1">
        <v>8</v>
      </c>
      <c r="F2830" s="22">
        <v>869688056094677</v>
      </c>
      <c r="I2830" s="2" t="s">
        <v>46</v>
      </c>
      <c r="N2830" s="2" t="s">
        <v>8479</v>
      </c>
      <c r="O2830" s="18">
        <v>44658</v>
      </c>
    </row>
    <row r="2831" spans="1:15">
      <c r="A2831" s="1">
        <v>9</v>
      </c>
      <c r="F2831" s="22">
        <v>869688055911418</v>
      </c>
      <c r="I2831" s="2" t="s">
        <v>46</v>
      </c>
      <c r="N2831" s="2" t="s">
        <v>8479</v>
      </c>
      <c r="O2831" s="18">
        <v>44669</v>
      </c>
    </row>
    <row r="2832" spans="1:15">
      <c r="A2832" s="1">
        <v>10</v>
      </c>
      <c r="F2832" s="22">
        <v>869688055923439</v>
      </c>
      <c r="I2832" s="2" t="s">
        <v>46</v>
      </c>
      <c r="N2832" s="2" t="s">
        <v>8479</v>
      </c>
      <c r="O2832" s="18">
        <v>44658</v>
      </c>
    </row>
    <row r="2833" spans="1:15">
      <c r="A2833" s="1">
        <v>11</v>
      </c>
      <c r="F2833" s="22">
        <v>869688055951901</v>
      </c>
      <c r="I2833" s="2" t="s">
        <v>46</v>
      </c>
      <c r="N2833" s="2" t="s">
        <v>8479</v>
      </c>
      <c r="O2833" s="18">
        <v>44676</v>
      </c>
    </row>
    <row r="2834" spans="1:15">
      <c r="A2834" s="1">
        <v>12</v>
      </c>
      <c r="F2834" s="22">
        <v>869688055903951</v>
      </c>
      <c r="I2834" s="2" t="s">
        <v>46</v>
      </c>
      <c r="M2834" s="2" t="s">
        <v>8481</v>
      </c>
      <c r="N2834" s="2" t="s">
        <v>8482</v>
      </c>
      <c r="O2834" s="18">
        <v>44693</v>
      </c>
    </row>
    <row r="2835" spans="1:15">
      <c r="A2835" s="1">
        <v>13</v>
      </c>
      <c r="F2835" s="22">
        <v>869688055932844</v>
      </c>
      <c r="I2835" s="2" t="s">
        <v>46</v>
      </c>
      <c r="N2835" s="2" t="s">
        <v>8482</v>
      </c>
      <c r="O2835" s="18">
        <v>44665</v>
      </c>
    </row>
    <row r="2836" spans="1:15">
      <c r="A2836" s="1">
        <v>14</v>
      </c>
      <c r="F2836" s="22">
        <v>869688055927422</v>
      </c>
      <c r="I2836" s="2" t="s">
        <v>46</v>
      </c>
      <c r="N2836" s="2" t="s">
        <v>8482</v>
      </c>
      <c r="O2836" s="18">
        <v>44665</v>
      </c>
    </row>
    <row r="2837" spans="1:15">
      <c r="A2837" s="1">
        <v>15</v>
      </c>
      <c r="F2837" s="22">
        <v>869688055914545</v>
      </c>
      <c r="I2837" s="2" t="s">
        <v>46</v>
      </c>
      <c r="N2837" s="2" t="s">
        <v>8483</v>
      </c>
      <c r="O2837" s="18">
        <v>44663</v>
      </c>
    </row>
    <row r="2838" spans="1:15">
      <c r="A2838" s="1">
        <v>16</v>
      </c>
      <c r="F2838" s="22">
        <v>869688055907572</v>
      </c>
      <c r="I2838" s="2" t="s">
        <v>46</v>
      </c>
      <c r="N2838" s="2" t="s">
        <v>8483</v>
      </c>
      <c r="O2838" s="18">
        <v>44663</v>
      </c>
    </row>
    <row r="2839" spans="1:15">
      <c r="A2839" s="1">
        <v>17</v>
      </c>
      <c r="F2839" s="22">
        <v>869688055866109</v>
      </c>
      <c r="I2839" s="2" t="s">
        <v>46</v>
      </c>
      <c r="N2839" s="2" t="s">
        <v>8483</v>
      </c>
      <c r="O2839" s="18">
        <v>44663</v>
      </c>
    </row>
    <row r="2840" spans="1:15">
      <c r="A2840" s="1">
        <v>18</v>
      </c>
      <c r="F2840" s="22">
        <v>869688055932588</v>
      </c>
      <c r="I2840" s="2" t="s">
        <v>46</v>
      </c>
      <c r="N2840" s="2" t="s">
        <v>3691</v>
      </c>
      <c r="O2840" s="18">
        <v>44663</v>
      </c>
    </row>
    <row r="2841" spans="1:15">
      <c r="A2841" s="1">
        <v>19</v>
      </c>
      <c r="F2841" s="22">
        <v>869688055908042</v>
      </c>
      <c r="I2841" s="2" t="s">
        <v>46</v>
      </c>
      <c r="N2841" s="2" t="s">
        <v>8479</v>
      </c>
      <c r="O2841" s="18">
        <v>44662</v>
      </c>
    </row>
    <row r="2842" spans="1:15">
      <c r="A2842" s="1">
        <v>20</v>
      </c>
      <c r="F2842" s="22">
        <v>869688055949434</v>
      </c>
      <c r="I2842" s="2" t="s">
        <v>46</v>
      </c>
      <c r="N2842" s="2" t="s">
        <v>3691</v>
      </c>
      <c r="O2842" s="18">
        <v>44666</v>
      </c>
    </row>
    <row r="2843" spans="1:15">
      <c r="A2843" s="1">
        <v>21</v>
      </c>
      <c r="F2843" s="22">
        <v>869688055877270</v>
      </c>
      <c r="I2843" s="2" t="s">
        <v>46</v>
      </c>
      <c r="N2843" s="2" t="s">
        <v>8483</v>
      </c>
      <c r="O2843" s="18">
        <v>44663</v>
      </c>
    </row>
    <row r="2844" spans="1:15">
      <c r="A2844" s="1">
        <v>22</v>
      </c>
      <c r="F2844" s="22">
        <v>869688055925061</v>
      </c>
      <c r="I2844" s="2" t="s">
        <v>46</v>
      </c>
      <c r="N2844" s="2" t="s">
        <v>3691</v>
      </c>
      <c r="O2844" s="18">
        <v>44666</v>
      </c>
    </row>
    <row r="2845" spans="1:15">
      <c r="A2845" s="1">
        <v>23</v>
      </c>
      <c r="F2845" s="22">
        <v>869688055907648</v>
      </c>
      <c r="I2845" s="2" t="s">
        <v>46</v>
      </c>
      <c r="N2845" s="2" t="s">
        <v>8479</v>
      </c>
      <c r="O2845" s="18">
        <v>44669</v>
      </c>
    </row>
    <row r="2846" spans="1:15">
      <c r="A2846" s="1">
        <v>24</v>
      </c>
      <c r="F2846" s="22">
        <v>869688055927349</v>
      </c>
      <c r="I2846" s="2" t="s">
        <v>46</v>
      </c>
      <c r="N2846" s="2" t="s">
        <v>8479</v>
      </c>
      <c r="O2846" s="18">
        <v>44676</v>
      </c>
    </row>
    <row r="2847" spans="1:15">
      <c r="A2847" s="1">
        <v>25</v>
      </c>
      <c r="F2847" s="22">
        <v>869688055840005</v>
      </c>
      <c r="I2847" s="2" t="s">
        <v>46</v>
      </c>
      <c r="N2847" s="2" t="s">
        <v>8479</v>
      </c>
      <c r="O2847" s="18">
        <v>44662</v>
      </c>
    </row>
    <row r="2848" spans="1:15">
      <c r="A2848" s="8"/>
      <c r="B2848" s="58"/>
      <c r="C2848" s="159"/>
      <c r="D2848" s="8"/>
      <c r="E2848" s="8"/>
      <c r="F2848" s="9"/>
      <c r="G2848" s="8"/>
      <c r="H2848" s="8"/>
      <c r="I2848" s="8"/>
      <c r="J2848" s="58"/>
      <c r="K2848" s="8"/>
      <c r="L2848" s="58"/>
      <c r="M2848" s="8"/>
      <c r="N2848" s="8"/>
      <c r="O2848" s="58"/>
    </row>
    <row r="2849" spans="1:15">
      <c r="A2849" s="1">
        <v>1</v>
      </c>
      <c r="B2849" s="11">
        <v>44657</v>
      </c>
      <c r="C2849" s="160">
        <v>1417</v>
      </c>
      <c r="E2849" s="1" t="s">
        <v>229</v>
      </c>
      <c r="F2849" s="22">
        <v>866854054351542</v>
      </c>
      <c r="I2849" s="2" t="s">
        <v>44</v>
      </c>
    </row>
    <row r="2850" spans="1:15">
      <c r="A2850" s="1">
        <v>2</v>
      </c>
      <c r="F2850" s="22">
        <v>866854054349322</v>
      </c>
      <c r="I2850" s="2" t="s">
        <v>44</v>
      </c>
    </row>
    <row r="2851" spans="1:15">
      <c r="A2851" s="1">
        <v>3</v>
      </c>
      <c r="F2851" s="22">
        <v>866854056254256</v>
      </c>
      <c r="I2851" s="2" t="s">
        <v>46</v>
      </c>
      <c r="N2851" s="2" t="s">
        <v>8484</v>
      </c>
      <c r="O2851" s="18">
        <v>44721</v>
      </c>
    </row>
    <row r="2852" spans="1:15">
      <c r="A2852" s="1">
        <v>4</v>
      </c>
      <c r="F2852" s="22">
        <v>866854054252658</v>
      </c>
      <c r="I2852" s="2" t="s">
        <v>44</v>
      </c>
    </row>
    <row r="2853" spans="1:15">
      <c r="A2853" s="1">
        <v>5</v>
      </c>
      <c r="F2853" s="22">
        <v>866854056461141</v>
      </c>
      <c r="I2853" s="2" t="s">
        <v>44</v>
      </c>
    </row>
    <row r="2854" spans="1:15">
      <c r="A2854" s="1">
        <v>6</v>
      </c>
      <c r="F2854" s="22">
        <v>866854054460137</v>
      </c>
      <c r="I2854" s="2" t="s">
        <v>44</v>
      </c>
    </row>
    <row r="2855" spans="1:15">
      <c r="A2855" s="1">
        <v>7</v>
      </c>
      <c r="F2855" s="22">
        <v>866854056258711</v>
      </c>
      <c r="I2855" s="2" t="s">
        <v>44</v>
      </c>
    </row>
    <row r="2856" spans="1:15">
      <c r="A2856" s="1">
        <v>8</v>
      </c>
      <c r="F2856" s="22">
        <v>866854054347417</v>
      </c>
      <c r="I2856" s="2" t="s">
        <v>44</v>
      </c>
    </row>
    <row r="2857" spans="1:15">
      <c r="A2857" s="1">
        <v>9</v>
      </c>
      <c r="F2857" s="22">
        <v>866854054466738</v>
      </c>
      <c r="I2857" s="2" t="s">
        <v>44</v>
      </c>
    </row>
    <row r="2858" spans="1:15">
      <c r="A2858" s="1">
        <v>10</v>
      </c>
      <c r="F2858" s="22">
        <v>866854054462547</v>
      </c>
      <c r="I2858" s="2" t="s">
        <v>44</v>
      </c>
    </row>
    <row r="2859" spans="1:15">
      <c r="A2859" s="8"/>
      <c r="B2859" s="58"/>
      <c r="C2859" s="159"/>
      <c r="D2859" s="8"/>
      <c r="E2859" s="8"/>
      <c r="F2859" s="9"/>
      <c r="G2859" s="8"/>
      <c r="H2859" s="8"/>
      <c r="I2859" s="8"/>
      <c r="J2859" s="58"/>
      <c r="K2859" s="8"/>
      <c r="L2859" s="58"/>
      <c r="M2859" s="8"/>
      <c r="N2859" s="8"/>
      <c r="O2859" s="58"/>
    </row>
    <row r="2860" spans="1:15">
      <c r="A2860" s="1">
        <v>1</v>
      </c>
      <c r="B2860" s="11">
        <v>44669</v>
      </c>
      <c r="C2860" s="160">
        <v>1691</v>
      </c>
      <c r="E2860" s="1" t="s">
        <v>176</v>
      </c>
      <c r="F2860" s="22">
        <v>866854056304531</v>
      </c>
      <c r="I2860" s="2" t="s">
        <v>46</v>
      </c>
      <c r="N2860" s="2" t="s">
        <v>3802</v>
      </c>
      <c r="O2860" s="18">
        <v>44677</v>
      </c>
    </row>
    <row r="2861" spans="1:15">
      <c r="A2861" s="1">
        <v>2</v>
      </c>
      <c r="F2861" s="22">
        <v>866854050576316</v>
      </c>
      <c r="I2861" s="2" t="s">
        <v>46</v>
      </c>
      <c r="M2861" s="2" t="s">
        <v>8485</v>
      </c>
      <c r="N2861" s="2" t="s">
        <v>335</v>
      </c>
      <c r="O2861" s="18">
        <v>44694</v>
      </c>
    </row>
    <row r="2862" spans="1:15">
      <c r="A2862" s="1">
        <v>3</v>
      </c>
      <c r="F2862" s="22">
        <v>866854056498390</v>
      </c>
      <c r="I2862" s="2" t="s">
        <v>46</v>
      </c>
      <c r="N2862" s="2" t="s">
        <v>8486</v>
      </c>
      <c r="O2862" s="18">
        <v>44697</v>
      </c>
    </row>
    <row r="2863" spans="1:15">
      <c r="A2863" s="1">
        <v>4</v>
      </c>
      <c r="F2863" s="22">
        <v>866854050574683</v>
      </c>
      <c r="I2863" s="2" t="s">
        <v>46</v>
      </c>
      <c r="N2863" s="2" t="s">
        <v>3968</v>
      </c>
      <c r="O2863" s="18">
        <v>44699</v>
      </c>
    </row>
    <row r="2864" spans="1:15">
      <c r="A2864" s="1">
        <v>5</v>
      </c>
      <c r="F2864" s="22">
        <v>866854056298188</v>
      </c>
      <c r="I2864" s="2" t="s">
        <v>46</v>
      </c>
      <c r="N2864" s="2" t="s">
        <v>8487</v>
      </c>
      <c r="O2864" s="18">
        <v>44705</v>
      </c>
    </row>
    <row r="2865" spans="1:15">
      <c r="A2865" s="1">
        <v>6</v>
      </c>
      <c r="F2865" s="22">
        <v>866854056491155</v>
      </c>
      <c r="I2865" s="2" t="s">
        <v>46</v>
      </c>
      <c r="M2865" s="2" t="s">
        <v>8488</v>
      </c>
      <c r="N2865" s="2" t="s">
        <v>111</v>
      </c>
      <c r="O2865" s="18">
        <v>44694</v>
      </c>
    </row>
    <row r="2866" spans="1:15">
      <c r="A2866" s="1">
        <v>7</v>
      </c>
      <c r="F2866" s="22">
        <v>866854056297610</v>
      </c>
      <c r="I2866" s="2" t="s">
        <v>46</v>
      </c>
      <c r="N2866" s="2" t="s">
        <v>8486</v>
      </c>
      <c r="O2866" s="18">
        <v>44697</v>
      </c>
    </row>
    <row r="2867" spans="1:15">
      <c r="A2867" s="1">
        <v>8</v>
      </c>
      <c r="F2867" s="22">
        <v>866854056493243</v>
      </c>
      <c r="I2867" s="2" t="s">
        <v>46</v>
      </c>
      <c r="N2867" s="2" t="s">
        <v>8489</v>
      </c>
      <c r="O2867" s="18">
        <v>44699</v>
      </c>
    </row>
    <row r="2868" spans="1:15">
      <c r="A2868" s="1">
        <v>9</v>
      </c>
      <c r="F2868" s="22">
        <v>866854050523003</v>
      </c>
      <c r="I2868" s="2" t="s">
        <v>46</v>
      </c>
      <c r="N2868" s="2" t="s">
        <v>8462</v>
      </c>
      <c r="O2868" s="18">
        <v>44697</v>
      </c>
    </row>
    <row r="2869" spans="1:15">
      <c r="A2869" s="1">
        <v>10</v>
      </c>
      <c r="F2869" s="22">
        <v>866854056304622</v>
      </c>
      <c r="I2869" s="2" t="s">
        <v>46</v>
      </c>
      <c r="N2869" s="2" t="s">
        <v>157</v>
      </c>
      <c r="O2869" s="18">
        <v>44705</v>
      </c>
    </row>
    <row r="2870" spans="1:15">
      <c r="A2870" s="1">
        <v>11</v>
      </c>
      <c r="F2870" s="22">
        <v>866854051057217</v>
      </c>
      <c r="I2870" s="2" t="s">
        <v>46</v>
      </c>
      <c r="N2870" s="2" t="s">
        <v>8489</v>
      </c>
      <c r="O2870" s="18">
        <v>44699</v>
      </c>
    </row>
    <row r="2871" spans="1:15">
      <c r="A2871" s="1">
        <v>12</v>
      </c>
      <c r="F2871" s="22">
        <v>866854056476461</v>
      </c>
      <c r="I2871" s="2" t="s">
        <v>46</v>
      </c>
      <c r="N2871" s="2" t="s">
        <v>8486</v>
      </c>
      <c r="O2871" s="18">
        <v>44697</v>
      </c>
    </row>
    <row r="2872" spans="1:15">
      <c r="A2872" s="1">
        <v>13</v>
      </c>
      <c r="F2872" s="22">
        <v>866854050582074</v>
      </c>
      <c r="I2872" s="2" t="s">
        <v>46</v>
      </c>
      <c r="N2872" s="2" t="s">
        <v>8490</v>
      </c>
      <c r="O2872" s="18">
        <v>44699</v>
      </c>
    </row>
    <row r="2873" spans="1:15">
      <c r="A2873" s="1">
        <v>14</v>
      </c>
      <c r="F2873" s="22">
        <v>866854050527178</v>
      </c>
      <c r="I2873" s="2" t="s">
        <v>46</v>
      </c>
      <c r="N2873" s="2" t="s">
        <v>111</v>
      </c>
      <c r="O2873" s="18">
        <v>44685</v>
      </c>
    </row>
    <row r="2874" spans="1:15">
      <c r="A2874" s="1">
        <v>15</v>
      </c>
      <c r="F2874" s="22">
        <v>866854056304572</v>
      </c>
      <c r="I2874" s="2" t="s">
        <v>46</v>
      </c>
      <c r="N2874" s="2" t="s">
        <v>83</v>
      </c>
      <c r="O2874" s="18">
        <v>44706</v>
      </c>
    </row>
    <row r="2875" spans="1:15">
      <c r="A2875" s="1">
        <v>16</v>
      </c>
      <c r="F2875" s="22">
        <v>866854050566325</v>
      </c>
      <c r="I2875" s="2" t="s">
        <v>46</v>
      </c>
      <c r="M2875" s="2" t="s">
        <v>8491</v>
      </c>
      <c r="N2875" s="2" t="s">
        <v>3918</v>
      </c>
      <c r="O2875" s="18">
        <v>44679</v>
      </c>
    </row>
    <row r="2876" spans="1:15">
      <c r="A2876" s="1">
        <v>17</v>
      </c>
      <c r="F2876" s="22">
        <v>866854050579971</v>
      </c>
      <c r="I2876" s="2" t="s">
        <v>46</v>
      </c>
      <c r="N2876" s="2" t="s">
        <v>3971</v>
      </c>
      <c r="O2876" s="18">
        <v>44705</v>
      </c>
    </row>
    <row r="2877" spans="1:15">
      <c r="A2877" s="1">
        <v>18</v>
      </c>
      <c r="F2877" s="22">
        <v>866854050647992</v>
      </c>
      <c r="I2877" s="2" t="s">
        <v>46</v>
      </c>
      <c r="N2877" s="2" t="s">
        <v>3744</v>
      </c>
      <c r="O2877" s="18">
        <v>44704</v>
      </c>
    </row>
    <row r="2878" spans="1:15">
      <c r="A2878" s="1">
        <v>19</v>
      </c>
      <c r="F2878" s="22">
        <v>866854056435590</v>
      </c>
      <c r="I2878" s="2" t="s">
        <v>46</v>
      </c>
      <c r="N2878" s="2" t="s">
        <v>8486</v>
      </c>
      <c r="O2878" s="18">
        <v>44697</v>
      </c>
    </row>
    <row r="2879" spans="1:15">
      <c r="A2879" s="1">
        <v>20</v>
      </c>
      <c r="F2879" s="22">
        <v>866854050576928</v>
      </c>
      <c r="I2879" s="2" t="s">
        <v>46</v>
      </c>
      <c r="N2879" s="2" t="s">
        <v>8489</v>
      </c>
      <c r="O2879" s="18">
        <v>44699</v>
      </c>
    </row>
    <row r="2880" spans="1:15">
      <c r="A2880" s="8"/>
      <c r="B2880" s="58"/>
      <c r="C2880" s="159"/>
      <c r="D2880" s="8"/>
      <c r="E2880" s="8"/>
      <c r="F2880" s="9"/>
      <c r="G2880" s="8"/>
      <c r="H2880" s="8"/>
      <c r="I2880" s="8"/>
      <c r="J2880" s="58"/>
      <c r="K2880" s="8"/>
      <c r="L2880" s="58"/>
      <c r="M2880" s="8"/>
      <c r="N2880" s="8"/>
      <c r="O2880" s="58"/>
    </row>
    <row r="2881" spans="1:15">
      <c r="A2881" s="1">
        <v>1</v>
      </c>
      <c r="B2881" s="11">
        <v>44670</v>
      </c>
      <c r="E2881" s="1" t="s">
        <v>149</v>
      </c>
      <c r="F2881" s="22">
        <v>866854050172850</v>
      </c>
      <c r="H2881" s="1" t="s">
        <v>8492</v>
      </c>
      <c r="I2881" s="2" t="s">
        <v>46</v>
      </c>
      <c r="J2881" s="11">
        <v>44728</v>
      </c>
      <c r="K2881" s="4" t="s">
        <v>46</v>
      </c>
      <c r="N2881" s="2" t="s">
        <v>8493</v>
      </c>
      <c r="O2881" s="18">
        <v>44727</v>
      </c>
    </row>
    <row r="2882" spans="1:15">
      <c r="A2882" s="8"/>
      <c r="B2882" s="58"/>
      <c r="C2882" s="159"/>
      <c r="D2882" s="8"/>
      <c r="E2882" s="8"/>
      <c r="F2882" s="9"/>
      <c r="G2882" s="8"/>
      <c r="H2882" s="8"/>
      <c r="I2882" s="8"/>
      <c r="J2882" s="58"/>
      <c r="K2882" s="8"/>
      <c r="L2882" s="58"/>
      <c r="M2882" s="8"/>
      <c r="N2882" s="8"/>
      <c r="O2882" s="58"/>
    </row>
    <row r="2883" spans="1:15">
      <c r="A2883" s="1">
        <v>1</v>
      </c>
      <c r="B2883" s="11">
        <v>44663</v>
      </c>
      <c r="C2883" s="160">
        <v>598</v>
      </c>
      <c r="E2883" s="1" t="s">
        <v>8494</v>
      </c>
      <c r="F2883" s="22">
        <v>860260056751356</v>
      </c>
      <c r="I2883" s="2" t="s">
        <v>46</v>
      </c>
      <c r="N2883" s="2" t="s">
        <v>8495</v>
      </c>
      <c r="O2883" s="18">
        <v>44708</v>
      </c>
    </row>
    <row r="2884" spans="1:15">
      <c r="A2884" s="1">
        <v>2</v>
      </c>
      <c r="F2884" s="22">
        <v>860260056969099</v>
      </c>
      <c r="I2884" s="2" t="s">
        <v>46</v>
      </c>
      <c r="N2884" s="2" t="s">
        <v>8495</v>
      </c>
      <c r="O2884" s="18">
        <v>44708</v>
      </c>
    </row>
    <row r="2885" spans="1:15">
      <c r="A2885" s="1">
        <v>3</v>
      </c>
      <c r="F2885" s="22">
        <v>860260056969123</v>
      </c>
      <c r="I2885" s="2" t="s">
        <v>46</v>
      </c>
      <c r="M2885" s="2" t="s">
        <v>8496</v>
      </c>
      <c r="N2885" s="2" t="s">
        <v>8497</v>
      </c>
      <c r="O2885" s="18" t="s">
        <v>8498</v>
      </c>
    </row>
    <row r="2886" spans="1:15">
      <c r="A2886" s="1">
        <v>4</v>
      </c>
      <c r="F2886" s="22">
        <v>860260056740177</v>
      </c>
      <c r="I2886" s="2" t="s">
        <v>46</v>
      </c>
      <c r="N2886" s="2" t="s">
        <v>8495</v>
      </c>
      <c r="O2886" s="18">
        <v>44708</v>
      </c>
    </row>
    <row r="2887" spans="1:15">
      <c r="A2887" s="1">
        <v>5</v>
      </c>
      <c r="F2887" s="22">
        <v>860260056956898</v>
      </c>
      <c r="I2887" s="2" t="s">
        <v>44</v>
      </c>
    </row>
    <row r="2888" spans="1:15">
      <c r="A2888" s="1">
        <v>6</v>
      </c>
      <c r="F2888" s="22">
        <v>860260056719668</v>
      </c>
      <c r="I2888" s="2" t="s">
        <v>46</v>
      </c>
      <c r="M2888" s="2" t="s">
        <v>8499</v>
      </c>
      <c r="N2888" s="2" t="s">
        <v>8497</v>
      </c>
      <c r="O2888" s="18" t="s">
        <v>8498</v>
      </c>
    </row>
    <row r="2889" spans="1:15">
      <c r="A2889" s="1">
        <v>7</v>
      </c>
      <c r="F2889" s="22">
        <v>860260056802324</v>
      </c>
      <c r="I2889" s="2" t="s">
        <v>44</v>
      </c>
    </row>
    <row r="2890" spans="1:15">
      <c r="A2890" s="1">
        <v>8</v>
      </c>
      <c r="F2890" s="22">
        <v>860260057019092</v>
      </c>
      <c r="I2890" s="2" t="s">
        <v>44</v>
      </c>
    </row>
    <row r="2891" spans="1:15">
      <c r="A2891" s="1">
        <v>9</v>
      </c>
      <c r="F2891" s="22">
        <v>860260056727661</v>
      </c>
      <c r="I2891" s="2" t="s">
        <v>44</v>
      </c>
    </row>
    <row r="2892" spans="1:15">
      <c r="A2892" s="1">
        <v>10</v>
      </c>
      <c r="F2892" s="22">
        <v>860260056705576</v>
      </c>
      <c r="I2892" s="2" t="s">
        <v>44</v>
      </c>
    </row>
    <row r="2893" spans="1:15">
      <c r="A2893" s="1">
        <v>11</v>
      </c>
      <c r="F2893" s="22">
        <v>860260056751257</v>
      </c>
      <c r="I2893" s="2" t="s">
        <v>46</v>
      </c>
      <c r="N2893" s="2" t="s">
        <v>8495</v>
      </c>
      <c r="O2893" s="18">
        <v>44708</v>
      </c>
    </row>
    <row r="2894" spans="1:15">
      <c r="A2894" s="1">
        <v>12</v>
      </c>
      <c r="F2894" s="22">
        <v>860260056740276</v>
      </c>
      <c r="I2894" s="2" t="s">
        <v>44</v>
      </c>
    </row>
    <row r="2895" spans="1:15">
      <c r="A2895" s="1">
        <v>13</v>
      </c>
      <c r="F2895" s="22">
        <v>860260056745739</v>
      </c>
      <c r="I2895" s="2" t="s">
        <v>44</v>
      </c>
    </row>
    <row r="2896" spans="1:15">
      <c r="A2896" s="1">
        <v>14</v>
      </c>
      <c r="F2896" s="22">
        <v>860260056669681</v>
      </c>
      <c r="I2896" s="2" t="s">
        <v>46</v>
      </c>
      <c r="N2896" s="2" t="s">
        <v>8495</v>
      </c>
      <c r="O2896" s="18">
        <v>44708</v>
      </c>
    </row>
    <row r="2897" spans="1:15">
      <c r="A2897" s="1">
        <v>15</v>
      </c>
      <c r="F2897" s="22">
        <v>860260056969214</v>
      </c>
      <c r="I2897" s="2" t="s">
        <v>44</v>
      </c>
    </row>
    <row r="2898" spans="1:15">
      <c r="A2898" s="1">
        <v>16</v>
      </c>
      <c r="F2898" s="22">
        <v>860260056459869</v>
      </c>
      <c r="I2898" s="2" t="s">
        <v>44</v>
      </c>
    </row>
    <row r="2899" spans="1:15">
      <c r="A2899" s="1">
        <v>17</v>
      </c>
      <c r="F2899" s="22">
        <v>860260056969115</v>
      </c>
      <c r="I2899" s="2" t="s">
        <v>44</v>
      </c>
    </row>
    <row r="2900" spans="1:15">
      <c r="A2900" s="1">
        <v>18</v>
      </c>
      <c r="F2900" s="22">
        <v>860260056706848</v>
      </c>
      <c r="I2900" s="2" t="s">
        <v>44</v>
      </c>
    </row>
    <row r="2901" spans="1:15">
      <c r="A2901" s="1">
        <v>19</v>
      </c>
      <c r="F2901" s="22">
        <v>860260056740128</v>
      </c>
      <c r="I2901" s="2" t="s">
        <v>44</v>
      </c>
    </row>
    <row r="2902" spans="1:15">
      <c r="A2902" s="1">
        <v>20</v>
      </c>
      <c r="F2902" s="22">
        <v>860260056740581</v>
      </c>
      <c r="I2902" s="2" t="s">
        <v>44</v>
      </c>
    </row>
    <row r="2903" spans="1:15">
      <c r="A2903" s="1">
        <v>21</v>
      </c>
      <c r="F2903" s="22">
        <v>860260056740078</v>
      </c>
      <c r="I2903" s="2" t="s">
        <v>44</v>
      </c>
    </row>
    <row r="2904" spans="1:15">
      <c r="A2904" s="1">
        <v>22</v>
      </c>
      <c r="F2904" s="22">
        <v>860260056706624</v>
      </c>
      <c r="I2904" s="2" t="s">
        <v>44</v>
      </c>
    </row>
    <row r="2905" spans="1:15">
      <c r="A2905" s="1">
        <v>23</v>
      </c>
      <c r="F2905" s="22">
        <v>860260056706913</v>
      </c>
      <c r="I2905" s="2" t="s">
        <v>44</v>
      </c>
    </row>
    <row r="2906" spans="1:15">
      <c r="A2906" s="1">
        <v>24</v>
      </c>
      <c r="F2906" s="22">
        <v>860260056740045</v>
      </c>
      <c r="I2906" s="2" t="s">
        <v>44</v>
      </c>
    </row>
    <row r="2907" spans="1:15">
      <c r="A2907" s="1">
        <v>25</v>
      </c>
      <c r="F2907" s="22">
        <v>860260056740227</v>
      </c>
      <c r="I2907" s="2" t="s">
        <v>44</v>
      </c>
    </row>
    <row r="2908" spans="1:15">
      <c r="A2908" s="8"/>
      <c r="B2908" s="58"/>
      <c r="C2908" s="159"/>
      <c r="D2908" s="8"/>
      <c r="E2908" s="8"/>
      <c r="F2908" s="9"/>
      <c r="G2908" s="8"/>
      <c r="H2908" s="8"/>
      <c r="I2908" s="8"/>
      <c r="J2908" s="58"/>
      <c r="K2908" s="8"/>
      <c r="L2908" s="58"/>
      <c r="M2908" s="8"/>
      <c r="N2908" s="8"/>
      <c r="O2908" s="58"/>
    </row>
    <row r="2909" spans="1:15">
      <c r="A2909" s="1">
        <v>1</v>
      </c>
      <c r="B2909" s="11">
        <v>44666</v>
      </c>
      <c r="C2909" s="160">
        <v>638</v>
      </c>
      <c r="E2909" s="1" t="s">
        <v>8500</v>
      </c>
      <c r="F2909" s="22">
        <v>869688052275684</v>
      </c>
      <c r="I2909" s="2" t="s">
        <v>44</v>
      </c>
    </row>
    <row r="2910" spans="1:15">
      <c r="A2910" s="1">
        <v>2</v>
      </c>
      <c r="F2910" s="22">
        <v>869688052132471</v>
      </c>
      <c r="I2910" s="2" t="s">
        <v>44</v>
      </c>
    </row>
    <row r="2911" spans="1:15">
      <c r="A2911" s="1">
        <v>3</v>
      </c>
      <c r="F2911" s="22">
        <v>860665055807159</v>
      </c>
      <c r="I2911" s="2" t="s">
        <v>46</v>
      </c>
      <c r="N2911" s="2" t="s">
        <v>3921</v>
      </c>
      <c r="O2911" s="18">
        <v>44700</v>
      </c>
    </row>
    <row r="2912" spans="1:15">
      <c r="A2912" s="1">
        <v>4</v>
      </c>
      <c r="F2912" s="22">
        <v>860260056949323</v>
      </c>
      <c r="I2912" s="2" t="s">
        <v>44</v>
      </c>
    </row>
    <row r="2913" spans="1:15">
      <c r="A2913" s="1">
        <v>5</v>
      </c>
      <c r="F2913" s="22">
        <v>860260057021718</v>
      </c>
      <c r="I2913" s="2" t="s">
        <v>46</v>
      </c>
      <c r="M2913" s="2" t="s">
        <v>8501</v>
      </c>
      <c r="N2913" s="2" t="s">
        <v>8502</v>
      </c>
      <c r="O2913" s="18">
        <v>44693</v>
      </c>
    </row>
    <row r="2914" spans="1:15">
      <c r="A2914" s="1">
        <v>6</v>
      </c>
      <c r="F2914" s="22">
        <v>860260056948143</v>
      </c>
      <c r="I2914" s="2" t="s">
        <v>44</v>
      </c>
    </row>
    <row r="2915" spans="1:15">
      <c r="A2915" s="1">
        <v>7</v>
      </c>
      <c r="F2915" s="22">
        <v>860260056971871</v>
      </c>
      <c r="I2915" s="2" t="s">
        <v>44</v>
      </c>
    </row>
    <row r="2916" spans="1:15">
      <c r="A2916" s="1">
        <v>8</v>
      </c>
      <c r="F2916" s="22">
        <v>860260057010653</v>
      </c>
      <c r="I2916" s="2" t="s">
        <v>46</v>
      </c>
      <c r="M2916" s="2" t="s">
        <v>8503</v>
      </c>
      <c r="N2916" s="2" t="s">
        <v>3082</v>
      </c>
      <c r="O2916" s="18">
        <v>44685</v>
      </c>
    </row>
    <row r="2917" spans="1:15">
      <c r="A2917" s="1">
        <v>9</v>
      </c>
      <c r="F2917" s="22">
        <v>860260057022468</v>
      </c>
      <c r="I2917" s="2" t="s">
        <v>46</v>
      </c>
      <c r="M2917" s="2" t="s">
        <v>8504</v>
      </c>
      <c r="N2917" s="2" t="s">
        <v>8502</v>
      </c>
      <c r="O2917" s="18">
        <v>44693</v>
      </c>
    </row>
    <row r="2918" spans="1:15">
      <c r="A2918" s="1">
        <v>10</v>
      </c>
      <c r="F2918" s="22">
        <v>860260056985269</v>
      </c>
      <c r="I2918" s="2" t="s">
        <v>44</v>
      </c>
    </row>
    <row r="2919" spans="1:15">
      <c r="A2919" s="8"/>
      <c r="B2919" s="58"/>
      <c r="C2919" s="159"/>
      <c r="D2919" s="8"/>
      <c r="E2919" s="8"/>
      <c r="F2919" s="9"/>
      <c r="G2919" s="8"/>
      <c r="H2919" s="8"/>
      <c r="I2919" s="8"/>
      <c r="J2919" s="58"/>
      <c r="K2919" s="8"/>
      <c r="L2919" s="58"/>
      <c r="M2919" s="8"/>
      <c r="N2919" s="8"/>
      <c r="O2919" s="58"/>
    </row>
    <row r="2920" spans="1:15">
      <c r="A2920" s="1">
        <v>1</v>
      </c>
      <c r="B2920" s="11">
        <v>44672</v>
      </c>
      <c r="C2920" s="160">
        <v>1762</v>
      </c>
      <c r="E2920" s="1" t="s">
        <v>149</v>
      </c>
      <c r="F2920" s="22">
        <v>866854054511509</v>
      </c>
      <c r="I2920" s="2" t="s">
        <v>46</v>
      </c>
      <c r="M2920" s="2" t="s">
        <v>230</v>
      </c>
      <c r="N2920" s="2" t="s">
        <v>8483</v>
      </c>
      <c r="O2920" s="18">
        <v>44673</v>
      </c>
    </row>
    <row r="2921" spans="1:15">
      <c r="A2921" s="1">
        <v>2</v>
      </c>
      <c r="F2921" s="22">
        <v>866854054508117</v>
      </c>
      <c r="I2921" s="2" t="s">
        <v>46</v>
      </c>
      <c r="N2921" s="2" t="s">
        <v>8505</v>
      </c>
      <c r="O2921" s="18">
        <v>44713</v>
      </c>
    </row>
    <row r="2922" spans="1:15">
      <c r="A2922" s="1">
        <v>3</v>
      </c>
      <c r="F2922" s="22">
        <v>866854054464048</v>
      </c>
      <c r="I2922" s="2" t="s">
        <v>46</v>
      </c>
      <c r="M2922" s="2" t="s">
        <v>230</v>
      </c>
      <c r="N2922" s="2" t="s">
        <v>8483</v>
      </c>
      <c r="O2922" s="18">
        <v>44673</v>
      </c>
    </row>
    <row r="2923" spans="1:15">
      <c r="A2923" s="1">
        <v>4</v>
      </c>
      <c r="F2923" s="22">
        <v>866854054508281</v>
      </c>
      <c r="I2923" s="2" t="s">
        <v>46</v>
      </c>
      <c r="M2923" s="2" t="s">
        <v>230</v>
      </c>
      <c r="N2923" s="2" t="s">
        <v>8483</v>
      </c>
      <c r="O2923" s="18">
        <v>44673</v>
      </c>
    </row>
    <row r="2924" spans="1:15">
      <c r="A2924" s="1">
        <v>5</v>
      </c>
      <c r="F2924" s="22">
        <v>866854054507895</v>
      </c>
      <c r="I2924" s="2" t="s">
        <v>46</v>
      </c>
      <c r="M2924" s="2" t="s">
        <v>230</v>
      </c>
      <c r="N2924" s="2" t="s">
        <v>8483</v>
      </c>
      <c r="O2924" s="18">
        <v>44673</v>
      </c>
    </row>
    <row r="2925" spans="1:15">
      <c r="A2925" s="1">
        <v>6</v>
      </c>
      <c r="F2925" s="22">
        <v>866854054331452</v>
      </c>
      <c r="I2925" s="2" t="s">
        <v>46</v>
      </c>
      <c r="N2925" s="2" t="s">
        <v>8506</v>
      </c>
      <c r="O2925" s="18">
        <v>44719</v>
      </c>
    </row>
    <row r="2926" spans="1:15">
      <c r="A2926" s="1">
        <v>7</v>
      </c>
      <c r="F2926" s="22">
        <v>866854054241818</v>
      </c>
      <c r="I2926" s="2" t="s">
        <v>46</v>
      </c>
      <c r="N2926" s="2" t="s">
        <v>8486</v>
      </c>
      <c r="O2926" s="18">
        <v>44708</v>
      </c>
    </row>
    <row r="2927" spans="1:15">
      <c r="A2927" s="1">
        <v>8</v>
      </c>
      <c r="F2927" s="22">
        <v>866854054321701</v>
      </c>
      <c r="I2927" s="2" t="s">
        <v>46</v>
      </c>
      <c r="M2927" s="2" t="s">
        <v>8486</v>
      </c>
      <c r="O2927" s="18">
        <v>44708</v>
      </c>
    </row>
    <row r="2928" spans="1:15">
      <c r="A2928" s="1">
        <v>9</v>
      </c>
      <c r="F2928" s="22">
        <v>866854054389468</v>
      </c>
      <c r="I2928" s="2" t="s">
        <v>44</v>
      </c>
    </row>
    <row r="2929" spans="1:15">
      <c r="A2929" s="1">
        <v>10</v>
      </c>
      <c r="F2929" s="22">
        <v>866854054424752</v>
      </c>
      <c r="I2929" s="2" t="s">
        <v>44</v>
      </c>
      <c r="M2929" s="2" t="s">
        <v>8507</v>
      </c>
      <c r="N2929" s="2" t="s">
        <v>4616</v>
      </c>
      <c r="O2929" s="18">
        <v>44693</v>
      </c>
    </row>
    <row r="2930" spans="1:15">
      <c r="A2930" s="8"/>
      <c r="B2930" s="58"/>
      <c r="C2930" s="159"/>
      <c r="D2930" s="8"/>
      <c r="E2930" s="8"/>
      <c r="F2930" s="9"/>
      <c r="G2930" s="8"/>
      <c r="H2930" s="8"/>
      <c r="I2930" s="8"/>
      <c r="J2930" s="58"/>
      <c r="K2930" s="8"/>
      <c r="L2930" s="58"/>
      <c r="M2930" s="8"/>
      <c r="N2930" s="8"/>
      <c r="O2930" s="58"/>
    </row>
    <row r="2931" spans="1:15">
      <c r="A2931" s="1">
        <v>1</v>
      </c>
      <c r="B2931" s="11">
        <v>44693</v>
      </c>
      <c r="C2931" s="160">
        <v>1947</v>
      </c>
      <c r="E2931" s="1" t="s">
        <v>8508</v>
      </c>
      <c r="F2931" s="22">
        <v>86685405585676</v>
      </c>
      <c r="I2931" s="2" t="s">
        <v>46</v>
      </c>
      <c r="N2931" s="2" t="s">
        <v>8509</v>
      </c>
      <c r="O2931" s="18">
        <v>44693</v>
      </c>
    </row>
    <row r="2932" spans="1:15">
      <c r="A2932" s="1">
        <v>2</v>
      </c>
      <c r="F2932" s="22">
        <v>866854055610961</v>
      </c>
      <c r="I2932" s="2" t="s">
        <v>46</v>
      </c>
      <c r="N2932" s="2" t="s">
        <v>8509</v>
      </c>
      <c r="O2932" s="18">
        <v>44693</v>
      </c>
    </row>
    <row r="2933" spans="1:15">
      <c r="A2933" s="1">
        <v>3</v>
      </c>
      <c r="F2933" s="22">
        <v>866854055582368</v>
      </c>
      <c r="I2933" s="2" t="s">
        <v>46</v>
      </c>
      <c r="N2933" s="2" t="s">
        <v>8509</v>
      </c>
    </row>
    <row r="2934" spans="1:15">
      <c r="A2934" s="1">
        <v>4</v>
      </c>
      <c r="F2934" s="22">
        <v>866854055611035</v>
      </c>
      <c r="I2934" s="2" t="s">
        <v>46</v>
      </c>
      <c r="N2934" s="2" t="s">
        <v>8509</v>
      </c>
      <c r="O2934" s="18">
        <v>44699</v>
      </c>
    </row>
    <row r="2935" spans="1:15">
      <c r="A2935" s="1">
        <v>5</v>
      </c>
      <c r="F2935" s="22">
        <v>866854055635877</v>
      </c>
      <c r="I2935" s="2" t="s">
        <v>46</v>
      </c>
      <c r="N2935" s="2" t="s">
        <v>8509</v>
      </c>
      <c r="O2935" s="18">
        <v>44699</v>
      </c>
    </row>
    <row r="2936" spans="1:15">
      <c r="A2936" s="8"/>
      <c r="B2936" s="58"/>
      <c r="C2936" s="159"/>
      <c r="D2936" s="8"/>
      <c r="E2936" s="8"/>
      <c r="F2936" s="9"/>
      <c r="G2936" s="8"/>
      <c r="H2936" s="8"/>
      <c r="I2936" s="8"/>
      <c r="J2936" s="58"/>
      <c r="K2936" s="8"/>
      <c r="L2936" s="58"/>
      <c r="M2936" s="8"/>
      <c r="N2936" s="8"/>
      <c r="O2936" s="58"/>
    </row>
    <row r="2937" spans="1:15">
      <c r="A2937" s="1">
        <v>1</v>
      </c>
      <c r="B2937" s="11">
        <v>44697</v>
      </c>
      <c r="C2937" s="160">
        <v>1987</v>
      </c>
      <c r="E2937" s="1" t="s">
        <v>275</v>
      </c>
      <c r="F2937" s="22">
        <v>35346507288917</v>
      </c>
      <c r="I2937" s="2" t="s">
        <v>46</v>
      </c>
      <c r="N2937" s="2" t="s">
        <v>160</v>
      </c>
      <c r="O2937" s="18">
        <v>44698</v>
      </c>
    </row>
    <row r="2938" spans="1:15">
      <c r="A2938" s="8"/>
      <c r="B2938" s="58"/>
      <c r="C2938" s="159"/>
      <c r="D2938" s="8"/>
      <c r="E2938" s="8"/>
      <c r="F2938" s="9"/>
      <c r="G2938" s="8"/>
      <c r="H2938" s="8"/>
      <c r="I2938" s="8"/>
      <c r="J2938" s="58"/>
      <c r="K2938" s="8"/>
      <c r="L2938" s="58"/>
      <c r="M2938" s="8"/>
      <c r="N2938" s="8"/>
      <c r="O2938" s="58"/>
    </row>
    <row r="2939" spans="1:15">
      <c r="A2939" s="1">
        <v>1</v>
      </c>
      <c r="B2939" s="11">
        <v>44698</v>
      </c>
      <c r="C2939" s="160">
        <v>2147</v>
      </c>
      <c r="E2939" s="1" t="s">
        <v>176</v>
      </c>
      <c r="F2939" s="22">
        <v>866854050642779</v>
      </c>
      <c r="I2939" s="2" t="s">
        <v>44</v>
      </c>
      <c r="M2939" s="2" t="s">
        <v>8510</v>
      </c>
      <c r="N2939" s="2" t="s">
        <v>8511</v>
      </c>
      <c r="O2939" s="18">
        <v>44720</v>
      </c>
    </row>
    <row r="2940" spans="1:15">
      <c r="A2940" s="1">
        <v>2</v>
      </c>
      <c r="F2940" s="22">
        <v>866854052908665</v>
      </c>
      <c r="I2940" s="2" t="s">
        <v>46</v>
      </c>
      <c r="N2940" s="2" t="s">
        <v>8512</v>
      </c>
      <c r="O2940" s="18">
        <v>44711</v>
      </c>
    </row>
    <row r="2941" spans="1:15">
      <c r="A2941" s="1">
        <v>3</v>
      </c>
      <c r="F2941" s="22">
        <v>866854052912352</v>
      </c>
      <c r="I2941" s="2" t="s">
        <v>46</v>
      </c>
      <c r="M2941" s="2" t="s">
        <v>8513</v>
      </c>
      <c r="N2941" s="2" t="s">
        <v>8514</v>
      </c>
      <c r="O2941" s="18">
        <v>44714</v>
      </c>
    </row>
    <row r="2942" spans="1:15">
      <c r="A2942" s="1">
        <v>4</v>
      </c>
      <c r="F2942" s="22">
        <v>866854051053794</v>
      </c>
      <c r="I2942" s="2" t="s">
        <v>46</v>
      </c>
      <c r="N2942" s="2" t="s">
        <v>8515</v>
      </c>
      <c r="O2942" s="18">
        <v>44718</v>
      </c>
    </row>
    <row r="2943" spans="1:15">
      <c r="A2943" s="1">
        <v>5</v>
      </c>
      <c r="F2943" s="22">
        <v>866854052902791</v>
      </c>
      <c r="I2943" s="2" t="s">
        <v>46</v>
      </c>
      <c r="M2943" s="2" t="s">
        <v>8516</v>
      </c>
      <c r="N2943" s="2" t="s">
        <v>8517</v>
      </c>
      <c r="O2943" s="18">
        <v>44714</v>
      </c>
    </row>
    <row r="2944" spans="1:15">
      <c r="A2944" s="1">
        <v>6</v>
      </c>
      <c r="F2944" s="22">
        <v>866854050642902</v>
      </c>
      <c r="I2944" s="2" t="s">
        <v>46</v>
      </c>
      <c r="N2944" s="2" t="s">
        <v>8518</v>
      </c>
      <c r="O2944" s="18">
        <v>44721</v>
      </c>
    </row>
    <row r="2945" spans="1:15">
      <c r="A2945" s="1">
        <v>7</v>
      </c>
      <c r="F2945" s="22">
        <v>866854052909267</v>
      </c>
      <c r="I2945" s="2" t="s">
        <v>44</v>
      </c>
      <c r="M2945" s="2" t="s">
        <v>8519</v>
      </c>
      <c r="N2945" s="2" t="s">
        <v>8520</v>
      </c>
      <c r="O2945" s="18">
        <v>44713</v>
      </c>
    </row>
    <row r="2946" spans="1:15">
      <c r="A2946" s="1">
        <v>8</v>
      </c>
      <c r="F2946" s="22">
        <v>866854052902213</v>
      </c>
      <c r="I2946" s="2" t="s">
        <v>44</v>
      </c>
      <c r="M2946" s="2" t="s">
        <v>8521</v>
      </c>
      <c r="N2946" s="2" t="s">
        <v>8522</v>
      </c>
      <c r="O2946" s="18">
        <v>44713</v>
      </c>
    </row>
    <row r="2947" spans="1:15">
      <c r="A2947" s="1">
        <v>9</v>
      </c>
      <c r="F2947" s="22">
        <v>866854052902619</v>
      </c>
      <c r="I2947" s="2" t="s">
        <v>46</v>
      </c>
      <c r="N2947" s="2" t="s">
        <v>8523</v>
      </c>
      <c r="O2947" s="18">
        <v>44712</v>
      </c>
    </row>
    <row r="2948" spans="1:15">
      <c r="A2948" s="1">
        <v>10</v>
      </c>
      <c r="F2948" s="22">
        <v>866854052899922</v>
      </c>
      <c r="I2948" s="2" t="s">
        <v>47</v>
      </c>
      <c r="N2948" s="2" t="s">
        <v>8524</v>
      </c>
    </row>
    <row r="2949" spans="1:15">
      <c r="A2949" s="1">
        <v>11</v>
      </c>
      <c r="F2949" s="22">
        <v>866854050677163</v>
      </c>
      <c r="I2949" s="2" t="s">
        <v>44</v>
      </c>
    </row>
    <row r="2950" spans="1:15">
      <c r="A2950" s="1">
        <v>12</v>
      </c>
      <c r="F2950" s="22">
        <v>866854052899732</v>
      </c>
      <c r="I2950" s="2" t="s">
        <v>46</v>
      </c>
      <c r="N2950" s="2" t="s">
        <v>2322</v>
      </c>
      <c r="O2950" s="18">
        <v>44715</v>
      </c>
    </row>
    <row r="2951" spans="1:15">
      <c r="A2951" s="1">
        <v>13</v>
      </c>
      <c r="F2951" s="22">
        <v>866854052898684</v>
      </c>
      <c r="I2951" s="2" t="s">
        <v>44</v>
      </c>
    </row>
    <row r="2952" spans="1:15">
      <c r="A2952" s="1">
        <v>14</v>
      </c>
      <c r="F2952" s="22">
        <v>866854051053661</v>
      </c>
      <c r="I2952" s="2" t="s">
        <v>46</v>
      </c>
      <c r="N2952" s="2" t="s">
        <v>8525</v>
      </c>
      <c r="O2952" s="18">
        <v>44722</v>
      </c>
    </row>
    <row r="2953" spans="1:15">
      <c r="A2953" s="1">
        <v>15</v>
      </c>
      <c r="F2953" s="22">
        <v>866854050531576</v>
      </c>
      <c r="I2953" s="2" t="s">
        <v>46</v>
      </c>
      <c r="N2953" s="2" t="s">
        <v>2322</v>
      </c>
      <c r="O2953" s="18">
        <v>44715</v>
      </c>
    </row>
    <row r="2954" spans="1:15">
      <c r="A2954" s="1">
        <v>16</v>
      </c>
      <c r="F2954" s="22">
        <v>866854052878330</v>
      </c>
      <c r="I2954" s="2" t="s">
        <v>46</v>
      </c>
      <c r="M2954" s="2" t="s">
        <v>8526</v>
      </c>
      <c r="N2954" s="2" t="s">
        <v>8527</v>
      </c>
      <c r="O2954" s="18">
        <v>44718</v>
      </c>
    </row>
    <row r="2955" spans="1:15">
      <c r="A2955" s="1">
        <v>17</v>
      </c>
      <c r="F2955" s="22">
        <v>866854052898643</v>
      </c>
      <c r="I2955" s="2" t="s">
        <v>46</v>
      </c>
      <c r="N2955" s="2" t="s">
        <v>3842</v>
      </c>
      <c r="O2955" s="18">
        <v>44708</v>
      </c>
    </row>
    <row r="2956" spans="1:15">
      <c r="A2956" s="1">
        <v>18</v>
      </c>
      <c r="F2956" s="22">
        <v>866854052908988</v>
      </c>
      <c r="I2956" s="2" t="s">
        <v>47</v>
      </c>
      <c r="N2956" s="2" t="s">
        <v>8528</v>
      </c>
      <c r="O2956" s="18">
        <v>44721</v>
      </c>
    </row>
    <row r="2957" spans="1:15">
      <c r="A2957" s="1">
        <v>19</v>
      </c>
      <c r="F2957" s="22">
        <v>866854051053703</v>
      </c>
      <c r="I2957" s="2" t="s">
        <v>44</v>
      </c>
      <c r="N2957" s="2" t="s">
        <v>8529</v>
      </c>
    </row>
    <row r="2958" spans="1:15">
      <c r="A2958" s="1">
        <v>20</v>
      </c>
      <c r="F2958" s="22">
        <v>866854052142349</v>
      </c>
      <c r="I2958" s="2" t="s">
        <v>44</v>
      </c>
    </row>
    <row r="2959" spans="1:15">
      <c r="A2959" s="8"/>
      <c r="B2959" s="58"/>
      <c r="C2959" s="159"/>
      <c r="D2959" s="8"/>
      <c r="E2959" s="8"/>
      <c r="F2959" s="9"/>
      <c r="G2959" s="8"/>
      <c r="H2959" s="8"/>
      <c r="I2959" s="8"/>
      <c r="J2959" s="58"/>
      <c r="K2959" s="8"/>
      <c r="L2959" s="58"/>
      <c r="M2959" s="8"/>
      <c r="N2959" s="8"/>
      <c r="O2959" s="58"/>
    </row>
    <row r="2960" spans="1:15">
      <c r="A2960" s="1">
        <v>1</v>
      </c>
      <c r="B2960" s="11">
        <v>44707</v>
      </c>
      <c r="C2960" s="160">
        <v>2278</v>
      </c>
      <c r="E2960" s="1" t="s">
        <v>275</v>
      </c>
      <c r="F2960" s="22">
        <v>353465072465808</v>
      </c>
      <c r="I2960" s="2" t="s">
        <v>44</v>
      </c>
    </row>
    <row r="2961" spans="1:15">
      <c r="A2961" s="8"/>
      <c r="B2961" s="58"/>
      <c r="C2961" s="159"/>
      <c r="D2961" s="8"/>
      <c r="E2961" s="8"/>
      <c r="F2961" s="9"/>
      <c r="G2961" s="8"/>
      <c r="H2961" s="8"/>
      <c r="I2961" s="8"/>
      <c r="J2961" s="58"/>
      <c r="K2961" s="8"/>
      <c r="L2961" s="58"/>
      <c r="M2961" s="8"/>
      <c r="N2961" s="8"/>
      <c r="O2961" s="58"/>
    </row>
    <row r="2962" spans="1:15">
      <c r="A2962" s="1">
        <v>1</v>
      </c>
      <c r="B2962" s="11">
        <v>44707</v>
      </c>
      <c r="C2962" s="160">
        <v>2279</v>
      </c>
      <c r="E2962" s="1" t="s">
        <v>275</v>
      </c>
      <c r="F2962" s="22">
        <v>353465072479429</v>
      </c>
      <c r="I2962" s="2" t="s">
        <v>44</v>
      </c>
    </row>
    <row r="2963" spans="1:15">
      <c r="A2963" s="8"/>
      <c r="B2963" s="58"/>
      <c r="C2963" s="159"/>
      <c r="D2963" s="8"/>
      <c r="E2963" s="8"/>
      <c r="F2963" s="9"/>
      <c r="G2963" s="8"/>
      <c r="H2963" s="8"/>
      <c r="I2963" s="8"/>
      <c r="J2963" s="58"/>
      <c r="K2963" s="8"/>
      <c r="L2963" s="58"/>
      <c r="M2963" s="8"/>
      <c r="N2963" s="8"/>
      <c r="O2963" s="58"/>
    </row>
    <row r="2964" spans="1:15">
      <c r="A2964" s="1">
        <v>1</v>
      </c>
      <c r="B2964" s="11">
        <v>44713</v>
      </c>
      <c r="C2964" s="160">
        <v>900</v>
      </c>
      <c r="E2964" s="1" t="s">
        <v>317</v>
      </c>
      <c r="F2964" s="22">
        <v>860260051391620</v>
      </c>
      <c r="I2964" s="2" t="s">
        <v>44</v>
      </c>
    </row>
    <row r="2965" spans="1:15">
      <c r="A2965" s="1">
        <v>2</v>
      </c>
      <c r="F2965" s="22">
        <v>860260051433968</v>
      </c>
      <c r="I2965" s="2" t="s">
        <v>44</v>
      </c>
    </row>
    <row r="2966" spans="1:15">
      <c r="A2966" s="1">
        <v>3</v>
      </c>
      <c r="F2966" s="22">
        <v>860260051417292</v>
      </c>
      <c r="I2966" s="2" t="s">
        <v>44</v>
      </c>
    </row>
    <row r="2967" spans="1:15">
      <c r="A2967" s="1">
        <v>4</v>
      </c>
      <c r="F2967" s="22">
        <v>860260051414786</v>
      </c>
      <c r="I2967" s="2" t="s">
        <v>44</v>
      </c>
    </row>
    <row r="2968" spans="1:15">
      <c r="A2968" s="1">
        <v>5</v>
      </c>
      <c r="F2968" s="22">
        <v>860260051383850</v>
      </c>
      <c r="I2968" s="2" t="s">
        <v>44</v>
      </c>
    </row>
    <row r="2969" spans="1:15">
      <c r="A2969" s="1">
        <v>6</v>
      </c>
      <c r="F2969" s="22">
        <v>860260051408655</v>
      </c>
      <c r="I2969" s="2" t="s">
        <v>44</v>
      </c>
    </row>
    <row r="2970" spans="1:15">
      <c r="A2970" s="1">
        <v>7</v>
      </c>
      <c r="F2970" s="22">
        <v>860260051434339</v>
      </c>
      <c r="I2970" s="2" t="s">
        <v>44</v>
      </c>
    </row>
    <row r="2971" spans="1:15">
      <c r="A2971" s="1">
        <v>8</v>
      </c>
      <c r="F2971" s="22">
        <v>860260051418027</v>
      </c>
      <c r="I2971" s="2" t="s">
        <v>44</v>
      </c>
    </row>
    <row r="2972" spans="1:15">
      <c r="A2972" s="1">
        <v>9</v>
      </c>
      <c r="F2972" s="22">
        <v>860260051380896</v>
      </c>
      <c r="I2972" s="2" t="s">
        <v>44</v>
      </c>
    </row>
    <row r="2973" spans="1:15">
      <c r="A2973" s="1">
        <v>10</v>
      </c>
      <c r="F2973" s="22">
        <v>860260051386307</v>
      </c>
      <c r="I2973" s="2" t="s">
        <v>44</v>
      </c>
    </row>
    <row r="2974" spans="1:15">
      <c r="A2974" s="1">
        <v>11</v>
      </c>
      <c r="E2974" s="1" t="s">
        <v>313</v>
      </c>
      <c r="F2974" s="22">
        <v>860260057095944</v>
      </c>
      <c r="I2974" s="2" t="s">
        <v>44</v>
      </c>
    </row>
    <row r="2975" spans="1:15">
      <c r="A2975" s="1">
        <v>12</v>
      </c>
      <c r="F2975" s="22">
        <v>860260057084310</v>
      </c>
      <c r="I2975" s="2" t="s">
        <v>44</v>
      </c>
    </row>
    <row r="2976" spans="1:15">
      <c r="A2976" s="1">
        <v>13</v>
      </c>
      <c r="F2976" s="22">
        <v>860260057079138</v>
      </c>
      <c r="I2976" s="2" t="s">
        <v>44</v>
      </c>
    </row>
    <row r="2977" spans="1:15">
      <c r="A2977" s="1">
        <v>14</v>
      </c>
      <c r="F2977" s="22">
        <v>860260057079229</v>
      </c>
      <c r="I2977" s="2" t="s">
        <v>44</v>
      </c>
    </row>
    <row r="2978" spans="1:15">
      <c r="A2978" s="1">
        <v>15</v>
      </c>
      <c r="F2978" s="22">
        <v>860260057069378</v>
      </c>
      <c r="I2978" s="2" t="s">
        <v>44</v>
      </c>
    </row>
    <row r="2979" spans="1:15">
      <c r="A2979" s="1">
        <v>16</v>
      </c>
      <c r="F2979" s="22">
        <v>860260056510901</v>
      </c>
      <c r="I2979" s="2" t="s">
        <v>44</v>
      </c>
    </row>
    <row r="2980" spans="1:15">
      <c r="A2980" s="1">
        <v>17</v>
      </c>
      <c r="F2980" s="22">
        <v>860260056891152</v>
      </c>
      <c r="I2980" s="2" t="s">
        <v>44</v>
      </c>
    </row>
    <row r="2981" spans="1:15">
      <c r="A2981" s="1">
        <v>18</v>
      </c>
      <c r="F2981" s="22">
        <v>860260057073420</v>
      </c>
      <c r="I2981" s="2" t="s">
        <v>44</v>
      </c>
    </row>
    <row r="2982" spans="1:15">
      <c r="A2982" s="1">
        <v>19</v>
      </c>
      <c r="F2982" s="22">
        <v>860260056461105</v>
      </c>
      <c r="I2982" s="2" t="s">
        <v>44</v>
      </c>
    </row>
    <row r="2983" spans="1:15">
      <c r="A2983" s="1">
        <v>20</v>
      </c>
      <c r="F2983" s="22">
        <v>860260057070780</v>
      </c>
      <c r="I2983" s="2" t="s">
        <v>44</v>
      </c>
    </row>
    <row r="2984" spans="1:15">
      <c r="A2984" s="8"/>
      <c r="B2984" s="58"/>
      <c r="C2984" s="159"/>
      <c r="D2984" s="8"/>
      <c r="E2984" s="8"/>
      <c r="F2984" s="9"/>
      <c r="G2984" s="8"/>
      <c r="H2984" s="8"/>
      <c r="I2984" s="8"/>
      <c r="J2984" s="58"/>
      <c r="K2984" s="8"/>
      <c r="L2984" s="58"/>
      <c r="M2984" s="8"/>
      <c r="N2984" s="8"/>
      <c r="O2984" s="58"/>
    </row>
    <row r="2985" spans="1:15">
      <c r="A2985" s="1">
        <v>1</v>
      </c>
      <c r="B2985" s="11">
        <v>44721</v>
      </c>
      <c r="C2985" s="160">
        <v>2432</v>
      </c>
      <c r="E2985" s="1" t="s">
        <v>176</v>
      </c>
      <c r="F2985" s="22">
        <v>866854050905135</v>
      </c>
      <c r="H2985" s="1" t="s">
        <v>8530</v>
      </c>
      <c r="I2985" s="2" t="s">
        <v>46</v>
      </c>
      <c r="N2985" s="2" t="s">
        <v>8531</v>
      </c>
      <c r="O2985" s="18">
        <v>44726</v>
      </c>
    </row>
    <row r="2986" spans="1:15">
      <c r="A2986" s="1">
        <v>2</v>
      </c>
      <c r="F2986" s="22">
        <v>866854052180588</v>
      </c>
      <c r="I2986" s="2" t="s">
        <v>44</v>
      </c>
    </row>
    <row r="2987" spans="1:15">
      <c r="A2987" s="1">
        <v>3</v>
      </c>
      <c r="F2987" s="22">
        <v>866854050907859</v>
      </c>
      <c r="I2987" s="2" t="s">
        <v>44</v>
      </c>
    </row>
    <row r="2988" spans="1:15">
      <c r="A2988" s="1">
        <v>4</v>
      </c>
      <c r="F2988" s="22">
        <v>866854050927618</v>
      </c>
      <c r="I2988" s="2" t="s">
        <v>44</v>
      </c>
    </row>
    <row r="2989" spans="1:15">
      <c r="A2989" s="1">
        <v>5</v>
      </c>
      <c r="F2989" s="22">
        <v>866854051078262</v>
      </c>
      <c r="H2989" s="1" t="s">
        <v>8447</v>
      </c>
      <c r="I2989" s="2" t="s">
        <v>46</v>
      </c>
      <c r="J2989" s="11">
        <v>44735</v>
      </c>
      <c r="K2989" s="4" t="s">
        <v>44</v>
      </c>
    </row>
    <row r="2990" spans="1:15">
      <c r="A2990" s="1">
        <v>6</v>
      </c>
      <c r="F2990" s="22">
        <v>866854050599607</v>
      </c>
      <c r="I2990" s="2" t="s">
        <v>44</v>
      </c>
    </row>
    <row r="2991" spans="1:15">
      <c r="A2991" s="1">
        <v>7</v>
      </c>
      <c r="F2991" s="22">
        <v>866854050921967</v>
      </c>
      <c r="H2991" s="1" t="s">
        <v>8447</v>
      </c>
      <c r="I2991" s="2" t="s">
        <v>46</v>
      </c>
      <c r="J2991" s="11">
        <v>44735</v>
      </c>
      <c r="K2991" s="4" t="s">
        <v>44</v>
      </c>
    </row>
    <row r="2992" spans="1:15">
      <c r="A2992" s="1">
        <v>8</v>
      </c>
      <c r="F2992" s="22">
        <v>866854050601247</v>
      </c>
      <c r="H2992" s="1" t="s">
        <v>8739</v>
      </c>
      <c r="I2992" s="2" t="s">
        <v>46</v>
      </c>
      <c r="J2992" s="11">
        <v>44729</v>
      </c>
      <c r="K2992" s="4" t="s">
        <v>44</v>
      </c>
    </row>
    <row r="2993" spans="1:15">
      <c r="A2993" s="1">
        <v>9</v>
      </c>
      <c r="F2993" s="22">
        <v>866854056446878</v>
      </c>
      <c r="H2993" s="1" t="s">
        <v>8532</v>
      </c>
      <c r="I2993" s="2" t="s">
        <v>46</v>
      </c>
      <c r="N2993" s="2" t="s">
        <v>8533</v>
      </c>
      <c r="O2993" s="18">
        <v>44727</v>
      </c>
    </row>
    <row r="2994" spans="1:15">
      <c r="A2994" s="1">
        <v>10</v>
      </c>
      <c r="F2994" s="22">
        <v>866854051076522</v>
      </c>
      <c r="I2994" s="2" t="s">
        <v>44</v>
      </c>
    </row>
    <row r="2995" spans="1:15">
      <c r="A2995" s="1">
        <v>11</v>
      </c>
      <c r="F2995" s="22">
        <v>866854050582512</v>
      </c>
      <c r="I2995" s="2" t="s">
        <v>44</v>
      </c>
    </row>
    <row r="2996" spans="1:15">
      <c r="A2996" s="1">
        <v>12</v>
      </c>
      <c r="F2996" s="22">
        <v>866854052193995</v>
      </c>
      <c r="I2996" s="2" t="s">
        <v>44</v>
      </c>
    </row>
    <row r="2997" spans="1:15">
      <c r="A2997" s="1">
        <v>13</v>
      </c>
      <c r="F2997" s="22">
        <v>866854051083353</v>
      </c>
      <c r="I2997" s="2" t="s">
        <v>44</v>
      </c>
    </row>
    <row r="2998" spans="1:15">
      <c r="A2998" s="1">
        <v>14</v>
      </c>
      <c r="F2998" s="22">
        <v>866854050907958</v>
      </c>
      <c r="H2998" s="1" t="s">
        <v>8740</v>
      </c>
      <c r="I2998" s="2" t="s">
        <v>46</v>
      </c>
      <c r="J2998" s="11">
        <v>44735</v>
      </c>
      <c r="K2998" s="4" t="s">
        <v>44</v>
      </c>
    </row>
    <row r="2999" spans="1:15">
      <c r="A2999" s="1">
        <v>15</v>
      </c>
      <c r="F2999" s="22">
        <v>866854051042201</v>
      </c>
      <c r="I2999" s="2" t="s">
        <v>44</v>
      </c>
    </row>
    <row r="3000" spans="1:15">
      <c r="A3000" s="1">
        <v>16</v>
      </c>
      <c r="F3000" s="22">
        <v>866854051083403</v>
      </c>
      <c r="I3000" s="2" t="s">
        <v>44</v>
      </c>
    </row>
    <row r="3001" spans="1:15">
      <c r="A3001" s="1">
        <v>17</v>
      </c>
      <c r="F3001" s="22">
        <v>866854050613580</v>
      </c>
      <c r="I3001" s="2" t="s">
        <v>44</v>
      </c>
    </row>
    <row r="3002" spans="1:15">
      <c r="A3002" s="1">
        <v>18</v>
      </c>
      <c r="F3002" s="22">
        <v>866854050677452</v>
      </c>
      <c r="I3002" s="2" t="s">
        <v>44</v>
      </c>
    </row>
    <row r="3003" spans="1:15">
      <c r="A3003" s="1">
        <v>19</v>
      </c>
      <c r="F3003" s="22">
        <v>866854050615189</v>
      </c>
      <c r="I3003" s="2" t="s">
        <v>44</v>
      </c>
    </row>
    <row r="3004" spans="1:15">
      <c r="A3004" s="1">
        <v>20</v>
      </c>
      <c r="F3004" s="22">
        <v>866854050583163</v>
      </c>
      <c r="I3004" s="2" t="s">
        <v>44</v>
      </c>
    </row>
    <row r="3005" spans="1:15">
      <c r="A3005" s="1">
        <v>21</v>
      </c>
      <c r="F3005" s="22">
        <v>866854056501672</v>
      </c>
      <c r="I3005" s="2" t="s">
        <v>44</v>
      </c>
      <c r="J3005" s="11">
        <v>44635</v>
      </c>
    </row>
    <row r="3006" spans="1:15">
      <c r="A3006" s="1">
        <v>22</v>
      </c>
      <c r="F3006" s="22">
        <v>866854056327367</v>
      </c>
      <c r="I3006" s="2" t="s">
        <v>44</v>
      </c>
      <c r="J3006" s="11">
        <v>44635</v>
      </c>
    </row>
    <row r="3007" spans="1:15">
      <c r="A3007" s="1">
        <v>23</v>
      </c>
      <c r="F3007" s="22">
        <v>866854055296308</v>
      </c>
      <c r="I3007" s="2" t="s">
        <v>44</v>
      </c>
      <c r="J3007" s="11">
        <v>44635</v>
      </c>
    </row>
    <row r="3008" spans="1:15">
      <c r="A3008" s="1">
        <v>24</v>
      </c>
      <c r="F3008" s="22">
        <v>241200005031</v>
      </c>
      <c r="I3008" s="2" t="s">
        <v>44</v>
      </c>
      <c r="J3008" s="11">
        <v>44635</v>
      </c>
    </row>
    <row r="3009" spans="1:10">
      <c r="A3009" s="1">
        <v>25</v>
      </c>
      <c r="F3009" s="22">
        <v>866854055313996</v>
      </c>
      <c r="I3009" s="2" t="s">
        <v>44</v>
      </c>
      <c r="J3009" s="11">
        <v>44635</v>
      </c>
    </row>
    <row r="3010" spans="1:10">
      <c r="A3010" s="1">
        <v>26</v>
      </c>
      <c r="F3010" s="22">
        <v>866854056225645</v>
      </c>
      <c r="I3010" s="2" t="s">
        <v>44</v>
      </c>
      <c r="J3010" s="11">
        <v>44635</v>
      </c>
    </row>
    <row r="3011" spans="1:10">
      <c r="A3011" s="1">
        <v>27</v>
      </c>
      <c r="F3011" s="22">
        <v>866854056385753</v>
      </c>
      <c r="I3011" s="2" t="s">
        <v>44</v>
      </c>
      <c r="J3011" s="11">
        <v>44635</v>
      </c>
    </row>
    <row r="3012" spans="1:10">
      <c r="A3012" s="1">
        <v>28</v>
      </c>
      <c r="F3012" s="22">
        <v>866854056421327</v>
      </c>
      <c r="I3012" s="2" t="s">
        <v>44</v>
      </c>
      <c r="J3012" s="11">
        <v>44635</v>
      </c>
    </row>
    <row r="3013" spans="1:10">
      <c r="A3013" s="1">
        <v>29</v>
      </c>
      <c r="F3013" s="22">
        <v>866854056402194</v>
      </c>
      <c r="I3013" s="2" t="s">
        <v>44</v>
      </c>
      <c r="J3013" s="11">
        <v>44635</v>
      </c>
    </row>
    <row r="3014" spans="1:10">
      <c r="A3014" s="1">
        <v>30</v>
      </c>
      <c r="F3014" s="22">
        <v>866854056306320</v>
      </c>
      <c r="I3014" s="2" t="s">
        <v>44</v>
      </c>
      <c r="J3014" s="11">
        <v>44635</v>
      </c>
    </row>
    <row r="3015" spans="1:10">
      <c r="A3015" s="1">
        <v>31</v>
      </c>
    </row>
    <row r="3016" spans="1:10">
      <c r="A3016" s="1">
        <v>32</v>
      </c>
    </row>
    <row r="3017" spans="1:10">
      <c r="A3017" s="1">
        <v>33</v>
      </c>
      <c r="F3017" s="22">
        <v>866854056539391</v>
      </c>
      <c r="I3017" s="2" t="s">
        <v>44</v>
      </c>
      <c r="J3017" s="11">
        <v>44635</v>
      </c>
    </row>
    <row r="3018" spans="1:10">
      <c r="A3018" s="1">
        <v>34</v>
      </c>
      <c r="F3018" s="22">
        <v>866854056487237</v>
      </c>
      <c r="I3018" s="2" t="s">
        <v>44</v>
      </c>
      <c r="J3018" s="11">
        <v>44635</v>
      </c>
    </row>
    <row r="3019" spans="1:10">
      <c r="A3019" s="1">
        <v>35</v>
      </c>
      <c r="F3019" s="22">
        <v>866854056512356</v>
      </c>
      <c r="I3019" s="2" t="s">
        <v>44</v>
      </c>
      <c r="J3019" s="11">
        <v>44635</v>
      </c>
    </row>
    <row r="3020" spans="1:10">
      <c r="A3020" s="1">
        <v>36</v>
      </c>
      <c r="F3020" s="22">
        <v>866854056222386</v>
      </c>
      <c r="I3020" s="2" t="s">
        <v>44</v>
      </c>
      <c r="J3020" s="11">
        <v>44635</v>
      </c>
    </row>
    <row r="3021" spans="1:10">
      <c r="A3021" s="1">
        <v>37</v>
      </c>
      <c r="F3021" s="22">
        <v>866854056500666</v>
      </c>
      <c r="I3021" s="2" t="s">
        <v>44</v>
      </c>
      <c r="J3021" s="11">
        <v>44635</v>
      </c>
    </row>
    <row r="3022" spans="1:10">
      <c r="A3022" s="1">
        <v>38</v>
      </c>
      <c r="F3022" s="22">
        <v>241200006180</v>
      </c>
      <c r="I3022" s="2" t="s">
        <v>44</v>
      </c>
      <c r="J3022" s="11">
        <v>44635</v>
      </c>
    </row>
    <row r="3023" spans="1:10">
      <c r="A3023" s="1">
        <v>39</v>
      </c>
      <c r="F3023" s="22">
        <v>866854056321378</v>
      </c>
      <c r="I3023" s="2" t="s">
        <v>44</v>
      </c>
      <c r="J3023" s="11">
        <v>44635</v>
      </c>
    </row>
    <row r="3024" spans="1:10">
      <c r="A3024" s="1">
        <v>40</v>
      </c>
      <c r="F3024" s="22">
        <v>866854055294352</v>
      </c>
      <c r="I3024" s="2" t="s">
        <v>44</v>
      </c>
      <c r="J3024" s="11">
        <v>44635</v>
      </c>
    </row>
    <row r="3025" spans="1:19">
      <c r="A3025" s="1">
        <v>41</v>
      </c>
      <c r="F3025" s="22">
        <v>866854055277159</v>
      </c>
      <c r="I3025" s="2" t="s">
        <v>44</v>
      </c>
      <c r="J3025" s="11">
        <v>44635</v>
      </c>
    </row>
    <row r="3026" spans="1:19">
      <c r="A3026" s="1">
        <v>42</v>
      </c>
      <c r="F3026" s="22">
        <v>866854056295390</v>
      </c>
      <c r="I3026" s="2" t="s">
        <v>44</v>
      </c>
      <c r="J3026" s="11">
        <v>44635</v>
      </c>
    </row>
    <row r="3027" spans="1:19">
      <c r="A3027" s="8"/>
      <c r="B3027" s="58"/>
      <c r="C3027" s="159"/>
      <c r="D3027" s="8"/>
      <c r="E3027" s="8"/>
      <c r="F3027" s="9"/>
      <c r="G3027" s="8"/>
      <c r="H3027" s="8"/>
      <c r="I3027" s="8"/>
      <c r="J3027" s="58"/>
      <c r="K3027" s="8"/>
      <c r="L3027" s="58"/>
      <c r="M3027" s="8"/>
      <c r="N3027" s="8"/>
      <c r="O3027" s="58"/>
      <c r="P3027" s="8"/>
      <c r="Q3027" s="8"/>
      <c r="R3027" s="8"/>
      <c r="S3027" s="8"/>
    </row>
    <row r="3028" spans="1:19">
      <c r="A3028" s="1">
        <v>1</v>
      </c>
      <c r="B3028" s="11">
        <v>44635</v>
      </c>
      <c r="F3028" s="22">
        <v>353465072474032</v>
      </c>
      <c r="I3028" s="2" t="s">
        <v>44</v>
      </c>
      <c r="J3028" s="11">
        <v>44635</v>
      </c>
    </row>
    <row r="3029" spans="1:19">
      <c r="A3029" s="1">
        <v>2</v>
      </c>
      <c r="F3029" s="22">
        <v>353465072019134</v>
      </c>
      <c r="I3029" s="2" t="s">
        <v>44</v>
      </c>
      <c r="J3029" s="11">
        <v>44635</v>
      </c>
    </row>
  </sheetData>
  <dataValidations count="1">
    <dataValidation type="list" allowBlank="1" showErrorMessage="1" sqref="I2:I2858 I2964:I2983 I2860:I2879 I2881 I2883:I2907 I2909:I2918 I2920:I2929 I2931:I2935 I2937 I2939:I2958 I2960 I2962 I2985:I1048576">
      <formula1>Текущий_статус</formula1>
    </dataValidation>
  </dataValidations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5"/>
  <dimension ref="A1:Z1548"/>
  <sheetViews>
    <sheetView workbookViewId="0">
      <pane xSplit="3" ySplit="1" topLeftCell="D1526" activePane="bottomRight" state="frozen"/>
      <selection pane="topRight" activeCell="D1" sqref="D1"/>
      <selection pane="bottomLeft" activeCell="A2" sqref="A2"/>
      <selection pane="bottomRight" activeCell="H1536" sqref="H1536"/>
    </sheetView>
  </sheetViews>
  <sheetFormatPr defaultRowHeight="15" outlineLevelRow="1"/>
  <cols>
    <col min="1" max="1" width="9.140625" style="1"/>
    <col min="2" max="2" width="14.140625" style="11" customWidth="1"/>
    <col min="3" max="3" width="14.140625" style="160" customWidth="1"/>
    <col min="4" max="4" width="10" style="1" customWidth="1"/>
    <col min="5" max="5" width="23.140625" style="1" customWidth="1"/>
    <col min="6" max="6" width="14.140625" style="22" bestFit="1" customWidth="1"/>
    <col min="7" max="7" width="15.42578125" style="1" customWidth="1"/>
    <col min="8" max="8" width="14" style="1" customWidth="1"/>
    <col min="9" max="9" width="19.5703125" style="2" customWidth="1"/>
    <col min="10" max="10" width="14" style="61" customWidth="1"/>
    <col min="11" max="11" width="13.28515625" style="1" customWidth="1"/>
    <col min="12" max="12" width="16.42578125" style="11" customWidth="1"/>
    <col min="13" max="13" width="13.85546875" style="2" customWidth="1"/>
    <col min="14" max="14" width="39" style="54" customWidth="1"/>
    <col min="15" max="15" width="17.5703125" style="18" customWidth="1"/>
    <col min="16" max="16" width="32.140625" style="1" customWidth="1"/>
    <col min="17" max="17" width="12.28515625" style="1" customWidth="1"/>
  </cols>
  <sheetData>
    <row r="1" spans="1:17" s="55" customFormat="1" ht="38.25">
      <c r="A1" s="38" t="s">
        <v>1</v>
      </c>
      <c r="B1" s="42" t="s">
        <v>469</v>
      </c>
      <c r="C1" s="154" t="s">
        <v>488</v>
      </c>
      <c r="D1" s="38" t="s">
        <v>3</v>
      </c>
      <c r="E1" s="38" t="s">
        <v>4</v>
      </c>
      <c r="F1" s="48" t="s">
        <v>5</v>
      </c>
      <c r="G1" s="38" t="s">
        <v>476</v>
      </c>
      <c r="H1" s="38" t="s">
        <v>320</v>
      </c>
      <c r="I1" s="43" t="s">
        <v>6</v>
      </c>
      <c r="J1" s="59" t="s">
        <v>7</v>
      </c>
      <c r="K1" s="39" t="s">
        <v>478</v>
      </c>
      <c r="L1" s="42" t="s">
        <v>477</v>
      </c>
      <c r="M1" s="43" t="s">
        <v>9</v>
      </c>
      <c r="N1" s="51" t="s">
        <v>8</v>
      </c>
      <c r="O1" s="45" t="s">
        <v>10</v>
      </c>
      <c r="P1" s="38" t="s">
        <v>11</v>
      </c>
      <c r="Q1" s="38" t="s">
        <v>12</v>
      </c>
    </row>
    <row r="2" spans="1:17">
      <c r="A2" s="8">
        <v>2018</v>
      </c>
      <c r="B2" s="120"/>
      <c r="C2" s="161"/>
      <c r="D2" s="121"/>
      <c r="E2" s="121"/>
      <c r="F2" s="122"/>
      <c r="G2" s="121"/>
      <c r="H2" s="121"/>
      <c r="I2" s="121"/>
      <c r="J2" s="123"/>
      <c r="K2" s="8"/>
      <c r="L2" s="58"/>
      <c r="M2" s="25"/>
      <c r="N2" s="53"/>
      <c r="O2" s="242"/>
      <c r="P2" s="121"/>
      <c r="Q2" s="119"/>
    </row>
    <row r="3" spans="1:17" ht="24" hidden="1" outlineLevel="1">
      <c r="A3" s="8">
        <v>1</v>
      </c>
      <c r="B3" s="70">
        <v>43458</v>
      </c>
      <c r="C3" s="162">
        <v>1058</v>
      </c>
      <c r="D3" s="20"/>
      <c r="E3" s="20" t="s">
        <v>3243</v>
      </c>
      <c r="F3" s="49">
        <v>18120592</v>
      </c>
      <c r="G3" s="20"/>
      <c r="H3" s="20"/>
      <c r="I3" s="50"/>
      <c r="J3" s="60"/>
      <c r="M3" s="21" t="s">
        <v>3301</v>
      </c>
      <c r="N3" s="52" t="s">
        <v>3623</v>
      </c>
      <c r="O3" s="243">
        <v>44189</v>
      </c>
      <c r="P3" s="20"/>
      <c r="Q3" s="19"/>
    </row>
    <row r="4" spans="1:17" hidden="1" outlineLevel="1">
      <c r="A4" s="8">
        <v>2</v>
      </c>
      <c r="B4" s="70"/>
      <c r="C4" s="162"/>
      <c r="D4" s="20"/>
      <c r="E4" s="20"/>
      <c r="F4" s="49">
        <v>18120593</v>
      </c>
      <c r="G4" s="20"/>
      <c r="H4" s="20"/>
      <c r="I4" s="50"/>
      <c r="J4" s="60"/>
      <c r="M4" s="21" t="s">
        <v>3302</v>
      </c>
      <c r="N4" s="52" t="s">
        <v>3624</v>
      </c>
      <c r="O4" s="243">
        <v>43459</v>
      </c>
      <c r="P4" s="20"/>
      <c r="Q4" s="19"/>
    </row>
    <row r="5" spans="1:17" hidden="1" outlineLevel="1">
      <c r="A5" s="8">
        <v>3</v>
      </c>
      <c r="B5" s="70"/>
      <c r="C5" s="162"/>
      <c r="D5" s="20"/>
      <c r="E5" s="20"/>
      <c r="F5" s="49">
        <v>18120594</v>
      </c>
      <c r="G5" s="20"/>
      <c r="H5" s="20"/>
      <c r="I5" s="50"/>
      <c r="J5" s="60"/>
      <c r="M5" s="21"/>
      <c r="N5" s="52" t="s">
        <v>3625</v>
      </c>
      <c r="O5" s="243">
        <v>43494</v>
      </c>
      <c r="P5" s="20"/>
      <c r="Q5" s="19"/>
    </row>
    <row r="6" spans="1:17" hidden="1" outlineLevel="1">
      <c r="A6" s="8">
        <v>4</v>
      </c>
      <c r="B6" s="70"/>
      <c r="C6" s="162"/>
      <c r="D6" s="20"/>
      <c r="E6" s="20"/>
      <c r="F6" s="49">
        <v>18120595</v>
      </c>
      <c r="G6" s="20"/>
      <c r="H6" s="20"/>
      <c r="I6" s="50"/>
      <c r="J6" s="60"/>
      <c r="M6" s="21"/>
      <c r="N6" s="52" t="s">
        <v>3626</v>
      </c>
      <c r="O6" s="243">
        <v>43497</v>
      </c>
      <c r="P6" s="20"/>
      <c r="Q6" s="19"/>
    </row>
    <row r="7" spans="1:17" hidden="1" outlineLevel="1">
      <c r="A7" s="8">
        <v>5</v>
      </c>
      <c r="B7" s="70"/>
      <c r="C7" s="162"/>
      <c r="D7" s="20"/>
      <c r="E7" s="20"/>
      <c r="F7" s="49">
        <v>18120596</v>
      </c>
      <c r="G7" s="20"/>
      <c r="H7" s="20"/>
      <c r="I7" s="50"/>
      <c r="J7" s="60"/>
      <c r="M7" s="21"/>
      <c r="N7" s="52" t="s">
        <v>3627</v>
      </c>
      <c r="O7" s="243">
        <v>43483</v>
      </c>
      <c r="P7" s="20"/>
      <c r="Q7" s="19"/>
    </row>
    <row r="8" spans="1:17" hidden="1" outlineLevel="1">
      <c r="A8" s="8">
        <v>6</v>
      </c>
      <c r="B8" s="70"/>
      <c r="C8" s="162"/>
      <c r="D8" s="20"/>
      <c r="E8" s="20"/>
      <c r="F8" s="49">
        <v>18120597</v>
      </c>
      <c r="G8" s="20"/>
      <c r="H8" s="20"/>
      <c r="I8" s="50"/>
      <c r="J8" s="60"/>
      <c r="M8" s="21"/>
      <c r="N8" s="52" t="s">
        <v>3627</v>
      </c>
      <c r="O8" s="243">
        <v>43489</v>
      </c>
      <c r="P8" s="20"/>
      <c r="Q8" s="19"/>
    </row>
    <row r="9" spans="1:17" hidden="1" outlineLevel="1">
      <c r="A9" s="8">
        <v>7</v>
      </c>
      <c r="B9" s="70"/>
      <c r="C9" s="162"/>
      <c r="D9" s="20"/>
      <c r="E9" s="20"/>
      <c r="F9" s="49">
        <v>18120598</v>
      </c>
      <c r="G9" s="20"/>
      <c r="H9" s="20"/>
      <c r="I9" s="50"/>
      <c r="J9" s="60"/>
      <c r="M9" s="21"/>
      <c r="N9" s="52" t="s">
        <v>3627</v>
      </c>
      <c r="O9" s="243">
        <v>43481</v>
      </c>
      <c r="P9" s="20"/>
      <c r="Q9" s="19"/>
    </row>
    <row r="10" spans="1:17" hidden="1" outlineLevel="1">
      <c r="A10" s="8">
        <v>8</v>
      </c>
      <c r="B10" s="70"/>
      <c r="C10" s="162"/>
      <c r="D10" s="20"/>
      <c r="E10" s="20"/>
      <c r="F10" s="49">
        <v>18120599</v>
      </c>
      <c r="G10" s="20"/>
      <c r="H10" s="20"/>
      <c r="I10" s="50"/>
      <c r="J10" s="60"/>
      <c r="M10" s="21"/>
      <c r="N10" s="52" t="s">
        <v>3627</v>
      </c>
      <c r="O10" s="243">
        <v>43482</v>
      </c>
      <c r="P10" s="20"/>
      <c r="Q10" s="19"/>
    </row>
    <row r="11" spans="1:17" hidden="1" outlineLevel="1">
      <c r="A11" s="8">
        <v>9</v>
      </c>
      <c r="B11" s="70"/>
      <c r="C11" s="162"/>
      <c r="D11" s="20"/>
      <c r="E11" s="20"/>
      <c r="F11" s="49">
        <v>18120600</v>
      </c>
      <c r="G11" s="20"/>
      <c r="H11" s="20"/>
      <c r="I11" s="50"/>
      <c r="J11" s="60"/>
      <c r="M11" s="21"/>
      <c r="N11" s="52" t="s">
        <v>3628</v>
      </c>
      <c r="O11" s="243">
        <v>43482</v>
      </c>
      <c r="P11" s="20"/>
      <c r="Q11" s="19"/>
    </row>
    <row r="12" spans="1:17" hidden="1" outlineLevel="1">
      <c r="A12" s="8">
        <v>10</v>
      </c>
      <c r="B12" s="70"/>
      <c r="C12" s="162"/>
      <c r="D12" s="20"/>
      <c r="E12" s="20"/>
      <c r="F12" s="49">
        <v>18120601</v>
      </c>
      <c r="G12" s="20"/>
      <c r="H12" s="20"/>
      <c r="I12" s="50"/>
      <c r="J12" s="60"/>
      <c r="M12" s="21"/>
      <c r="N12" s="52" t="s">
        <v>3628</v>
      </c>
      <c r="O12" s="243">
        <v>43482</v>
      </c>
      <c r="P12" s="20"/>
      <c r="Q12" s="19"/>
    </row>
    <row r="13" spans="1:17" collapsed="1">
      <c r="A13" s="8">
        <v>2019</v>
      </c>
      <c r="B13" s="120"/>
      <c r="C13" s="161"/>
      <c r="D13" s="121"/>
      <c r="E13" s="121"/>
      <c r="F13" s="122"/>
      <c r="G13" s="121"/>
      <c r="H13" s="121"/>
      <c r="I13" s="121"/>
      <c r="J13" s="123"/>
      <c r="K13" s="8"/>
      <c r="L13" s="58"/>
      <c r="M13" s="25"/>
      <c r="N13" s="53"/>
      <c r="O13" s="242"/>
      <c r="P13" s="121"/>
      <c r="Q13" s="119"/>
    </row>
    <row r="14" spans="1:17" ht="24" hidden="1" outlineLevel="1">
      <c r="A14" s="19">
        <v>1</v>
      </c>
      <c r="B14" s="70">
        <v>43475</v>
      </c>
      <c r="C14" s="162">
        <v>1</v>
      </c>
      <c r="D14" s="20"/>
      <c r="E14" s="20" t="s">
        <v>3244</v>
      </c>
      <c r="F14" s="49">
        <v>18120531</v>
      </c>
      <c r="G14" s="20"/>
      <c r="H14" s="20"/>
      <c r="I14" s="50"/>
      <c r="J14" s="60"/>
      <c r="M14" s="21" t="s">
        <v>3303</v>
      </c>
      <c r="N14" s="52" t="s">
        <v>3629</v>
      </c>
      <c r="O14" s="243">
        <v>43493</v>
      </c>
      <c r="P14" s="20" t="s">
        <v>4001</v>
      </c>
      <c r="Q14" s="19"/>
    </row>
    <row r="15" spans="1:17" ht="24" hidden="1" outlineLevel="1">
      <c r="A15" s="19">
        <v>2</v>
      </c>
      <c r="B15" s="70"/>
      <c r="C15" s="162"/>
      <c r="D15" s="20"/>
      <c r="E15" s="20"/>
      <c r="F15" s="49">
        <v>18120532</v>
      </c>
      <c r="G15" s="20"/>
      <c r="H15" s="20"/>
      <c r="I15" s="50"/>
      <c r="J15" s="60"/>
      <c r="M15" s="21" t="s">
        <v>3304</v>
      </c>
      <c r="N15" s="52" t="s">
        <v>3629</v>
      </c>
      <c r="O15" s="243">
        <v>43493</v>
      </c>
      <c r="P15" s="20" t="s">
        <v>4002</v>
      </c>
      <c r="Q15" s="19"/>
    </row>
    <row r="16" spans="1:17" ht="24" hidden="1" outlineLevel="1">
      <c r="A16" s="19">
        <v>3</v>
      </c>
      <c r="B16" s="70"/>
      <c r="C16" s="162"/>
      <c r="D16" s="20"/>
      <c r="E16" s="20"/>
      <c r="F16" s="49">
        <v>18120533</v>
      </c>
      <c r="G16" s="20"/>
      <c r="H16" s="20"/>
      <c r="I16" s="50"/>
      <c r="J16" s="60"/>
      <c r="M16" s="21" t="s">
        <v>3305</v>
      </c>
      <c r="N16" s="52" t="s">
        <v>3630</v>
      </c>
      <c r="O16" s="243">
        <v>43506</v>
      </c>
      <c r="P16" s="20" t="s">
        <v>4003</v>
      </c>
      <c r="Q16" s="19"/>
    </row>
    <row r="17" spans="1:26" ht="24" hidden="1" outlineLevel="1">
      <c r="A17" s="19">
        <v>4</v>
      </c>
      <c r="B17" s="70"/>
      <c r="C17" s="162"/>
      <c r="D17" s="20"/>
      <c r="E17" s="20"/>
      <c r="F17" s="49">
        <v>18120534</v>
      </c>
      <c r="G17" s="20"/>
      <c r="H17" s="20"/>
      <c r="I17" s="50"/>
      <c r="J17" s="60"/>
      <c r="M17" s="21"/>
      <c r="N17" s="52"/>
      <c r="O17" s="243"/>
      <c r="P17" s="20" t="s">
        <v>4004</v>
      </c>
      <c r="Q17" s="19"/>
    </row>
    <row r="18" spans="1:26" hidden="1" outlineLevel="1">
      <c r="A18" s="124">
        <v>5</v>
      </c>
      <c r="B18" s="125"/>
      <c r="C18" s="163"/>
      <c r="D18" s="126"/>
      <c r="E18" s="126"/>
      <c r="F18" s="128">
        <v>18120535</v>
      </c>
      <c r="G18" s="126"/>
      <c r="H18" s="126"/>
      <c r="I18" s="129"/>
      <c r="J18" s="127"/>
      <c r="K18" s="4"/>
      <c r="L18" s="24"/>
      <c r="M18" s="130" t="s">
        <v>3306</v>
      </c>
      <c r="N18" s="131" t="s">
        <v>3628</v>
      </c>
      <c r="O18" s="244">
        <v>43492</v>
      </c>
      <c r="P18" s="126" t="s">
        <v>4005</v>
      </c>
      <c r="Q18" s="124"/>
      <c r="R18" s="68"/>
      <c r="S18" s="68"/>
      <c r="T18" s="68"/>
      <c r="U18" s="68"/>
      <c r="V18" s="68"/>
      <c r="W18" s="68"/>
      <c r="X18" s="68"/>
      <c r="Y18" s="68"/>
      <c r="Z18" s="68"/>
    </row>
    <row r="19" spans="1:26" hidden="1" outlineLevel="1">
      <c r="A19" s="19">
        <v>6</v>
      </c>
      <c r="B19" s="70"/>
      <c r="C19" s="162"/>
      <c r="D19" s="20"/>
      <c r="E19" s="20"/>
      <c r="F19" s="49">
        <v>18120536</v>
      </c>
      <c r="G19" s="20"/>
      <c r="H19" s="20"/>
      <c r="I19" s="50"/>
      <c r="J19" s="60"/>
      <c r="M19" s="21" t="s">
        <v>3306</v>
      </c>
      <c r="N19" s="52" t="s">
        <v>3628</v>
      </c>
      <c r="O19" s="243">
        <v>43492</v>
      </c>
      <c r="P19" s="20"/>
      <c r="Q19" s="19"/>
    </row>
    <row r="20" spans="1:26" hidden="1" outlineLevel="1">
      <c r="A20" s="19">
        <v>7</v>
      </c>
      <c r="B20" s="70"/>
      <c r="C20" s="162"/>
      <c r="D20" s="20"/>
      <c r="E20" s="20"/>
      <c r="F20" s="49">
        <v>18120537</v>
      </c>
      <c r="G20" s="20"/>
      <c r="H20" s="20"/>
      <c r="I20" s="50"/>
      <c r="J20" s="60"/>
      <c r="M20" s="21"/>
      <c r="N20" s="52" t="s">
        <v>3631</v>
      </c>
      <c r="O20" s="243">
        <v>43494</v>
      </c>
      <c r="P20" s="20"/>
      <c r="Q20" s="19"/>
    </row>
    <row r="21" spans="1:26" hidden="1" outlineLevel="1">
      <c r="A21" s="19">
        <v>8</v>
      </c>
      <c r="B21" s="70"/>
      <c r="C21" s="162"/>
      <c r="D21" s="20"/>
      <c r="E21" s="20"/>
      <c r="F21" s="49">
        <v>18120538</v>
      </c>
      <c r="G21" s="20"/>
      <c r="H21" s="20"/>
      <c r="I21" s="50"/>
      <c r="J21" s="60"/>
      <c r="M21" s="21"/>
      <c r="N21" s="52" t="s">
        <v>3631</v>
      </c>
      <c r="O21" s="243">
        <v>43494</v>
      </c>
      <c r="P21" s="20"/>
      <c r="Q21" s="19"/>
    </row>
    <row r="22" spans="1:26" hidden="1" outlineLevel="1">
      <c r="A22" s="19">
        <v>9</v>
      </c>
      <c r="B22" s="70"/>
      <c r="C22" s="162"/>
      <c r="D22" s="20"/>
      <c r="E22" s="20"/>
      <c r="F22" s="49">
        <v>18120539</v>
      </c>
      <c r="G22" s="20"/>
      <c r="H22" s="20"/>
      <c r="I22" s="50"/>
      <c r="J22" s="60"/>
      <c r="M22" s="21"/>
      <c r="N22" s="52" t="s">
        <v>3632</v>
      </c>
      <c r="O22" s="243">
        <v>43475</v>
      </c>
      <c r="P22" s="20"/>
      <c r="Q22" s="19"/>
    </row>
    <row r="23" spans="1:26" hidden="1" outlineLevel="1">
      <c r="A23" s="19">
        <v>10</v>
      </c>
      <c r="B23" s="70"/>
      <c r="C23" s="162"/>
      <c r="D23" s="20"/>
      <c r="E23" s="20"/>
      <c r="F23" s="49">
        <v>18120540</v>
      </c>
      <c r="G23" s="20"/>
      <c r="H23" s="20"/>
      <c r="I23" s="50"/>
      <c r="J23" s="60"/>
      <c r="M23" s="21"/>
      <c r="N23" s="52" t="s">
        <v>3632</v>
      </c>
      <c r="O23" s="243">
        <v>43475</v>
      </c>
      <c r="P23" s="20"/>
      <c r="Q23" s="19"/>
    </row>
    <row r="24" spans="1:26" hidden="1" outlineLevel="1">
      <c r="A24" s="119"/>
      <c r="B24" s="120"/>
      <c r="C24" s="161"/>
      <c r="D24" s="121"/>
      <c r="E24" s="121"/>
      <c r="F24" s="122"/>
      <c r="G24" s="121"/>
      <c r="H24" s="121"/>
      <c r="I24" s="121"/>
      <c r="J24" s="123"/>
      <c r="K24" s="8"/>
      <c r="L24" s="58"/>
      <c r="M24" s="25"/>
      <c r="N24" s="53"/>
      <c r="O24" s="242"/>
      <c r="P24" s="121"/>
      <c r="Q24" s="119"/>
    </row>
    <row r="25" spans="1:26" ht="24" hidden="1" outlineLevel="1">
      <c r="A25" s="19">
        <v>1</v>
      </c>
      <c r="B25" s="70">
        <v>43494</v>
      </c>
      <c r="C25" s="162">
        <v>60</v>
      </c>
      <c r="D25" s="20"/>
      <c r="E25" s="20" t="s">
        <v>3244</v>
      </c>
      <c r="F25" s="49">
        <v>18120541</v>
      </c>
      <c r="G25" s="20"/>
      <c r="H25" s="20"/>
      <c r="I25" s="50"/>
      <c r="J25" s="60"/>
      <c r="M25" s="21" t="s">
        <v>3307</v>
      </c>
      <c r="N25" s="52" t="s">
        <v>3633</v>
      </c>
      <c r="O25" s="243">
        <v>43495</v>
      </c>
      <c r="P25" s="20" t="s">
        <v>4006</v>
      </c>
      <c r="Q25" s="19"/>
    </row>
    <row r="26" spans="1:26" hidden="1" outlineLevel="1">
      <c r="A26" s="19">
        <v>2</v>
      </c>
      <c r="B26" s="70"/>
      <c r="C26" s="162"/>
      <c r="D26" s="20"/>
      <c r="E26" s="20"/>
      <c r="F26" s="49">
        <v>18120542</v>
      </c>
      <c r="G26" s="20"/>
      <c r="H26" s="20"/>
      <c r="I26" s="50"/>
      <c r="J26" s="60"/>
      <c r="M26" s="21" t="s">
        <v>3307</v>
      </c>
      <c r="N26" s="52" t="s">
        <v>3633</v>
      </c>
      <c r="O26" s="243">
        <v>43495</v>
      </c>
      <c r="P26" s="20" t="s">
        <v>4007</v>
      </c>
      <c r="Q26" s="19"/>
    </row>
    <row r="27" spans="1:26" hidden="1" outlineLevel="1">
      <c r="A27" s="19">
        <v>3</v>
      </c>
      <c r="B27" s="70"/>
      <c r="C27" s="162"/>
      <c r="D27" s="20"/>
      <c r="E27" s="20"/>
      <c r="F27" s="49">
        <v>18120543</v>
      </c>
      <c r="G27" s="20"/>
      <c r="H27" s="20"/>
      <c r="I27" s="50"/>
      <c r="J27" s="60"/>
      <c r="M27" s="21" t="s">
        <v>3308</v>
      </c>
      <c r="N27" s="52" t="s">
        <v>3634</v>
      </c>
      <c r="O27" s="243">
        <v>43500</v>
      </c>
      <c r="P27" s="20" t="s">
        <v>4008</v>
      </c>
      <c r="Q27" s="19"/>
    </row>
    <row r="28" spans="1:26" hidden="1" outlineLevel="1">
      <c r="A28" s="19">
        <v>4</v>
      </c>
      <c r="B28" s="70"/>
      <c r="C28" s="162"/>
      <c r="D28" s="20"/>
      <c r="E28" s="20"/>
      <c r="F28" s="49">
        <v>18120544</v>
      </c>
      <c r="G28" s="20"/>
      <c r="H28" s="20"/>
      <c r="I28" s="50"/>
      <c r="J28" s="60"/>
      <c r="M28" s="21"/>
      <c r="N28" s="52" t="s">
        <v>3635</v>
      </c>
      <c r="O28" s="243">
        <v>43521</v>
      </c>
      <c r="P28" s="20"/>
      <c r="Q28" s="19"/>
    </row>
    <row r="29" spans="1:26" hidden="1" outlineLevel="1">
      <c r="A29" s="19">
        <v>5</v>
      </c>
      <c r="B29" s="70"/>
      <c r="C29" s="162"/>
      <c r="D29" s="20"/>
      <c r="E29" s="20"/>
      <c r="F29" s="49">
        <v>18120545</v>
      </c>
      <c r="G29" s="20"/>
      <c r="H29" s="20"/>
      <c r="I29" s="50"/>
      <c r="J29" s="60"/>
      <c r="M29" s="21"/>
      <c r="N29" s="52" t="s">
        <v>3635</v>
      </c>
      <c r="O29" s="243">
        <v>43510</v>
      </c>
      <c r="P29" s="20"/>
      <c r="Q29" s="19"/>
    </row>
    <row r="30" spans="1:26" hidden="1" outlineLevel="1">
      <c r="A30" s="19">
        <v>6</v>
      </c>
      <c r="B30" s="70"/>
      <c r="C30" s="162"/>
      <c r="D30" s="20"/>
      <c r="E30" s="20"/>
      <c r="F30" s="49">
        <v>18120546</v>
      </c>
      <c r="G30" s="20"/>
      <c r="H30" s="20"/>
      <c r="I30" s="50"/>
      <c r="J30" s="60"/>
      <c r="M30" s="21"/>
      <c r="N30" s="52" t="s">
        <v>3635</v>
      </c>
      <c r="O30" s="243">
        <v>43511</v>
      </c>
      <c r="P30" s="20"/>
      <c r="Q30" s="19"/>
    </row>
    <row r="31" spans="1:26" hidden="1" outlineLevel="1">
      <c r="A31" s="19">
        <v>7</v>
      </c>
      <c r="B31" s="70"/>
      <c r="C31" s="162"/>
      <c r="D31" s="20"/>
      <c r="E31" s="20"/>
      <c r="F31" s="49">
        <v>18120547</v>
      </c>
      <c r="G31" s="20"/>
      <c r="H31" s="20"/>
      <c r="I31" s="50"/>
      <c r="J31" s="60"/>
      <c r="M31" s="21" t="s">
        <v>3309</v>
      </c>
      <c r="N31" s="52" t="s">
        <v>3633</v>
      </c>
      <c r="O31" s="243">
        <v>43495</v>
      </c>
      <c r="P31" s="20"/>
      <c r="Q31" s="19"/>
    </row>
    <row r="32" spans="1:26" hidden="1" outlineLevel="1">
      <c r="A32" s="124">
        <v>8</v>
      </c>
      <c r="B32" s="125"/>
      <c r="C32" s="163"/>
      <c r="D32" s="126"/>
      <c r="E32" s="126"/>
      <c r="F32" s="128">
        <v>18120548</v>
      </c>
      <c r="G32" s="126"/>
      <c r="H32" s="126"/>
      <c r="I32" s="129"/>
      <c r="J32" s="127"/>
      <c r="K32" s="4"/>
      <c r="L32" s="24"/>
      <c r="M32" s="130"/>
      <c r="N32" s="131" t="s">
        <v>3636</v>
      </c>
      <c r="O32" s="244">
        <v>43495</v>
      </c>
      <c r="P32" s="126"/>
      <c r="Q32" s="124"/>
      <c r="R32" s="68"/>
      <c r="S32" s="68"/>
      <c r="T32" s="68"/>
      <c r="U32" s="68"/>
      <c r="V32" s="68"/>
      <c r="W32" s="68"/>
      <c r="X32" s="68"/>
      <c r="Y32" s="68"/>
      <c r="Z32" s="68"/>
    </row>
    <row r="33" spans="1:26" hidden="1" outlineLevel="1">
      <c r="A33" s="19">
        <v>9</v>
      </c>
      <c r="B33" s="70"/>
      <c r="C33" s="162"/>
      <c r="D33" s="20"/>
      <c r="E33" s="20"/>
      <c r="F33" s="49">
        <v>18120549</v>
      </c>
      <c r="G33" s="20"/>
      <c r="H33" s="20"/>
      <c r="I33" s="50"/>
      <c r="J33" s="60"/>
      <c r="M33" s="21" t="s">
        <v>3310</v>
      </c>
      <c r="N33" s="52" t="s">
        <v>3629</v>
      </c>
      <c r="O33" s="243">
        <v>43497</v>
      </c>
      <c r="P33" s="20"/>
      <c r="Q33" s="19"/>
    </row>
    <row r="34" spans="1:26" hidden="1" outlineLevel="1">
      <c r="A34" s="19">
        <v>10</v>
      </c>
      <c r="B34" s="70"/>
      <c r="C34" s="162"/>
      <c r="D34" s="20"/>
      <c r="E34" s="20"/>
      <c r="F34" s="49">
        <v>18120550</v>
      </c>
      <c r="G34" s="20"/>
      <c r="H34" s="20"/>
      <c r="I34" s="50"/>
      <c r="J34" s="60"/>
      <c r="M34" s="21" t="s">
        <v>3310</v>
      </c>
      <c r="N34" s="52" t="s">
        <v>3629</v>
      </c>
      <c r="O34" s="243">
        <v>43497</v>
      </c>
      <c r="P34" s="20"/>
      <c r="Q34" s="19"/>
    </row>
    <row r="35" spans="1:26" hidden="1" outlineLevel="1">
      <c r="A35" s="119"/>
      <c r="B35" s="120"/>
      <c r="C35" s="161"/>
      <c r="D35" s="121"/>
      <c r="E35" s="121"/>
      <c r="F35" s="122"/>
      <c r="G35" s="121"/>
      <c r="H35" s="121"/>
      <c r="I35" s="121"/>
      <c r="J35" s="123"/>
      <c r="K35" s="8"/>
      <c r="L35" s="58"/>
      <c r="M35" s="25"/>
      <c r="N35" s="53"/>
      <c r="O35" s="242"/>
      <c r="P35" s="121"/>
      <c r="Q35" s="119"/>
    </row>
    <row r="36" spans="1:26" ht="24" hidden="1" outlineLevel="1">
      <c r="A36" s="19">
        <v>1</v>
      </c>
      <c r="B36" s="70">
        <v>43503</v>
      </c>
      <c r="C36" s="162">
        <v>89</v>
      </c>
      <c r="D36" s="20"/>
      <c r="E36" s="20" t="s">
        <v>3244</v>
      </c>
      <c r="F36" s="49">
        <v>18120551</v>
      </c>
      <c r="G36" s="20"/>
      <c r="H36" s="20"/>
      <c r="I36" s="50"/>
      <c r="J36" s="60"/>
      <c r="M36" s="21" t="s">
        <v>3311</v>
      </c>
      <c r="N36" s="52" t="s">
        <v>3637</v>
      </c>
      <c r="O36" s="243">
        <v>43511</v>
      </c>
      <c r="P36" s="20" t="s">
        <v>4009</v>
      </c>
      <c r="Q36" s="19"/>
    </row>
    <row r="37" spans="1:26" hidden="1" outlineLevel="1">
      <c r="A37" s="19">
        <v>2</v>
      </c>
      <c r="B37" s="70"/>
      <c r="C37" s="162"/>
      <c r="D37" s="20"/>
      <c r="E37" s="20"/>
      <c r="F37" s="49">
        <v>18120552</v>
      </c>
      <c r="G37" s="20"/>
      <c r="H37" s="20"/>
      <c r="I37" s="50"/>
      <c r="J37" s="60"/>
      <c r="M37" s="21"/>
      <c r="N37" s="52" t="s">
        <v>3638</v>
      </c>
      <c r="O37" s="243">
        <v>43524</v>
      </c>
      <c r="P37" s="20"/>
      <c r="Q37" s="19"/>
    </row>
    <row r="38" spans="1:26" ht="24" hidden="1" outlineLevel="1">
      <c r="A38" s="19">
        <v>3</v>
      </c>
      <c r="B38" s="70"/>
      <c r="C38" s="162"/>
      <c r="D38" s="20"/>
      <c r="E38" s="20"/>
      <c r="F38" s="49">
        <v>18120553</v>
      </c>
      <c r="G38" s="20"/>
      <c r="H38" s="20"/>
      <c r="I38" s="50"/>
      <c r="J38" s="60"/>
      <c r="M38" s="21" t="s">
        <v>3312</v>
      </c>
      <c r="N38" s="52" t="s">
        <v>3639</v>
      </c>
      <c r="O38" s="243">
        <v>43525</v>
      </c>
      <c r="P38" s="20"/>
      <c r="Q38" s="19"/>
    </row>
    <row r="39" spans="1:26" ht="24" hidden="1" outlineLevel="1">
      <c r="A39" s="19">
        <v>4</v>
      </c>
      <c r="B39" s="70"/>
      <c r="C39" s="162"/>
      <c r="D39" s="20"/>
      <c r="E39" s="20"/>
      <c r="F39" s="49">
        <v>18120554</v>
      </c>
      <c r="G39" s="20"/>
      <c r="H39" s="20"/>
      <c r="I39" s="50"/>
      <c r="J39" s="60"/>
      <c r="M39" s="21" t="s">
        <v>3312</v>
      </c>
      <c r="N39" s="52" t="s">
        <v>3639</v>
      </c>
      <c r="O39" s="243">
        <v>43525</v>
      </c>
      <c r="P39" s="20"/>
      <c r="Q39" s="19"/>
    </row>
    <row r="40" spans="1:26" ht="24" hidden="1" outlineLevel="1">
      <c r="A40" s="19">
        <v>5</v>
      </c>
      <c r="B40" s="70"/>
      <c r="C40" s="162"/>
      <c r="D40" s="20"/>
      <c r="E40" s="20"/>
      <c r="F40" s="49">
        <v>18120555</v>
      </c>
      <c r="G40" s="20"/>
      <c r="H40" s="20"/>
      <c r="I40" s="50"/>
      <c r="J40" s="60"/>
      <c r="M40" s="21" t="s">
        <v>3313</v>
      </c>
      <c r="N40" s="52" t="s">
        <v>3630</v>
      </c>
      <c r="O40" s="243">
        <v>43506</v>
      </c>
      <c r="P40" s="20"/>
      <c r="Q40" s="19"/>
    </row>
    <row r="41" spans="1:26" ht="24" hidden="1" outlineLevel="1">
      <c r="A41" s="19">
        <v>6</v>
      </c>
      <c r="B41" s="70"/>
      <c r="C41" s="162"/>
      <c r="D41" s="20"/>
      <c r="E41" s="20"/>
      <c r="F41" s="49">
        <v>18120556</v>
      </c>
      <c r="G41" s="20"/>
      <c r="H41" s="20"/>
      <c r="I41" s="50"/>
      <c r="J41" s="60"/>
      <c r="M41" s="21" t="s">
        <v>3314</v>
      </c>
      <c r="N41" s="52" t="s">
        <v>3630</v>
      </c>
      <c r="O41" s="243">
        <v>43505</v>
      </c>
      <c r="P41" s="20"/>
      <c r="Q41" s="19"/>
    </row>
    <row r="42" spans="1:26" ht="24" hidden="1" outlineLevel="1">
      <c r="A42" s="19">
        <v>7</v>
      </c>
      <c r="B42" s="70"/>
      <c r="C42" s="162"/>
      <c r="D42" s="20"/>
      <c r="E42" s="20"/>
      <c r="F42" s="49">
        <v>18120557</v>
      </c>
      <c r="G42" s="20"/>
      <c r="H42" s="20"/>
      <c r="I42" s="50"/>
      <c r="J42" s="60"/>
      <c r="M42" s="21" t="s">
        <v>3315</v>
      </c>
      <c r="N42" s="52" t="s">
        <v>3640</v>
      </c>
      <c r="O42" s="243">
        <v>43523</v>
      </c>
      <c r="P42" s="20"/>
      <c r="Q42" s="19"/>
    </row>
    <row r="43" spans="1:26" hidden="1" outlineLevel="1">
      <c r="A43" s="124">
        <v>8</v>
      </c>
      <c r="B43" s="125"/>
      <c r="C43" s="163"/>
      <c r="D43" s="126"/>
      <c r="E43" s="126"/>
      <c r="F43" s="128">
        <v>18120558</v>
      </c>
      <c r="G43" s="126"/>
      <c r="H43" s="126"/>
      <c r="I43" s="129"/>
      <c r="J43" s="127"/>
      <c r="K43" s="4"/>
      <c r="L43" s="24"/>
      <c r="M43" s="130"/>
      <c r="N43" s="131" t="s">
        <v>3641</v>
      </c>
      <c r="O43" s="244">
        <v>43524</v>
      </c>
      <c r="P43" s="126"/>
      <c r="Q43" s="124"/>
      <c r="R43" s="68"/>
      <c r="S43" s="68"/>
      <c r="T43" s="68"/>
      <c r="U43" s="68"/>
      <c r="V43" s="68"/>
      <c r="W43" s="68"/>
      <c r="X43" s="68"/>
      <c r="Y43" s="68"/>
      <c r="Z43" s="68"/>
    </row>
    <row r="44" spans="1:26" hidden="1" outlineLevel="1">
      <c r="A44" s="19">
        <v>9</v>
      </c>
      <c r="B44" s="70"/>
      <c r="C44" s="162"/>
      <c r="D44" s="20"/>
      <c r="E44" s="20"/>
      <c r="F44" s="49">
        <v>18120559</v>
      </c>
      <c r="G44" s="20"/>
      <c r="H44" s="20"/>
      <c r="I44" s="50"/>
      <c r="J44" s="60"/>
      <c r="M44" s="21"/>
      <c r="N44" s="52" t="s">
        <v>3642</v>
      </c>
      <c r="O44" s="243">
        <v>43551</v>
      </c>
      <c r="P44" s="20"/>
      <c r="Q44" s="19"/>
    </row>
    <row r="45" spans="1:26" hidden="1" outlineLevel="1">
      <c r="A45" s="19">
        <v>10</v>
      </c>
      <c r="B45" s="70"/>
      <c r="C45" s="162"/>
      <c r="D45" s="20"/>
      <c r="E45" s="20"/>
      <c r="F45" s="49">
        <v>18120560</v>
      </c>
      <c r="G45" s="20"/>
      <c r="H45" s="20"/>
      <c r="I45" s="50"/>
      <c r="J45" s="60"/>
      <c r="M45" s="21"/>
      <c r="N45" s="52" t="s">
        <v>3643</v>
      </c>
      <c r="O45" s="243">
        <v>43516</v>
      </c>
      <c r="P45" s="20"/>
      <c r="Q45" s="19"/>
    </row>
    <row r="46" spans="1:26" s="68" customFormat="1" hidden="1" outlineLevel="1">
      <c r="A46" s="8"/>
      <c r="B46" s="58"/>
      <c r="C46" s="159"/>
      <c r="D46" s="8"/>
      <c r="E46" s="8"/>
      <c r="F46" s="9"/>
      <c r="G46" s="8"/>
      <c r="H46" s="8"/>
      <c r="I46" s="8"/>
      <c r="J46" s="132"/>
      <c r="K46" s="8"/>
      <c r="L46" s="58"/>
      <c r="M46" s="8"/>
      <c r="N46" s="133"/>
      <c r="O46" s="58"/>
      <c r="P46" s="8"/>
      <c r="Q46" s="8"/>
    </row>
    <row r="47" spans="1:26" hidden="1" outlineLevel="1">
      <c r="A47" s="4">
        <v>1</v>
      </c>
      <c r="B47" s="24">
        <v>43515</v>
      </c>
      <c r="C47" s="158">
        <v>127</v>
      </c>
      <c r="D47" s="4"/>
      <c r="E47" s="4" t="s">
        <v>3244</v>
      </c>
      <c r="F47" s="22">
        <v>18120561</v>
      </c>
      <c r="G47" s="4"/>
      <c r="H47" s="4"/>
      <c r="J47" s="69"/>
      <c r="K47" s="4"/>
      <c r="L47" s="24"/>
      <c r="N47" s="54" t="s">
        <v>3644</v>
      </c>
      <c r="O47" s="18">
        <v>43546</v>
      </c>
      <c r="P47" s="4"/>
      <c r="Q47" s="4"/>
    </row>
    <row r="48" spans="1:26" hidden="1" outlineLevel="1">
      <c r="A48" s="1">
        <v>2</v>
      </c>
      <c r="F48" s="22">
        <v>18120562</v>
      </c>
      <c r="M48" s="2" t="s">
        <v>3316</v>
      </c>
      <c r="N48" s="54" t="s">
        <v>3639</v>
      </c>
      <c r="O48" s="18">
        <v>43525</v>
      </c>
    </row>
    <row r="49" spans="1:17" hidden="1" outlineLevel="1">
      <c r="A49" s="1">
        <v>3</v>
      </c>
      <c r="F49" s="22">
        <v>18120563</v>
      </c>
      <c r="N49" s="54" t="s">
        <v>3645</v>
      </c>
      <c r="O49" s="18">
        <v>43524</v>
      </c>
    </row>
    <row r="50" spans="1:17" hidden="1" outlineLevel="1">
      <c r="A50" s="1">
        <v>4</v>
      </c>
      <c r="F50" s="22">
        <v>18120564</v>
      </c>
      <c r="N50" s="54" t="s">
        <v>3646</v>
      </c>
      <c r="O50" s="18">
        <v>43528</v>
      </c>
    </row>
    <row r="51" spans="1:17" hidden="1" outlineLevel="1">
      <c r="A51" s="1">
        <v>5</v>
      </c>
      <c r="F51" s="22">
        <v>18120565</v>
      </c>
      <c r="N51" s="54" t="s">
        <v>3647</v>
      </c>
      <c r="O51" s="18">
        <v>43524</v>
      </c>
    </row>
    <row r="52" spans="1:17" hidden="1" outlineLevel="1">
      <c r="A52" s="1">
        <v>6</v>
      </c>
      <c r="F52" s="22">
        <v>18120566</v>
      </c>
      <c r="I52" s="2" t="s">
        <v>3296</v>
      </c>
      <c r="N52" s="54" t="s">
        <v>3648</v>
      </c>
      <c r="O52" s="18">
        <v>43528</v>
      </c>
    </row>
    <row r="53" spans="1:17" hidden="1" outlineLevel="1">
      <c r="A53" s="1">
        <v>7</v>
      </c>
      <c r="F53" s="22">
        <v>18120567</v>
      </c>
      <c r="M53" s="2" t="s">
        <v>3317</v>
      </c>
      <c r="N53" s="54" t="s">
        <v>3649</v>
      </c>
      <c r="O53" s="18">
        <v>43516</v>
      </c>
    </row>
    <row r="54" spans="1:17" hidden="1" outlineLevel="1">
      <c r="A54" s="1">
        <v>8</v>
      </c>
      <c r="F54" s="22">
        <v>18120568</v>
      </c>
      <c r="M54" s="2" t="s">
        <v>3318</v>
      </c>
      <c r="N54" s="54" t="s">
        <v>3624</v>
      </c>
      <c r="O54" s="18">
        <v>43516</v>
      </c>
    </row>
    <row r="55" spans="1:17" hidden="1" outlineLevel="1">
      <c r="A55" s="1">
        <v>9</v>
      </c>
      <c r="F55" s="22">
        <v>18120569</v>
      </c>
      <c r="N55" s="54" t="s">
        <v>3650</v>
      </c>
      <c r="O55" s="18">
        <v>43521</v>
      </c>
    </row>
    <row r="56" spans="1:17" hidden="1" outlineLevel="1">
      <c r="A56" s="1">
        <v>10</v>
      </c>
      <c r="F56" s="22">
        <v>18120570</v>
      </c>
      <c r="M56" s="2" t="s">
        <v>3319</v>
      </c>
      <c r="N56" s="54" t="s">
        <v>3640</v>
      </c>
      <c r="O56" s="18">
        <v>43522</v>
      </c>
    </row>
    <row r="57" spans="1:17" hidden="1" outlineLevel="1">
      <c r="A57" s="8"/>
      <c r="B57" s="58"/>
      <c r="C57" s="159"/>
      <c r="D57" s="8"/>
      <c r="E57" s="8"/>
      <c r="F57" s="9"/>
      <c r="G57" s="8"/>
      <c r="H57" s="8"/>
      <c r="I57" s="8"/>
      <c r="J57" s="132"/>
      <c r="K57" s="8"/>
      <c r="L57" s="58"/>
      <c r="M57" s="8"/>
      <c r="N57" s="133"/>
      <c r="O57" s="58"/>
      <c r="P57" s="8"/>
      <c r="Q57" s="8"/>
    </row>
    <row r="58" spans="1:17" hidden="1" outlineLevel="1">
      <c r="A58" s="1">
        <v>1</v>
      </c>
      <c r="B58" s="11">
        <v>43529</v>
      </c>
      <c r="C58" s="160">
        <v>185</v>
      </c>
      <c r="E58" s="1" t="s">
        <v>3244</v>
      </c>
      <c r="F58" s="22">
        <v>18120571</v>
      </c>
      <c r="G58" s="1" t="s">
        <v>3285</v>
      </c>
      <c r="P58" s="1" t="s">
        <v>4010</v>
      </c>
    </row>
    <row r="59" spans="1:17" hidden="1" outlineLevel="1">
      <c r="A59" s="1">
        <v>2</v>
      </c>
      <c r="F59" s="22">
        <v>18120572</v>
      </c>
      <c r="M59" s="2" t="s">
        <v>3320</v>
      </c>
      <c r="N59" s="54" t="s">
        <v>3651</v>
      </c>
      <c r="O59" s="18">
        <v>44020</v>
      </c>
    </row>
    <row r="60" spans="1:17" hidden="1" outlineLevel="1">
      <c r="A60" s="1">
        <v>3</v>
      </c>
      <c r="F60" s="22">
        <v>18120573</v>
      </c>
      <c r="N60" s="54" t="s">
        <v>3652</v>
      </c>
      <c r="O60" s="18">
        <v>43537</v>
      </c>
    </row>
    <row r="61" spans="1:17" hidden="1" outlineLevel="1">
      <c r="A61" s="1">
        <v>4</v>
      </c>
      <c r="F61" s="22">
        <v>18120574</v>
      </c>
      <c r="M61" s="2" t="s">
        <v>3321</v>
      </c>
      <c r="N61" s="54" t="s">
        <v>3653</v>
      </c>
      <c r="O61" s="18">
        <v>43543</v>
      </c>
    </row>
    <row r="62" spans="1:17" hidden="1" outlineLevel="1">
      <c r="A62" s="1">
        <v>5</v>
      </c>
      <c r="F62" s="22">
        <v>18120575</v>
      </c>
      <c r="N62" s="54" t="s">
        <v>3654</v>
      </c>
      <c r="O62" s="18">
        <v>43531</v>
      </c>
    </row>
    <row r="63" spans="1:17" hidden="1" outlineLevel="1">
      <c r="A63" s="1">
        <v>6</v>
      </c>
      <c r="F63" s="22">
        <v>18120576</v>
      </c>
      <c r="N63" s="54" t="s">
        <v>3647</v>
      </c>
      <c r="O63" s="18">
        <v>43535</v>
      </c>
    </row>
    <row r="64" spans="1:17" hidden="1" outlineLevel="1">
      <c r="A64" s="1">
        <v>7</v>
      </c>
      <c r="F64" s="22">
        <v>18120577</v>
      </c>
      <c r="N64" s="54" t="s">
        <v>3654</v>
      </c>
      <c r="O64" s="18">
        <v>43531</v>
      </c>
    </row>
    <row r="65" spans="1:17" hidden="1" outlineLevel="1">
      <c r="A65" s="1">
        <v>8</v>
      </c>
      <c r="F65" s="22">
        <v>18120578</v>
      </c>
      <c r="N65" s="54" t="s">
        <v>3654</v>
      </c>
      <c r="O65" s="18">
        <v>43531</v>
      </c>
    </row>
    <row r="66" spans="1:17" hidden="1" outlineLevel="1">
      <c r="A66" s="1">
        <v>9</v>
      </c>
      <c r="F66" s="22">
        <v>18120579</v>
      </c>
      <c r="M66" s="2" t="s">
        <v>3322</v>
      </c>
      <c r="N66" s="54" t="s">
        <v>3655</v>
      </c>
      <c r="O66" s="18">
        <v>43544</v>
      </c>
    </row>
    <row r="67" spans="1:17" hidden="1" outlineLevel="1">
      <c r="A67" s="1">
        <v>10</v>
      </c>
      <c r="F67" s="22">
        <v>18120580</v>
      </c>
      <c r="N67" s="54" t="s">
        <v>3654</v>
      </c>
      <c r="O67" s="18">
        <v>43531</v>
      </c>
    </row>
    <row r="68" spans="1:17" hidden="1" outlineLevel="1">
      <c r="A68" s="8"/>
      <c r="B68" s="58"/>
      <c r="C68" s="159"/>
      <c r="D68" s="8"/>
      <c r="E68" s="8"/>
      <c r="F68" s="9"/>
      <c r="G68" s="8"/>
      <c r="H68" s="8"/>
      <c r="I68" s="8"/>
      <c r="J68" s="132"/>
      <c r="K68" s="8"/>
      <c r="L68" s="58"/>
      <c r="M68" s="8"/>
      <c r="N68" s="133"/>
      <c r="O68" s="58"/>
      <c r="P68" s="8"/>
      <c r="Q68" s="8"/>
    </row>
    <row r="69" spans="1:17" hidden="1" outlineLevel="1">
      <c r="A69" s="1">
        <v>1</v>
      </c>
      <c r="B69" s="11">
        <v>43529</v>
      </c>
      <c r="C69" s="160">
        <v>664</v>
      </c>
      <c r="E69" s="1" t="s">
        <v>3245</v>
      </c>
      <c r="F69" s="22">
        <v>4016000060787</v>
      </c>
      <c r="M69" s="2" t="s">
        <v>3323</v>
      </c>
      <c r="N69" s="54" t="s">
        <v>3235</v>
      </c>
      <c r="O69" s="18">
        <v>43689</v>
      </c>
    </row>
    <row r="70" spans="1:17" hidden="1" outlineLevel="1">
      <c r="A70" s="1">
        <v>2</v>
      </c>
      <c r="F70" s="22">
        <v>4016000060788</v>
      </c>
      <c r="M70" s="2" t="s">
        <v>3324</v>
      </c>
      <c r="N70" s="54" t="s">
        <v>3656</v>
      </c>
      <c r="O70" s="18">
        <v>43686</v>
      </c>
    </row>
    <row r="71" spans="1:17" hidden="1" outlineLevel="1">
      <c r="A71" s="1">
        <v>3</v>
      </c>
      <c r="E71" s="1" t="s">
        <v>3246</v>
      </c>
      <c r="F71" s="22">
        <v>4031000011868</v>
      </c>
      <c r="N71" s="54" t="s">
        <v>3625</v>
      </c>
      <c r="O71" s="18">
        <v>43607</v>
      </c>
    </row>
    <row r="72" spans="1:17" hidden="1" outlineLevel="1">
      <c r="A72" s="1">
        <v>4</v>
      </c>
      <c r="F72" s="22">
        <v>4031000011869</v>
      </c>
      <c r="N72" s="54" t="s">
        <v>3657</v>
      </c>
      <c r="O72" s="18">
        <v>43530</v>
      </c>
    </row>
    <row r="73" spans="1:17" hidden="1" outlineLevel="1">
      <c r="A73" s="8"/>
      <c r="B73" s="58"/>
      <c r="C73" s="159"/>
      <c r="D73" s="8"/>
      <c r="E73" s="8"/>
      <c r="F73" s="9"/>
      <c r="G73" s="8"/>
      <c r="H73" s="8"/>
      <c r="I73" s="8"/>
      <c r="J73" s="132"/>
      <c r="K73" s="8"/>
      <c r="L73" s="58"/>
      <c r="M73" s="8"/>
      <c r="N73" s="133"/>
      <c r="O73" s="58"/>
      <c r="P73" s="8"/>
      <c r="Q73" s="8"/>
    </row>
    <row r="74" spans="1:17" hidden="1" outlineLevel="1">
      <c r="A74" s="1">
        <v>1</v>
      </c>
      <c r="B74" s="11">
        <v>43530</v>
      </c>
      <c r="C74" s="160">
        <v>197</v>
      </c>
      <c r="E74" s="1" t="s">
        <v>3244</v>
      </c>
      <c r="F74" s="22">
        <v>18120472</v>
      </c>
      <c r="M74" s="2" t="s">
        <v>3325</v>
      </c>
      <c r="N74" s="54" t="s">
        <v>3658</v>
      </c>
      <c r="O74" s="18">
        <v>43593</v>
      </c>
    </row>
    <row r="75" spans="1:17" hidden="1" outlineLevel="1">
      <c r="A75" s="1">
        <v>2</v>
      </c>
      <c r="F75" s="22">
        <v>18120473</v>
      </c>
      <c r="M75" s="2" t="s">
        <v>3326</v>
      </c>
      <c r="N75" s="54" t="s">
        <v>3658</v>
      </c>
      <c r="O75" s="18">
        <v>43593</v>
      </c>
    </row>
    <row r="76" spans="1:17" hidden="1" outlineLevel="1">
      <c r="A76" s="1">
        <v>3</v>
      </c>
      <c r="F76" s="22">
        <v>18120474</v>
      </c>
      <c r="N76" s="54" t="s">
        <v>3659</v>
      </c>
      <c r="O76" s="18">
        <v>43564</v>
      </c>
    </row>
    <row r="77" spans="1:17" hidden="1" outlineLevel="1">
      <c r="A77" s="1">
        <v>4</v>
      </c>
      <c r="F77" s="22">
        <v>18120475</v>
      </c>
      <c r="N77" s="54" t="s">
        <v>3659</v>
      </c>
      <c r="O77" s="18">
        <v>43564</v>
      </c>
    </row>
    <row r="78" spans="1:17" hidden="1" outlineLevel="1">
      <c r="A78" s="1">
        <v>5</v>
      </c>
      <c r="F78" s="22">
        <v>18120476</v>
      </c>
      <c r="N78" s="54" t="s">
        <v>3628</v>
      </c>
      <c r="O78" s="18">
        <v>43570</v>
      </c>
    </row>
    <row r="79" spans="1:17" hidden="1" outlineLevel="1">
      <c r="A79" s="1">
        <v>6</v>
      </c>
      <c r="F79" s="22">
        <v>18120477</v>
      </c>
      <c r="N79" s="54" t="s">
        <v>3660</v>
      </c>
      <c r="O79" s="18">
        <v>43570</v>
      </c>
    </row>
    <row r="80" spans="1:17" hidden="1" outlineLevel="1">
      <c r="A80" s="1">
        <v>7</v>
      </c>
      <c r="F80" s="22">
        <v>18120478</v>
      </c>
      <c r="N80" s="54" t="s">
        <v>3661</v>
      </c>
      <c r="O80" s="18">
        <v>43606</v>
      </c>
    </row>
    <row r="81" spans="1:15" hidden="1" outlineLevel="1">
      <c r="A81" s="1">
        <v>8</v>
      </c>
      <c r="F81" s="22">
        <v>18120479</v>
      </c>
      <c r="N81" s="54" t="s">
        <v>3661</v>
      </c>
      <c r="O81" s="18">
        <v>43664</v>
      </c>
    </row>
    <row r="82" spans="1:15" hidden="1" outlineLevel="1">
      <c r="A82" s="1">
        <v>9</v>
      </c>
      <c r="F82" s="22">
        <v>18120480</v>
      </c>
      <c r="N82" s="54" t="s">
        <v>3662</v>
      </c>
      <c r="O82" s="18">
        <v>43602</v>
      </c>
    </row>
    <row r="83" spans="1:15" hidden="1" outlineLevel="1">
      <c r="A83" s="1">
        <v>10</v>
      </c>
      <c r="F83" s="22">
        <v>18120481</v>
      </c>
      <c r="N83" s="54" t="s">
        <v>3663</v>
      </c>
      <c r="O83" s="18">
        <v>43608</v>
      </c>
    </row>
    <row r="84" spans="1:15" hidden="1" outlineLevel="1">
      <c r="A84" s="1">
        <v>11</v>
      </c>
      <c r="F84" s="22">
        <v>18120482</v>
      </c>
      <c r="N84" s="54" t="s">
        <v>3635</v>
      </c>
      <c r="O84" s="18">
        <v>43585</v>
      </c>
    </row>
    <row r="85" spans="1:15" hidden="1" outlineLevel="1">
      <c r="A85" s="1">
        <v>12</v>
      </c>
      <c r="F85" s="22">
        <v>18120483</v>
      </c>
      <c r="N85" s="54" t="s">
        <v>3635</v>
      </c>
      <c r="O85" s="18">
        <v>43585</v>
      </c>
    </row>
    <row r="86" spans="1:15" hidden="1" outlineLevel="1">
      <c r="A86" s="1">
        <v>13</v>
      </c>
      <c r="F86" s="22">
        <v>18120484</v>
      </c>
      <c r="N86" s="54" t="s">
        <v>3664</v>
      </c>
      <c r="O86" s="18">
        <v>43570</v>
      </c>
    </row>
    <row r="87" spans="1:15" hidden="1" outlineLevel="1">
      <c r="A87" s="1">
        <v>14</v>
      </c>
      <c r="F87" s="22">
        <v>18120485</v>
      </c>
      <c r="N87" s="54" t="s">
        <v>3664</v>
      </c>
      <c r="O87" s="18">
        <v>43570</v>
      </c>
    </row>
    <row r="88" spans="1:15" hidden="1" outlineLevel="1">
      <c r="A88" s="1">
        <v>15</v>
      </c>
      <c r="F88" s="22">
        <v>18120486</v>
      </c>
      <c r="M88" s="2" t="s">
        <v>3327</v>
      </c>
      <c r="N88" s="54" t="s">
        <v>3665</v>
      </c>
      <c r="O88" s="18">
        <v>43564</v>
      </c>
    </row>
    <row r="89" spans="1:15" hidden="1" outlineLevel="1">
      <c r="A89" s="1">
        <v>16</v>
      </c>
      <c r="F89" s="22">
        <v>18120487</v>
      </c>
      <c r="M89" s="2" t="s">
        <v>3327</v>
      </c>
      <c r="N89" s="54" t="s">
        <v>3665</v>
      </c>
      <c r="O89" s="18">
        <v>43564</v>
      </c>
    </row>
    <row r="90" spans="1:15" hidden="1" outlineLevel="1">
      <c r="A90" s="1">
        <v>17</v>
      </c>
      <c r="F90" s="22">
        <v>18120488</v>
      </c>
      <c r="N90" s="54" t="s">
        <v>3659</v>
      </c>
      <c r="O90" s="18">
        <v>43564</v>
      </c>
    </row>
    <row r="91" spans="1:15" hidden="1" outlineLevel="1">
      <c r="A91" s="1">
        <v>18</v>
      </c>
      <c r="F91" s="22">
        <v>18120489</v>
      </c>
      <c r="N91" s="54" t="s">
        <v>3659</v>
      </c>
      <c r="O91" s="18">
        <v>43564</v>
      </c>
    </row>
    <row r="92" spans="1:15" hidden="1" outlineLevel="1">
      <c r="A92" s="1">
        <v>19</v>
      </c>
      <c r="F92" s="22">
        <v>18120490</v>
      </c>
      <c r="N92" s="54" t="s">
        <v>3666</v>
      </c>
      <c r="O92" s="18">
        <v>43574</v>
      </c>
    </row>
    <row r="93" spans="1:15" hidden="1" outlineLevel="1">
      <c r="A93" s="1">
        <v>20</v>
      </c>
      <c r="F93" s="22">
        <v>18120491</v>
      </c>
      <c r="M93" s="2" t="s">
        <v>3328</v>
      </c>
      <c r="N93" s="54" t="s">
        <v>3647</v>
      </c>
      <c r="O93" s="18">
        <v>43578</v>
      </c>
    </row>
    <row r="94" spans="1:15" hidden="1" outlineLevel="1">
      <c r="A94" s="1">
        <v>21</v>
      </c>
      <c r="F94" s="22">
        <v>18120492</v>
      </c>
      <c r="M94" s="2" t="s">
        <v>3329</v>
      </c>
      <c r="N94" s="54" t="s">
        <v>3667</v>
      </c>
      <c r="O94" s="18">
        <v>43581</v>
      </c>
    </row>
    <row r="95" spans="1:15" hidden="1" outlineLevel="1">
      <c r="A95" s="1">
        <v>22</v>
      </c>
      <c r="F95" s="22">
        <v>18120493</v>
      </c>
      <c r="M95" s="2" t="s">
        <v>3330</v>
      </c>
      <c r="N95" s="54" t="s">
        <v>3668</v>
      </c>
      <c r="O95" s="18">
        <v>43581</v>
      </c>
    </row>
    <row r="96" spans="1:15" hidden="1" outlineLevel="1">
      <c r="A96" s="1">
        <v>23</v>
      </c>
      <c r="F96" s="22">
        <v>18120494</v>
      </c>
      <c r="N96" s="54" t="s">
        <v>3669</v>
      </c>
      <c r="O96" s="18">
        <v>43598</v>
      </c>
    </row>
    <row r="97" spans="1:15" hidden="1" outlineLevel="1">
      <c r="A97" s="1">
        <v>24</v>
      </c>
      <c r="F97" s="22">
        <v>18120495</v>
      </c>
      <c r="N97" s="54" t="s">
        <v>3670</v>
      </c>
      <c r="O97" s="18">
        <v>43598</v>
      </c>
    </row>
    <row r="98" spans="1:15" hidden="1" outlineLevel="1">
      <c r="A98" s="1">
        <v>25</v>
      </c>
      <c r="F98" s="22">
        <v>18120496</v>
      </c>
      <c r="M98" s="2" t="s">
        <v>3331</v>
      </c>
      <c r="N98" s="54" t="s">
        <v>3665</v>
      </c>
      <c r="O98" s="18">
        <v>43564</v>
      </c>
    </row>
    <row r="99" spans="1:15" hidden="1" outlineLevel="1">
      <c r="A99" s="1">
        <v>26</v>
      </c>
      <c r="F99" s="22">
        <v>18120497</v>
      </c>
      <c r="M99" s="2" t="s">
        <v>3331</v>
      </c>
      <c r="N99" s="54" t="s">
        <v>3665</v>
      </c>
      <c r="O99" s="18">
        <v>43564</v>
      </c>
    </row>
    <row r="100" spans="1:15" hidden="1" outlineLevel="1">
      <c r="A100" s="1">
        <v>27</v>
      </c>
      <c r="F100" s="22">
        <v>18120498</v>
      </c>
      <c r="N100" s="54" t="s">
        <v>382</v>
      </c>
      <c r="O100" s="18">
        <v>43618</v>
      </c>
    </row>
    <row r="101" spans="1:15" hidden="1" outlineLevel="1">
      <c r="A101" s="1">
        <v>28</v>
      </c>
      <c r="F101" s="22">
        <v>18120499</v>
      </c>
      <c r="N101" s="54" t="s">
        <v>382</v>
      </c>
      <c r="O101" s="18">
        <v>43618</v>
      </c>
    </row>
    <row r="102" spans="1:15" hidden="1" outlineLevel="1">
      <c r="A102" s="1">
        <v>29</v>
      </c>
      <c r="F102" s="22">
        <v>18120500</v>
      </c>
      <c r="M102" s="2" t="s">
        <v>3332</v>
      </c>
      <c r="N102" s="54" t="s">
        <v>3671</v>
      </c>
      <c r="O102" s="18">
        <v>43593</v>
      </c>
    </row>
    <row r="103" spans="1:15" hidden="1" outlineLevel="1">
      <c r="A103" s="1">
        <v>30</v>
      </c>
      <c r="F103" s="22">
        <v>18120501</v>
      </c>
      <c r="M103" s="2" t="s">
        <v>3333</v>
      </c>
      <c r="N103" s="54" t="s">
        <v>3671</v>
      </c>
      <c r="O103" s="18">
        <v>43598</v>
      </c>
    </row>
    <row r="104" spans="1:15" hidden="1" outlineLevel="1">
      <c r="A104" s="1">
        <v>31</v>
      </c>
      <c r="F104" s="22">
        <v>18120502</v>
      </c>
      <c r="N104" s="54" t="s">
        <v>382</v>
      </c>
      <c r="O104" s="18">
        <v>43618</v>
      </c>
    </row>
    <row r="105" spans="1:15" hidden="1" outlineLevel="1">
      <c r="A105" s="1">
        <v>32</v>
      </c>
      <c r="F105" s="22">
        <v>18120503</v>
      </c>
      <c r="N105" s="54" t="s">
        <v>382</v>
      </c>
      <c r="O105" s="18">
        <v>43618</v>
      </c>
    </row>
    <row r="106" spans="1:15" hidden="1" outlineLevel="1">
      <c r="A106" s="1">
        <v>33</v>
      </c>
      <c r="F106" s="22">
        <v>18120504</v>
      </c>
      <c r="N106" s="54" t="s">
        <v>3635</v>
      </c>
      <c r="O106" s="18">
        <v>43585</v>
      </c>
    </row>
    <row r="107" spans="1:15" hidden="1" outlineLevel="1">
      <c r="A107" s="1">
        <v>34</v>
      </c>
      <c r="F107" s="22">
        <v>18120505</v>
      </c>
      <c r="N107" s="54" t="s">
        <v>3635</v>
      </c>
      <c r="O107" s="18">
        <v>43585</v>
      </c>
    </row>
    <row r="108" spans="1:15" hidden="1" outlineLevel="1">
      <c r="A108" s="1">
        <v>35</v>
      </c>
      <c r="F108" s="22">
        <v>18120506</v>
      </c>
      <c r="M108" s="2" t="s">
        <v>3334</v>
      </c>
      <c r="N108" s="54" t="s">
        <v>3662</v>
      </c>
      <c r="O108" s="18">
        <v>43598</v>
      </c>
    </row>
    <row r="109" spans="1:15" hidden="1" outlineLevel="1">
      <c r="A109" s="1">
        <v>36</v>
      </c>
      <c r="F109" s="22">
        <v>18120507</v>
      </c>
      <c r="M109" s="2" t="s">
        <v>3335</v>
      </c>
      <c r="N109" s="54" t="s">
        <v>3672</v>
      </c>
      <c r="O109" s="18">
        <v>43599</v>
      </c>
    </row>
    <row r="110" spans="1:15" hidden="1" outlineLevel="1">
      <c r="A110" s="1">
        <v>37</v>
      </c>
      <c r="F110" s="22">
        <v>18120508</v>
      </c>
      <c r="N110" s="54" t="s">
        <v>3659</v>
      </c>
      <c r="O110" s="18">
        <v>43564</v>
      </c>
    </row>
    <row r="111" spans="1:15" hidden="1" outlineLevel="1">
      <c r="A111" s="1">
        <v>38</v>
      </c>
      <c r="F111" s="22">
        <v>18120509</v>
      </c>
      <c r="N111" s="54" t="s">
        <v>3659</v>
      </c>
      <c r="O111" s="18">
        <v>43564</v>
      </c>
    </row>
    <row r="112" spans="1:15" hidden="1" outlineLevel="1">
      <c r="A112" s="1">
        <v>39</v>
      </c>
      <c r="F112" s="22">
        <v>18120510</v>
      </c>
      <c r="N112" s="54" t="s">
        <v>3673</v>
      </c>
      <c r="O112" s="18">
        <v>43566</v>
      </c>
    </row>
    <row r="113" spans="1:15" hidden="1" outlineLevel="1">
      <c r="A113" s="1">
        <v>40</v>
      </c>
      <c r="F113" s="22">
        <v>18120511</v>
      </c>
      <c r="N113" s="54" t="s">
        <v>3659</v>
      </c>
      <c r="O113" s="18">
        <v>43564</v>
      </c>
    </row>
    <row r="114" spans="1:15" hidden="1" outlineLevel="1">
      <c r="A114" s="1">
        <v>41</v>
      </c>
      <c r="F114" s="22">
        <v>18120512</v>
      </c>
      <c r="M114" s="2" t="s">
        <v>3336</v>
      </c>
      <c r="N114" s="54" t="s">
        <v>3643</v>
      </c>
      <c r="O114" s="18">
        <v>43571</v>
      </c>
    </row>
    <row r="115" spans="1:15" hidden="1" outlineLevel="1">
      <c r="A115" s="1">
        <v>42</v>
      </c>
      <c r="F115" s="22">
        <v>18120513</v>
      </c>
      <c r="M115" s="2" t="s">
        <v>3336</v>
      </c>
      <c r="N115" s="54" t="s">
        <v>3643</v>
      </c>
      <c r="O115" s="18">
        <v>43571</v>
      </c>
    </row>
    <row r="116" spans="1:15" hidden="1" outlineLevel="1">
      <c r="A116" s="1">
        <v>43</v>
      </c>
      <c r="F116" s="22">
        <v>18120514</v>
      </c>
      <c r="M116" s="2" t="s">
        <v>3337</v>
      </c>
      <c r="N116" s="54" t="s">
        <v>3662</v>
      </c>
      <c r="O116" s="18">
        <v>43592</v>
      </c>
    </row>
    <row r="117" spans="1:15" hidden="1" outlineLevel="1">
      <c r="A117" s="1">
        <v>44</v>
      </c>
      <c r="F117" s="22">
        <v>18120515</v>
      </c>
      <c r="N117" s="54" t="s">
        <v>3674</v>
      </c>
      <c r="O117" s="18">
        <v>43592</v>
      </c>
    </row>
    <row r="118" spans="1:15" hidden="1" outlineLevel="1">
      <c r="A118" s="1">
        <v>45</v>
      </c>
      <c r="F118" s="22">
        <v>18120516</v>
      </c>
      <c r="I118" s="2" t="s">
        <v>3297</v>
      </c>
      <c r="M118" s="2" t="s">
        <v>3338</v>
      </c>
      <c r="N118" s="54" t="s">
        <v>3675</v>
      </c>
      <c r="O118" s="18">
        <v>43612</v>
      </c>
    </row>
    <row r="119" spans="1:15" hidden="1" outlineLevel="1">
      <c r="A119" s="1">
        <v>46</v>
      </c>
      <c r="F119" s="22">
        <v>18120517</v>
      </c>
      <c r="N119" s="54" t="s">
        <v>3676</v>
      </c>
      <c r="O119" s="18">
        <v>43615</v>
      </c>
    </row>
    <row r="120" spans="1:15" hidden="1" outlineLevel="1">
      <c r="A120" s="1">
        <v>47</v>
      </c>
      <c r="F120" s="22">
        <v>18120518</v>
      </c>
      <c r="N120" s="54" t="s">
        <v>3635</v>
      </c>
      <c r="O120" s="18">
        <v>43606</v>
      </c>
    </row>
    <row r="121" spans="1:15" hidden="1" outlineLevel="1">
      <c r="A121" s="1">
        <v>48</v>
      </c>
      <c r="F121" s="22">
        <v>18120519</v>
      </c>
      <c r="N121" s="54" t="s">
        <v>3635</v>
      </c>
      <c r="O121" s="18">
        <v>43606</v>
      </c>
    </row>
    <row r="122" spans="1:15" hidden="1" outlineLevel="1">
      <c r="A122" s="1">
        <v>49</v>
      </c>
      <c r="F122" s="22">
        <v>18120520</v>
      </c>
      <c r="N122" s="54" t="s">
        <v>3677</v>
      </c>
      <c r="O122" s="18">
        <v>43602</v>
      </c>
    </row>
    <row r="123" spans="1:15" hidden="1" outlineLevel="1">
      <c r="A123" s="1">
        <v>50</v>
      </c>
      <c r="F123" s="22">
        <v>18120521</v>
      </c>
      <c r="N123" s="54" t="s">
        <v>3677</v>
      </c>
      <c r="O123" s="18">
        <v>43602</v>
      </c>
    </row>
    <row r="124" spans="1:15" hidden="1" outlineLevel="1">
      <c r="A124" s="1">
        <v>51</v>
      </c>
      <c r="F124" s="22">
        <v>18120522</v>
      </c>
      <c r="N124" s="54" t="s">
        <v>3678</v>
      </c>
      <c r="O124" s="18">
        <v>43591</v>
      </c>
    </row>
    <row r="125" spans="1:15" hidden="1" outlineLevel="1">
      <c r="A125" s="1">
        <v>52</v>
      </c>
      <c r="F125" s="22">
        <v>18120523</v>
      </c>
      <c r="M125" s="2" t="s">
        <v>3339</v>
      </c>
      <c r="N125" s="54" t="s">
        <v>3679</v>
      </c>
      <c r="O125" s="18">
        <v>43591</v>
      </c>
    </row>
    <row r="126" spans="1:15" hidden="1" outlineLevel="1">
      <c r="A126" s="1">
        <v>53</v>
      </c>
      <c r="F126" s="22">
        <v>18120524</v>
      </c>
      <c r="M126" s="2" t="s">
        <v>3340</v>
      </c>
      <c r="N126" s="54" t="s">
        <v>3680</v>
      </c>
      <c r="O126" s="18">
        <v>43622</v>
      </c>
    </row>
    <row r="127" spans="1:15" hidden="1" outlineLevel="1">
      <c r="A127" s="1">
        <v>54</v>
      </c>
      <c r="F127" s="22">
        <v>18120525</v>
      </c>
      <c r="M127" s="2" t="s">
        <v>3341</v>
      </c>
      <c r="N127" s="54" t="s">
        <v>3680</v>
      </c>
      <c r="O127" s="18">
        <v>43622</v>
      </c>
    </row>
    <row r="128" spans="1:15" hidden="1" outlineLevel="1">
      <c r="A128" s="1">
        <v>55</v>
      </c>
      <c r="F128" s="22">
        <v>18120581</v>
      </c>
      <c r="N128" s="54" t="s">
        <v>3681</v>
      </c>
      <c r="O128" s="18">
        <v>43573</v>
      </c>
    </row>
    <row r="129" spans="1:17" hidden="1" outlineLevel="1">
      <c r="A129" s="1">
        <v>56</v>
      </c>
      <c r="F129" s="22">
        <v>18120582</v>
      </c>
      <c r="N129" s="54" t="s">
        <v>3682</v>
      </c>
      <c r="O129" s="18">
        <v>43571</v>
      </c>
    </row>
    <row r="130" spans="1:17" hidden="1" outlineLevel="1">
      <c r="A130" s="1">
        <v>57</v>
      </c>
      <c r="F130" s="22">
        <v>18120583</v>
      </c>
      <c r="N130" s="54" t="s">
        <v>3635</v>
      </c>
      <c r="O130" s="18">
        <v>43585</v>
      </c>
    </row>
    <row r="131" spans="1:17" hidden="1" outlineLevel="1">
      <c r="A131" s="1">
        <v>58</v>
      </c>
      <c r="F131" s="22">
        <v>18120584</v>
      </c>
      <c r="N131" s="54" t="s">
        <v>3635</v>
      </c>
      <c r="O131" s="18">
        <v>43585</v>
      </c>
    </row>
    <row r="132" spans="1:17" hidden="1" outlineLevel="1">
      <c r="A132" s="1">
        <v>59</v>
      </c>
      <c r="F132" s="22">
        <v>18120590</v>
      </c>
      <c r="N132" s="54" t="s">
        <v>3662</v>
      </c>
      <c r="O132" s="18">
        <v>43602</v>
      </c>
    </row>
    <row r="133" spans="1:17" hidden="1" outlineLevel="1">
      <c r="A133" s="1">
        <v>60</v>
      </c>
      <c r="F133" s="22">
        <v>18120591</v>
      </c>
      <c r="N133" s="54" t="s">
        <v>3635</v>
      </c>
      <c r="O133" s="18">
        <v>43602</v>
      </c>
    </row>
    <row r="134" spans="1:17" hidden="1" outlineLevel="1">
      <c r="A134" s="8"/>
      <c r="B134" s="58"/>
      <c r="C134" s="159"/>
      <c r="D134" s="8"/>
      <c r="E134" s="8"/>
      <c r="F134" s="9"/>
      <c r="G134" s="8"/>
      <c r="H134" s="8"/>
      <c r="I134" s="8"/>
      <c r="J134" s="132"/>
      <c r="K134" s="8"/>
      <c r="L134" s="58"/>
      <c r="M134" s="8"/>
      <c r="N134" s="133"/>
      <c r="O134" s="58"/>
      <c r="P134" s="8"/>
      <c r="Q134" s="8"/>
    </row>
    <row r="135" spans="1:17" hidden="1" outlineLevel="1">
      <c r="A135" s="1">
        <v>1</v>
      </c>
      <c r="B135" s="11">
        <v>43531</v>
      </c>
      <c r="C135" s="160">
        <v>201</v>
      </c>
      <c r="E135" s="1" t="s">
        <v>3244</v>
      </c>
      <c r="F135" s="22">
        <v>18080692</v>
      </c>
      <c r="N135" s="54" t="s">
        <v>3682</v>
      </c>
      <c r="O135" s="18">
        <v>43571</v>
      </c>
      <c r="P135" s="1" t="s">
        <v>4011</v>
      </c>
    </row>
    <row r="136" spans="1:17" hidden="1" outlineLevel="1">
      <c r="A136" s="1">
        <v>2</v>
      </c>
      <c r="F136" s="22">
        <v>18120423</v>
      </c>
      <c r="N136" s="54">
        <v>43532</v>
      </c>
      <c r="O136" s="18">
        <v>43563</v>
      </c>
      <c r="P136" s="1" t="s">
        <v>4012</v>
      </c>
    </row>
    <row r="137" spans="1:17" hidden="1" outlineLevel="1">
      <c r="A137" s="1">
        <v>3</v>
      </c>
      <c r="F137" s="22">
        <v>18120424</v>
      </c>
      <c r="N137" s="54">
        <v>43532</v>
      </c>
      <c r="O137" s="18">
        <v>43563</v>
      </c>
      <c r="P137" s="1" t="s">
        <v>4013</v>
      </c>
    </row>
    <row r="138" spans="1:17" hidden="1" outlineLevel="1">
      <c r="A138" s="1">
        <v>4</v>
      </c>
      <c r="F138" s="22">
        <v>18120425</v>
      </c>
      <c r="M138" s="2" t="s">
        <v>3327</v>
      </c>
      <c r="N138" s="54" t="s">
        <v>3639</v>
      </c>
      <c r="O138" s="18">
        <v>43560</v>
      </c>
      <c r="P138" s="1" t="s">
        <v>4014</v>
      </c>
    </row>
    <row r="139" spans="1:17" hidden="1" outlineLevel="1">
      <c r="A139" s="1">
        <v>5</v>
      </c>
      <c r="F139" s="22">
        <v>18120426</v>
      </c>
      <c r="M139" s="2" t="s">
        <v>3342</v>
      </c>
      <c r="N139" s="54" t="s">
        <v>3683</v>
      </c>
      <c r="O139" s="18">
        <v>43564</v>
      </c>
      <c r="P139" s="1" t="s">
        <v>4015</v>
      </c>
    </row>
    <row r="140" spans="1:17" hidden="1" outlineLevel="1">
      <c r="A140" s="1">
        <v>6</v>
      </c>
      <c r="F140" s="22">
        <v>18120427</v>
      </c>
      <c r="N140" s="54" t="s">
        <v>3684</v>
      </c>
      <c r="O140" s="18">
        <v>43557</v>
      </c>
      <c r="P140" s="1" t="s">
        <v>4016</v>
      </c>
    </row>
    <row r="141" spans="1:17" hidden="1" outlineLevel="1">
      <c r="A141" s="1">
        <v>7</v>
      </c>
      <c r="F141" s="22">
        <v>18120428</v>
      </c>
      <c r="M141" s="2" t="s">
        <v>3343</v>
      </c>
      <c r="N141" s="54" t="s">
        <v>3685</v>
      </c>
      <c r="O141" s="18">
        <v>43559</v>
      </c>
    </row>
    <row r="142" spans="1:17" hidden="1" outlineLevel="1">
      <c r="A142" s="1">
        <v>8</v>
      </c>
      <c r="F142" s="22">
        <v>18120429</v>
      </c>
      <c r="N142" s="54">
        <v>43532</v>
      </c>
      <c r="O142" s="18">
        <v>43563</v>
      </c>
    </row>
    <row r="143" spans="1:17" hidden="1" outlineLevel="1">
      <c r="A143" s="1">
        <v>9</v>
      </c>
      <c r="F143" s="22">
        <v>18120431</v>
      </c>
      <c r="N143" s="54">
        <v>43532</v>
      </c>
      <c r="O143" s="18">
        <v>43563</v>
      </c>
    </row>
    <row r="144" spans="1:17" hidden="1" outlineLevel="1">
      <c r="A144" s="1">
        <v>10</v>
      </c>
      <c r="F144" s="22">
        <v>18120432</v>
      </c>
      <c r="N144" s="54">
        <v>43532</v>
      </c>
      <c r="O144" s="18">
        <v>43563</v>
      </c>
    </row>
    <row r="145" spans="1:15" hidden="1" outlineLevel="1">
      <c r="A145" s="1">
        <v>11</v>
      </c>
      <c r="F145" s="22">
        <v>18120433</v>
      </c>
      <c r="N145" s="54">
        <v>43532</v>
      </c>
      <c r="O145" s="18">
        <v>43563</v>
      </c>
    </row>
    <row r="146" spans="1:15" hidden="1" outlineLevel="1">
      <c r="A146" s="1">
        <v>12</v>
      </c>
      <c r="F146" s="22">
        <v>18120434</v>
      </c>
      <c r="N146" s="54" t="s">
        <v>3686</v>
      </c>
      <c r="O146" s="18">
        <v>43557</v>
      </c>
    </row>
    <row r="147" spans="1:15" hidden="1" outlineLevel="1">
      <c r="A147" s="1">
        <v>13</v>
      </c>
      <c r="F147" s="22">
        <v>18120435</v>
      </c>
      <c r="N147" s="54" t="s">
        <v>3686</v>
      </c>
      <c r="O147" s="18">
        <v>43557</v>
      </c>
    </row>
    <row r="148" spans="1:15" hidden="1" outlineLevel="1">
      <c r="A148" s="1">
        <v>14</v>
      </c>
      <c r="F148" s="22">
        <v>18120436</v>
      </c>
      <c r="N148" s="54" t="s">
        <v>3687</v>
      </c>
      <c r="O148" s="18">
        <v>43556</v>
      </c>
    </row>
    <row r="149" spans="1:15" hidden="1" outlineLevel="1">
      <c r="A149" s="1">
        <v>15</v>
      </c>
      <c r="F149" s="22">
        <v>18120437</v>
      </c>
      <c r="N149" s="54" t="s">
        <v>100</v>
      </c>
      <c r="O149" s="18">
        <v>43556</v>
      </c>
    </row>
    <row r="150" spans="1:15" hidden="1" outlineLevel="1">
      <c r="A150" s="1">
        <v>16</v>
      </c>
      <c r="F150" s="22">
        <v>18120438</v>
      </c>
      <c r="N150" s="54" t="s">
        <v>3687</v>
      </c>
      <c r="O150" s="18">
        <v>43557</v>
      </c>
    </row>
    <row r="151" spans="1:15" hidden="1" outlineLevel="1">
      <c r="A151" s="1">
        <v>17</v>
      </c>
      <c r="F151" s="22">
        <v>18120439</v>
      </c>
      <c r="N151" s="54" t="s">
        <v>3687</v>
      </c>
      <c r="O151" s="18">
        <v>43557</v>
      </c>
    </row>
    <row r="152" spans="1:15" hidden="1" outlineLevel="1">
      <c r="A152" s="1">
        <v>18</v>
      </c>
      <c r="F152" s="22">
        <v>18120440</v>
      </c>
      <c r="N152" s="54" t="s">
        <v>3688</v>
      </c>
      <c r="O152" s="18">
        <v>43563</v>
      </c>
    </row>
    <row r="153" spans="1:15" hidden="1" outlineLevel="1">
      <c r="A153" s="1">
        <v>19</v>
      </c>
      <c r="F153" s="22">
        <v>18120441</v>
      </c>
      <c r="N153" s="54" t="s">
        <v>3688</v>
      </c>
      <c r="O153" s="18">
        <v>43563</v>
      </c>
    </row>
    <row r="154" spans="1:15" hidden="1" outlineLevel="1">
      <c r="A154" s="1">
        <v>20</v>
      </c>
      <c r="F154" s="22">
        <v>18120442</v>
      </c>
      <c r="N154" s="54" t="s">
        <v>3684</v>
      </c>
      <c r="O154" s="18">
        <v>43557</v>
      </c>
    </row>
    <row r="155" spans="1:15" hidden="1" outlineLevel="1">
      <c r="A155" s="1">
        <v>21</v>
      </c>
      <c r="F155" s="22">
        <v>18120443</v>
      </c>
      <c r="N155" s="54" t="s">
        <v>3684</v>
      </c>
      <c r="O155" s="18">
        <v>43557</v>
      </c>
    </row>
    <row r="156" spans="1:15" hidden="1" outlineLevel="1">
      <c r="A156" s="1">
        <v>22</v>
      </c>
      <c r="F156" s="22">
        <v>18120444</v>
      </c>
      <c r="N156" s="54" t="s">
        <v>3641</v>
      </c>
      <c r="O156" s="18">
        <v>43538</v>
      </c>
    </row>
    <row r="157" spans="1:15" hidden="1" outlineLevel="1">
      <c r="A157" s="1">
        <v>23</v>
      </c>
      <c r="F157" s="22">
        <v>18120445</v>
      </c>
      <c r="M157" s="2" t="s">
        <v>3344</v>
      </c>
      <c r="N157" s="54" t="s">
        <v>3689</v>
      </c>
      <c r="O157" s="18">
        <v>43598</v>
      </c>
    </row>
    <row r="158" spans="1:15" hidden="1" outlineLevel="1">
      <c r="A158" s="1">
        <v>24</v>
      </c>
      <c r="F158" s="22">
        <v>18120446</v>
      </c>
      <c r="N158" s="54" t="s">
        <v>3659</v>
      </c>
      <c r="O158" s="18">
        <v>43566</v>
      </c>
    </row>
    <row r="159" spans="1:15" hidden="1" outlineLevel="1">
      <c r="A159" s="1">
        <v>25</v>
      </c>
      <c r="F159" s="22">
        <v>18120447</v>
      </c>
      <c r="N159" s="54" t="s">
        <v>3659</v>
      </c>
      <c r="O159" s="18">
        <v>43566</v>
      </c>
    </row>
    <row r="160" spans="1:15" hidden="1" outlineLevel="1">
      <c r="A160" s="1">
        <v>26</v>
      </c>
      <c r="F160" s="22">
        <v>18120448</v>
      </c>
      <c r="N160" s="54" t="s">
        <v>3644</v>
      </c>
      <c r="O160" s="18">
        <v>43546</v>
      </c>
    </row>
    <row r="161" spans="1:15" hidden="1" outlineLevel="1">
      <c r="A161" s="1">
        <v>27</v>
      </c>
      <c r="F161" s="22">
        <v>18120449</v>
      </c>
      <c r="M161" s="2" t="s">
        <v>3345</v>
      </c>
      <c r="N161" s="54" t="s">
        <v>3690</v>
      </c>
      <c r="O161" s="18">
        <v>43544</v>
      </c>
    </row>
    <row r="162" spans="1:15" hidden="1" outlineLevel="1">
      <c r="A162" s="1">
        <v>28</v>
      </c>
      <c r="F162" s="22">
        <v>18120450</v>
      </c>
      <c r="N162" s="54" t="s">
        <v>3663</v>
      </c>
      <c r="O162" s="18">
        <v>43608</v>
      </c>
    </row>
    <row r="163" spans="1:15" hidden="1" outlineLevel="1">
      <c r="A163" s="1">
        <v>29</v>
      </c>
      <c r="F163" s="22">
        <v>18120451</v>
      </c>
      <c r="N163" s="54" t="s">
        <v>3691</v>
      </c>
      <c r="O163" s="18">
        <v>43608</v>
      </c>
    </row>
    <row r="164" spans="1:15" hidden="1" outlineLevel="1">
      <c r="A164" s="1">
        <v>30</v>
      </c>
      <c r="F164" s="22">
        <v>18120452</v>
      </c>
      <c r="M164" s="2" t="s">
        <v>3346</v>
      </c>
      <c r="N164" s="54" t="s">
        <v>3692</v>
      </c>
      <c r="O164" s="18">
        <v>43581</v>
      </c>
    </row>
    <row r="165" spans="1:15" hidden="1" outlineLevel="1">
      <c r="A165" s="1">
        <v>31</v>
      </c>
      <c r="F165" s="22">
        <v>18120453</v>
      </c>
      <c r="M165" s="2" t="s">
        <v>3347</v>
      </c>
      <c r="N165" s="54" t="s">
        <v>3693</v>
      </c>
      <c r="O165" s="18">
        <v>43579</v>
      </c>
    </row>
    <row r="166" spans="1:15" hidden="1" outlineLevel="1">
      <c r="A166" s="1">
        <v>32</v>
      </c>
      <c r="F166" s="22">
        <v>18120454</v>
      </c>
      <c r="M166" s="2" t="s">
        <v>3348</v>
      </c>
      <c r="N166" s="54" t="s">
        <v>3694</v>
      </c>
      <c r="O166" s="18">
        <v>43544</v>
      </c>
    </row>
    <row r="167" spans="1:15" hidden="1" outlineLevel="1">
      <c r="A167" s="1">
        <v>33</v>
      </c>
      <c r="F167" s="22">
        <v>18120455</v>
      </c>
      <c r="N167" s="54" t="s">
        <v>3687</v>
      </c>
      <c r="O167" s="18">
        <v>43544</v>
      </c>
    </row>
    <row r="168" spans="1:15" hidden="1" outlineLevel="1">
      <c r="A168" s="1">
        <v>34</v>
      </c>
      <c r="F168" s="22">
        <v>18120456</v>
      </c>
      <c r="N168" s="54" t="s">
        <v>3695</v>
      </c>
      <c r="O168" s="18">
        <v>43552</v>
      </c>
    </row>
    <row r="169" spans="1:15" hidden="1" outlineLevel="1">
      <c r="A169" s="1">
        <v>35</v>
      </c>
      <c r="F169" s="22">
        <v>18120457</v>
      </c>
      <c r="N169" s="54" t="s">
        <v>3630</v>
      </c>
      <c r="O169" s="18">
        <v>43550</v>
      </c>
    </row>
    <row r="170" spans="1:15" hidden="1" outlineLevel="1">
      <c r="A170" s="1">
        <v>36</v>
      </c>
      <c r="F170" s="22">
        <v>18120458</v>
      </c>
      <c r="N170" s="54" t="s">
        <v>3696</v>
      </c>
      <c r="O170" s="18">
        <v>43605</v>
      </c>
    </row>
    <row r="171" spans="1:15" hidden="1" outlineLevel="1">
      <c r="A171" s="1">
        <v>37</v>
      </c>
      <c r="F171" s="22">
        <v>18120459</v>
      </c>
      <c r="M171" s="2" t="s">
        <v>3349</v>
      </c>
      <c r="N171" s="54" t="s">
        <v>3680</v>
      </c>
      <c r="O171" s="18">
        <v>43621</v>
      </c>
    </row>
    <row r="172" spans="1:15" hidden="1" outlineLevel="1">
      <c r="A172" s="1">
        <v>38</v>
      </c>
      <c r="F172" s="22">
        <v>18120460</v>
      </c>
      <c r="I172" s="2" t="s">
        <v>45</v>
      </c>
    </row>
    <row r="173" spans="1:15" hidden="1" outlineLevel="1">
      <c r="A173" s="1">
        <v>39</v>
      </c>
      <c r="F173" s="22">
        <v>18120461</v>
      </c>
      <c r="N173" s="54" t="s">
        <v>3647</v>
      </c>
      <c r="O173" s="18">
        <v>43536</v>
      </c>
    </row>
    <row r="174" spans="1:15" hidden="1" outlineLevel="1">
      <c r="A174" s="1">
        <v>40</v>
      </c>
      <c r="F174" s="22">
        <v>18120462</v>
      </c>
      <c r="N174" s="54" t="s">
        <v>3684</v>
      </c>
      <c r="O174" s="18">
        <v>43546</v>
      </c>
    </row>
    <row r="175" spans="1:15" hidden="1" outlineLevel="1">
      <c r="A175" s="1">
        <v>41</v>
      </c>
      <c r="F175" s="22">
        <v>18120463</v>
      </c>
      <c r="M175" s="2" t="s">
        <v>3350</v>
      </c>
      <c r="N175" s="54" t="s">
        <v>3697</v>
      </c>
      <c r="O175" s="18">
        <v>43549</v>
      </c>
    </row>
    <row r="176" spans="1:15" hidden="1" outlineLevel="1">
      <c r="A176" s="1">
        <v>42</v>
      </c>
      <c r="F176" s="22">
        <v>18120464</v>
      </c>
      <c r="M176" s="2" t="s">
        <v>3351</v>
      </c>
      <c r="N176" s="54" t="s">
        <v>3698</v>
      </c>
      <c r="O176" s="18">
        <v>43545</v>
      </c>
    </row>
    <row r="177" spans="1:17" hidden="1" outlineLevel="1">
      <c r="A177" s="1">
        <v>43</v>
      </c>
      <c r="F177" s="22">
        <v>18120465</v>
      </c>
      <c r="M177" s="2" t="s">
        <v>3351</v>
      </c>
      <c r="N177" s="54" t="s">
        <v>3698</v>
      </c>
      <c r="O177" s="18">
        <v>43545</v>
      </c>
    </row>
    <row r="178" spans="1:17" hidden="1" outlineLevel="1">
      <c r="A178" s="1">
        <v>44</v>
      </c>
      <c r="F178" s="22">
        <v>18120466</v>
      </c>
      <c r="M178" s="2" t="s">
        <v>3352</v>
      </c>
      <c r="N178" s="54" t="s">
        <v>3698</v>
      </c>
      <c r="O178" s="18">
        <v>43544</v>
      </c>
    </row>
    <row r="179" spans="1:17" hidden="1" outlineLevel="1">
      <c r="A179" s="1">
        <v>45</v>
      </c>
      <c r="F179" s="22">
        <v>18120467</v>
      </c>
      <c r="N179" s="54" t="s">
        <v>3687</v>
      </c>
      <c r="O179" s="18">
        <v>43544</v>
      </c>
    </row>
    <row r="180" spans="1:17" hidden="1" outlineLevel="1">
      <c r="A180" s="1">
        <v>46</v>
      </c>
      <c r="F180" s="22">
        <v>18120468</v>
      </c>
      <c r="N180" s="54" t="s">
        <v>3684</v>
      </c>
      <c r="O180" s="18">
        <v>43545</v>
      </c>
    </row>
    <row r="181" spans="1:17" hidden="1" outlineLevel="1">
      <c r="A181" s="1">
        <v>47</v>
      </c>
      <c r="F181" s="22">
        <v>18120469</v>
      </c>
      <c r="N181" s="54" t="s">
        <v>3684</v>
      </c>
      <c r="O181" s="18">
        <v>43545</v>
      </c>
    </row>
    <row r="182" spans="1:17" hidden="1" outlineLevel="1">
      <c r="A182" s="1">
        <v>48</v>
      </c>
      <c r="F182" s="22">
        <v>18120470</v>
      </c>
      <c r="M182" s="2" t="s">
        <v>3353</v>
      </c>
      <c r="N182" s="54" t="s">
        <v>3671</v>
      </c>
      <c r="O182" s="18">
        <v>43593</v>
      </c>
    </row>
    <row r="183" spans="1:17" hidden="1" outlineLevel="1">
      <c r="A183" s="1">
        <v>49</v>
      </c>
      <c r="F183" s="22">
        <v>18120471</v>
      </c>
      <c r="M183" s="2" t="s">
        <v>3354</v>
      </c>
      <c r="N183" s="54" t="s">
        <v>3671</v>
      </c>
      <c r="O183" s="18">
        <v>43593</v>
      </c>
    </row>
    <row r="184" spans="1:17" hidden="1" outlineLevel="1">
      <c r="A184" s="1">
        <v>50</v>
      </c>
      <c r="F184" s="22">
        <v>18120526</v>
      </c>
      <c r="N184" s="54" t="s">
        <v>3659</v>
      </c>
      <c r="O184" s="18">
        <v>43570</v>
      </c>
    </row>
    <row r="185" spans="1:17" hidden="1" outlineLevel="1">
      <c r="A185" s="1">
        <v>51</v>
      </c>
      <c r="F185" s="22">
        <v>18120527</v>
      </c>
      <c r="N185" s="54" t="s">
        <v>3659</v>
      </c>
      <c r="O185" s="18">
        <v>43570</v>
      </c>
    </row>
    <row r="186" spans="1:17" hidden="1" outlineLevel="1">
      <c r="A186" s="1">
        <v>52</v>
      </c>
      <c r="F186" s="22">
        <v>18120528</v>
      </c>
      <c r="N186" s="54" t="s">
        <v>3699</v>
      </c>
      <c r="O186" s="18">
        <v>43664</v>
      </c>
    </row>
    <row r="187" spans="1:17" hidden="1" outlineLevel="1">
      <c r="A187" s="1">
        <v>53</v>
      </c>
      <c r="F187" s="22">
        <v>18120529</v>
      </c>
      <c r="M187" s="2" t="s">
        <v>3355</v>
      </c>
      <c r="N187" s="54" t="s">
        <v>3635</v>
      </c>
      <c r="O187" s="18">
        <v>43675</v>
      </c>
    </row>
    <row r="188" spans="1:17" hidden="1" outlineLevel="1">
      <c r="A188" s="1">
        <v>54</v>
      </c>
      <c r="F188" s="22">
        <v>18120530</v>
      </c>
      <c r="N188" s="54" t="s">
        <v>3700</v>
      </c>
      <c r="O188" s="18">
        <v>43571</v>
      </c>
    </row>
    <row r="189" spans="1:17" hidden="1" outlineLevel="1">
      <c r="A189" s="8"/>
      <c r="B189" s="58"/>
      <c r="C189" s="159"/>
      <c r="D189" s="8"/>
      <c r="E189" s="8"/>
      <c r="F189" s="9"/>
      <c r="G189" s="8"/>
      <c r="H189" s="8"/>
      <c r="I189" s="8"/>
      <c r="J189" s="132"/>
      <c r="K189" s="8"/>
      <c r="L189" s="58"/>
      <c r="M189" s="8"/>
      <c r="N189" s="133"/>
      <c r="O189" s="58"/>
      <c r="P189" s="8"/>
      <c r="Q189" s="8"/>
    </row>
    <row r="190" spans="1:17" hidden="1" outlineLevel="1">
      <c r="A190" s="1">
        <v>1</v>
      </c>
      <c r="B190" s="11">
        <v>43560</v>
      </c>
      <c r="C190" s="160">
        <v>300</v>
      </c>
      <c r="E190" s="1" t="s">
        <v>3247</v>
      </c>
      <c r="F190" s="22">
        <v>18090044</v>
      </c>
      <c r="N190" s="54" t="s">
        <v>3682</v>
      </c>
      <c r="O190" s="18">
        <v>43564</v>
      </c>
    </row>
    <row r="191" spans="1:17" hidden="1" outlineLevel="1">
      <c r="A191" s="1">
        <v>2</v>
      </c>
      <c r="F191" s="22">
        <v>18090045</v>
      </c>
      <c r="N191" s="54" t="s">
        <v>3682</v>
      </c>
      <c r="O191" s="18">
        <v>43564</v>
      </c>
    </row>
    <row r="192" spans="1:17" hidden="1" outlineLevel="1">
      <c r="A192" s="1">
        <v>3</v>
      </c>
      <c r="E192" s="1" t="s">
        <v>3248</v>
      </c>
      <c r="F192" s="22">
        <v>18050145</v>
      </c>
      <c r="N192" s="54" t="s">
        <v>3682</v>
      </c>
      <c r="O192" s="18">
        <v>43564</v>
      </c>
    </row>
    <row r="193" spans="1:17" hidden="1" outlineLevel="1">
      <c r="A193" s="8"/>
      <c r="B193" s="58"/>
      <c r="C193" s="159"/>
      <c r="D193" s="8"/>
      <c r="E193" s="8"/>
      <c r="F193" s="9"/>
      <c r="G193" s="8"/>
      <c r="H193" s="8"/>
      <c r="I193" s="8"/>
      <c r="J193" s="132"/>
      <c r="K193" s="8"/>
      <c r="L193" s="58"/>
      <c r="M193" s="8"/>
      <c r="N193" s="133"/>
      <c r="O193" s="58"/>
      <c r="P193" s="8"/>
      <c r="Q193" s="8"/>
    </row>
    <row r="194" spans="1:17" hidden="1" outlineLevel="1">
      <c r="A194" s="1">
        <v>1</v>
      </c>
      <c r="B194" s="11">
        <v>43564</v>
      </c>
      <c r="C194" s="160">
        <v>1062</v>
      </c>
      <c r="E194" s="1" t="s">
        <v>3249</v>
      </c>
      <c r="F194" s="22">
        <v>4016000066328</v>
      </c>
      <c r="N194" s="54" t="s">
        <v>3701</v>
      </c>
      <c r="O194" s="18">
        <v>43573</v>
      </c>
    </row>
    <row r="195" spans="1:17" hidden="1" outlineLevel="1">
      <c r="A195" s="1">
        <v>2</v>
      </c>
      <c r="F195" s="22">
        <v>4016000066329</v>
      </c>
      <c r="N195" s="54" t="s">
        <v>3701</v>
      </c>
      <c r="O195" s="18">
        <v>43573</v>
      </c>
    </row>
    <row r="196" spans="1:17" hidden="1" outlineLevel="1">
      <c r="A196" s="1">
        <v>3</v>
      </c>
      <c r="F196" s="22">
        <v>4016000066330</v>
      </c>
      <c r="N196" s="54" t="s">
        <v>3701</v>
      </c>
      <c r="O196" s="18">
        <v>43574</v>
      </c>
    </row>
    <row r="197" spans="1:17" hidden="1" outlineLevel="1">
      <c r="A197" s="1">
        <v>4</v>
      </c>
      <c r="F197" s="22">
        <v>4016000066331</v>
      </c>
      <c r="N197" s="54" t="s">
        <v>3701</v>
      </c>
      <c r="O197" s="18">
        <v>43574</v>
      </c>
    </row>
    <row r="198" spans="1:17" hidden="1" outlineLevel="1">
      <c r="A198" s="1">
        <v>5</v>
      </c>
      <c r="F198" s="22">
        <v>4016000066260</v>
      </c>
      <c r="N198" s="54" t="s">
        <v>3701</v>
      </c>
      <c r="O198" s="18">
        <v>43573</v>
      </c>
    </row>
    <row r="199" spans="1:17" hidden="1" outlineLevel="1">
      <c r="A199" s="1">
        <v>6</v>
      </c>
      <c r="F199" s="22">
        <v>4016000060785</v>
      </c>
      <c r="N199" s="54" t="s">
        <v>3701</v>
      </c>
      <c r="O199" s="18">
        <v>43577</v>
      </c>
    </row>
    <row r="200" spans="1:17" hidden="1" outlineLevel="1">
      <c r="A200" s="1">
        <v>7</v>
      </c>
      <c r="F200" s="22">
        <v>4016000060786</v>
      </c>
      <c r="N200" s="54" t="s">
        <v>3701</v>
      </c>
      <c r="O200" s="18">
        <v>43574</v>
      </c>
    </row>
    <row r="201" spans="1:17" hidden="1" outlineLevel="1">
      <c r="A201" s="1">
        <v>8</v>
      </c>
      <c r="F201" s="22">
        <v>4016000060783</v>
      </c>
      <c r="N201" s="54" t="s">
        <v>3701</v>
      </c>
      <c r="O201" s="18">
        <v>43577</v>
      </c>
    </row>
    <row r="202" spans="1:17" hidden="1" outlineLevel="1">
      <c r="A202" s="1">
        <v>9</v>
      </c>
      <c r="F202" s="22">
        <v>4016000060784</v>
      </c>
      <c r="N202" s="54" t="s">
        <v>3701</v>
      </c>
      <c r="O202" s="18">
        <v>43577</v>
      </c>
    </row>
    <row r="203" spans="1:17" hidden="1" outlineLevel="1">
      <c r="A203" s="8"/>
      <c r="B203" s="58"/>
      <c r="C203" s="159"/>
      <c r="D203" s="8"/>
      <c r="E203" s="8"/>
      <c r="F203" s="9"/>
      <c r="G203" s="8"/>
      <c r="H203" s="8"/>
      <c r="I203" s="8"/>
      <c r="J203" s="132"/>
      <c r="K203" s="8"/>
      <c r="L203" s="58"/>
      <c r="M203" s="8"/>
      <c r="N203" s="133"/>
      <c r="O203" s="58"/>
      <c r="P203" s="8"/>
      <c r="Q203" s="8"/>
    </row>
    <row r="204" spans="1:17" hidden="1" outlineLevel="1">
      <c r="A204" s="1">
        <v>1</v>
      </c>
      <c r="B204" s="11">
        <v>43571</v>
      </c>
      <c r="C204" s="160">
        <v>340</v>
      </c>
      <c r="E204" s="1" t="s">
        <v>3250</v>
      </c>
      <c r="F204" s="22">
        <v>19031652</v>
      </c>
      <c r="N204" s="54" t="s">
        <v>3702</v>
      </c>
      <c r="O204" s="18">
        <v>44042</v>
      </c>
    </row>
    <row r="205" spans="1:17" hidden="1" outlineLevel="1">
      <c r="A205" s="1">
        <v>2</v>
      </c>
      <c r="F205" s="22">
        <v>19031653</v>
      </c>
      <c r="N205" s="54" t="s">
        <v>3702</v>
      </c>
      <c r="O205" s="18">
        <v>44042</v>
      </c>
    </row>
    <row r="206" spans="1:17" hidden="1" outlineLevel="1">
      <c r="A206" s="1">
        <v>3</v>
      </c>
      <c r="F206" s="22">
        <v>19031654</v>
      </c>
      <c r="N206" s="54" t="s">
        <v>104</v>
      </c>
      <c r="O206" s="18">
        <v>44043</v>
      </c>
    </row>
    <row r="207" spans="1:17" hidden="1" outlineLevel="1">
      <c r="A207" s="8"/>
      <c r="B207" s="58"/>
      <c r="C207" s="159"/>
      <c r="D207" s="8"/>
      <c r="E207" s="8"/>
      <c r="F207" s="9"/>
      <c r="G207" s="8"/>
      <c r="H207" s="8"/>
      <c r="I207" s="8"/>
      <c r="J207" s="132"/>
      <c r="K207" s="8"/>
      <c r="L207" s="58"/>
      <c r="M207" s="8"/>
      <c r="N207" s="133"/>
      <c r="O207" s="58"/>
      <c r="P207" s="8"/>
      <c r="Q207" s="8"/>
    </row>
    <row r="208" spans="1:17" hidden="1" outlineLevel="1">
      <c r="A208" s="1">
        <v>1</v>
      </c>
      <c r="B208" s="11">
        <v>43598</v>
      </c>
      <c r="C208" s="160">
        <v>424</v>
      </c>
      <c r="E208" s="1" t="s">
        <v>3244</v>
      </c>
      <c r="F208" s="22">
        <v>19041053</v>
      </c>
      <c r="N208" s="54" t="s">
        <v>3669</v>
      </c>
      <c r="O208" s="18">
        <v>43598</v>
      </c>
    </row>
    <row r="209" spans="1:17" hidden="1" outlineLevel="1">
      <c r="A209" s="8"/>
      <c r="B209" s="58"/>
      <c r="C209" s="159"/>
      <c r="D209" s="8"/>
      <c r="E209" s="8"/>
      <c r="F209" s="9"/>
      <c r="G209" s="8"/>
      <c r="H209" s="8"/>
      <c r="I209" s="8"/>
      <c r="J209" s="132"/>
      <c r="K209" s="8"/>
      <c r="L209" s="58"/>
      <c r="M209" s="8"/>
      <c r="N209" s="133"/>
      <c r="O209" s="58"/>
      <c r="P209" s="8"/>
      <c r="Q209" s="8"/>
    </row>
    <row r="210" spans="1:17" hidden="1" outlineLevel="1">
      <c r="A210" s="1">
        <v>1</v>
      </c>
      <c r="B210" s="11" t="s">
        <v>6940</v>
      </c>
      <c r="C210" s="160">
        <v>493</v>
      </c>
      <c r="E210" s="1" t="s">
        <v>3244</v>
      </c>
      <c r="F210" s="22">
        <v>19050358</v>
      </c>
      <c r="N210" s="54" t="s">
        <v>3703</v>
      </c>
      <c r="O210" s="18">
        <v>43636</v>
      </c>
      <c r="P210" s="1" t="s">
        <v>4017</v>
      </c>
    </row>
    <row r="211" spans="1:17" hidden="1" outlineLevel="1">
      <c r="A211" s="1">
        <v>2</v>
      </c>
      <c r="F211" s="22">
        <v>19050359</v>
      </c>
      <c r="N211" s="54" t="s">
        <v>3703</v>
      </c>
      <c r="O211" s="18">
        <v>43636</v>
      </c>
      <c r="P211" s="1" t="s">
        <v>4018</v>
      </c>
    </row>
    <row r="212" spans="1:17" hidden="1" outlineLevel="1">
      <c r="A212" s="1">
        <v>3</v>
      </c>
      <c r="F212" s="22">
        <v>19050360</v>
      </c>
      <c r="N212" s="54" t="s">
        <v>3635</v>
      </c>
      <c r="O212" s="18">
        <v>43640</v>
      </c>
      <c r="P212" s="1" t="s">
        <v>4019</v>
      </c>
    </row>
    <row r="213" spans="1:17" hidden="1" outlineLevel="1">
      <c r="A213" s="1">
        <v>4</v>
      </c>
      <c r="F213" s="22">
        <v>19050361</v>
      </c>
      <c r="N213" s="54" t="s">
        <v>3635</v>
      </c>
      <c r="O213" s="18">
        <v>43640</v>
      </c>
    </row>
    <row r="214" spans="1:17" hidden="1" outlineLevel="1">
      <c r="A214" s="1">
        <v>5</v>
      </c>
      <c r="F214" s="22">
        <v>19050362</v>
      </c>
      <c r="M214" s="2" t="s">
        <v>3356</v>
      </c>
      <c r="N214" s="54" t="s">
        <v>3649</v>
      </c>
      <c r="O214" s="18">
        <v>43626</v>
      </c>
    </row>
    <row r="215" spans="1:17" hidden="1" outlineLevel="1">
      <c r="A215" s="1">
        <v>6</v>
      </c>
      <c r="F215" s="22">
        <v>19050363</v>
      </c>
      <c r="N215" s="54" t="s">
        <v>3704</v>
      </c>
      <c r="O215" s="18">
        <v>43626</v>
      </c>
    </row>
    <row r="216" spans="1:17" hidden="1" outlineLevel="1">
      <c r="A216" s="1">
        <v>7</v>
      </c>
      <c r="F216" s="22">
        <v>19050364</v>
      </c>
      <c r="N216" s="54" t="s">
        <v>3705</v>
      </c>
      <c r="O216" s="18">
        <v>43623</v>
      </c>
    </row>
    <row r="217" spans="1:17" hidden="1" outlineLevel="1">
      <c r="A217" s="1">
        <v>8</v>
      </c>
      <c r="F217" s="22">
        <v>19050365</v>
      </c>
      <c r="M217" s="2" t="s">
        <v>3357</v>
      </c>
      <c r="N217" s="54" t="s">
        <v>3706</v>
      </c>
      <c r="O217" s="18">
        <v>43623</v>
      </c>
    </row>
    <row r="218" spans="1:17" hidden="1" outlineLevel="1">
      <c r="A218" s="1">
        <v>9</v>
      </c>
      <c r="F218" s="22">
        <v>19050366</v>
      </c>
      <c r="N218" s="54" t="s">
        <v>3707</v>
      </c>
      <c r="O218" s="18">
        <v>43620</v>
      </c>
    </row>
    <row r="219" spans="1:17" hidden="1" outlineLevel="1">
      <c r="A219" s="1">
        <v>10</v>
      </c>
      <c r="F219" s="22">
        <v>19050367</v>
      </c>
      <c r="N219" s="54" t="s">
        <v>3707</v>
      </c>
      <c r="O219" s="18">
        <v>43620</v>
      </c>
    </row>
    <row r="220" spans="1:17" hidden="1" outlineLevel="1">
      <c r="A220" s="1">
        <v>11</v>
      </c>
      <c r="F220" s="22">
        <v>19050368</v>
      </c>
      <c r="M220" s="2" t="s">
        <v>3358</v>
      </c>
      <c r="N220" s="54" t="s">
        <v>3708</v>
      </c>
      <c r="O220" s="18">
        <v>43635</v>
      </c>
    </row>
    <row r="221" spans="1:17" hidden="1" outlineLevel="1">
      <c r="A221" s="1">
        <v>12</v>
      </c>
      <c r="F221" s="22">
        <v>19050369</v>
      </c>
      <c r="M221" s="2" t="s">
        <v>3358</v>
      </c>
      <c r="N221" s="54" t="s">
        <v>3708</v>
      </c>
      <c r="O221" s="18">
        <v>43635</v>
      </c>
    </row>
    <row r="222" spans="1:17" hidden="1" outlineLevel="1">
      <c r="A222" s="1">
        <v>13</v>
      </c>
      <c r="F222" s="22">
        <v>19050370</v>
      </c>
      <c r="N222" s="54" t="s">
        <v>3661</v>
      </c>
      <c r="O222" s="18">
        <v>43635</v>
      </c>
    </row>
    <row r="223" spans="1:17" hidden="1" outlineLevel="1">
      <c r="A223" s="1">
        <v>14</v>
      </c>
      <c r="F223" s="22">
        <v>19050371</v>
      </c>
      <c r="N223" s="54" t="s">
        <v>3709</v>
      </c>
      <c r="O223" s="18">
        <v>43635</v>
      </c>
    </row>
    <row r="224" spans="1:17" hidden="1" outlineLevel="1">
      <c r="A224" s="1">
        <v>15</v>
      </c>
      <c r="F224" s="22">
        <v>19050415</v>
      </c>
      <c r="M224" s="2" t="s">
        <v>3359</v>
      </c>
      <c r="N224" s="54" t="s">
        <v>3649</v>
      </c>
      <c r="O224" s="18">
        <v>43630</v>
      </c>
    </row>
    <row r="225" spans="1:17" hidden="1" outlineLevel="1">
      <c r="A225" s="1">
        <v>16</v>
      </c>
      <c r="F225" s="22">
        <v>19050416</v>
      </c>
      <c r="N225" s="54" t="s">
        <v>3710</v>
      </c>
      <c r="O225" s="18">
        <v>43633</v>
      </c>
    </row>
    <row r="226" spans="1:17" hidden="1" outlineLevel="1">
      <c r="A226" s="1">
        <v>17</v>
      </c>
      <c r="F226" s="22">
        <v>19050417</v>
      </c>
      <c r="M226" s="2" t="s">
        <v>3360</v>
      </c>
      <c r="N226" s="54" t="s">
        <v>3711</v>
      </c>
      <c r="O226" s="18">
        <v>43633</v>
      </c>
    </row>
    <row r="227" spans="1:17" hidden="1" outlineLevel="1">
      <c r="A227" s="1">
        <v>18</v>
      </c>
      <c r="F227" s="22">
        <v>19050418</v>
      </c>
      <c r="M227" s="2" t="s">
        <v>3361</v>
      </c>
      <c r="N227" s="54" t="s">
        <v>3712</v>
      </c>
      <c r="O227" s="18">
        <v>43633</v>
      </c>
    </row>
    <row r="228" spans="1:17" hidden="1" outlineLevel="1">
      <c r="A228" s="1">
        <v>19</v>
      </c>
      <c r="F228" s="22">
        <v>19050419</v>
      </c>
      <c r="N228" s="54" t="s">
        <v>3712</v>
      </c>
      <c r="O228" s="18">
        <v>43636</v>
      </c>
    </row>
    <row r="229" spans="1:17" hidden="1" outlineLevel="1">
      <c r="A229" s="1">
        <v>20</v>
      </c>
      <c r="F229" s="22">
        <v>19050420</v>
      </c>
      <c r="N229" s="54" t="s">
        <v>3635</v>
      </c>
      <c r="O229" s="18">
        <v>43640</v>
      </c>
    </row>
    <row r="230" spans="1:17" hidden="1" outlineLevel="1">
      <c r="A230" s="8"/>
      <c r="B230" s="58"/>
      <c r="C230" s="159"/>
      <c r="D230" s="8"/>
      <c r="E230" s="8"/>
      <c r="F230" s="9"/>
      <c r="G230" s="8"/>
      <c r="H230" s="8"/>
      <c r="I230" s="8"/>
      <c r="J230" s="132"/>
      <c r="K230" s="8"/>
      <c r="L230" s="58"/>
      <c r="M230" s="8"/>
      <c r="N230" s="133"/>
      <c r="O230" s="58"/>
      <c r="P230" s="8"/>
      <c r="Q230" s="8"/>
    </row>
    <row r="231" spans="1:17" hidden="1" outlineLevel="1">
      <c r="A231" s="1">
        <v>1</v>
      </c>
      <c r="B231" s="11">
        <v>43640</v>
      </c>
      <c r="C231" s="160">
        <v>578</v>
      </c>
      <c r="E231" s="1" t="s">
        <v>3244</v>
      </c>
      <c r="F231" s="22">
        <v>19041306</v>
      </c>
      <c r="M231" s="2" t="s">
        <v>3362</v>
      </c>
      <c r="N231" s="54" t="s">
        <v>3713</v>
      </c>
      <c r="O231" s="18">
        <v>43651</v>
      </c>
      <c r="P231" s="1" t="s">
        <v>4020</v>
      </c>
    </row>
    <row r="232" spans="1:17" hidden="1" outlineLevel="1">
      <c r="A232" s="1">
        <v>2</v>
      </c>
      <c r="F232" s="22">
        <v>19051263</v>
      </c>
      <c r="M232" s="2" t="s">
        <v>3363</v>
      </c>
      <c r="N232" s="54" t="s">
        <v>3714</v>
      </c>
      <c r="O232" s="18">
        <v>43658</v>
      </c>
    </row>
    <row r="233" spans="1:17" hidden="1" outlineLevel="1">
      <c r="A233" s="1">
        <v>3</v>
      </c>
      <c r="F233" s="22">
        <v>19051264</v>
      </c>
      <c r="M233" s="2" t="s">
        <v>3363</v>
      </c>
      <c r="N233" s="54" t="s">
        <v>3714</v>
      </c>
      <c r="O233" s="18">
        <v>43658</v>
      </c>
    </row>
    <row r="234" spans="1:17" hidden="1" outlineLevel="1">
      <c r="A234" s="1">
        <v>4</v>
      </c>
      <c r="F234" s="22">
        <v>19051265</v>
      </c>
      <c r="N234" s="54" t="s">
        <v>3641</v>
      </c>
      <c r="O234" s="18">
        <v>43649</v>
      </c>
    </row>
    <row r="235" spans="1:17" hidden="1" outlineLevel="1">
      <c r="A235" s="1">
        <v>5</v>
      </c>
      <c r="F235" s="22">
        <v>19051266</v>
      </c>
      <c r="N235" s="54" t="s">
        <v>3641</v>
      </c>
      <c r="O235" s="18">
        <v>43649</v>
      </c>
    </row>
    <row r="236" spans="1:17" hidden="1" outlineLevel="1">
      <c r="A236" s="1">
        <v>6</v>
      </c>
      <c r="F236" s="22">
        <v>19051267</v>
      </c>
      <c r="N236" s="54" t="s">
        <v>3715</v>
      </c>
      <c r="O236" s="18">
        <v>43665</v>
      </c>
    </row>
    <row r="237" spans="1:17" hidden="1" outlineLevel="1">
      <c r="A237" s="1">
        <v>7</v>
      </c>
      <c r="F237" s="22">
        <v>19051268</v>
      </c>
      <c r="N237" s="54" t="s">
        <v>3641</v>
      </c>
      <c r="O237" s="18">
        <v>43665</v>
      </c>
    </row>
    <row r="238" spans="1:17" hidden="1" outlineLevel="1">
      <c r="A238" s="1">
        <v>8</v>
      </c>
      <c r="F238" s="22">
        <v>19051269</v>
      </c>
      <c r="N238" s="54" t="s">
        <v>3716</v>
      </c>
      <c r="O238" s="18">
        <v>43648</v>
      </c>
    </row>
    <row r="239" spans="1:17" hidden="1" outlineLevel="1">
      <c r="A239" s="1">
        <v>9</v>
      </c>
      <c r="F239" s="22">
        <v>19051270</v>
      </c>
      <c r="N239" s="54" t="s">
        <v>3716</v>
      </c>
      <c r="O239" s="18">
        <v>43648</v>
      </c>
    </row>
    <row r="240" spans="1:17" hidden="1" outlineLevel="1">
      <c r="A240" s="1">
        <v>10</v>
      </c>
      <c r="F240" s="22" t="s">
        <v>3284</v>
      </c>
      <c r="N240" s="54" t="s">
        <v>3716</v>
      </c>
      <c r="O240" s="18">
        <v>43648</v>
      </c>
    </row>
    <row r="241" spans="1:17" hidden="1" outlineLevel="1">
      <c r="A241" s="1">
        <v>11</v>
      </c>
      <c r="F241" s="22">
        <v>19061231</v>
      </c>
      <c r="N241" s="54" t="s">
        <v>3717</v>
      </c>
      <c r="O241" s="18">
        <v>43651</v>
      </c>
    </row>
    <row r="242" spans="1:17" hidden="1" outlineLevel="1">
      <c r="A242" s="1">
        <v>12</v>
      </c>
      <c r="F242" s="22">
        <v>19061232</v>
      </c>
      <c r="M242" s="2" t="s">
        <v>3364</v>
      </c>
      <c r="N242" s="54" t="s">
        <v>3718</v>
      </c>
      <c r="O242" s="18">
        <v>43655</v>
      </c>
    </row>
    <row r="243" spans="1:17" hidden="1" outlineLevel="1">
      <c r="A243" s="1">
        <v>13</v>
      </c>
      <c r="F243" s="22">
        <v>19061233</v>
      </c>
      <c r="N243" s="54" t="s">
        <v>3719</v>
      </c>
      <c r="O243" s="18">
        <v>43651</v>
      </c>
    </row>
    <row r="244" spans="1:17" hidden="1" outlineLevel="1">
      <c r="A244" s="1">
        <v>14</v>
      </c>
      <c r="F244" s="22">
        <v>19061234</v>
      </c>
      <c r="N244" s="54" t="s">
        <v>3719</v>
      </c>
      <c r="O244" s="18">
        <v>43651</v>
      </c>
    </row>
    <row r="245" spans="1:17" hidden="1" outlineLevel="1">
      <c r="A245" s="1">
        <v>15</v>
      </c>
      <c r="F245" s="22">
        <v>19061235</v>
      </c>
      <c r="M245" s="2" t="s">
        <v>3365</v>
      </c>
      <c r="N245" s="54" t="s">
        <v>3720</v>
      </c>
      <c r="O245" s="18">
        <v>43655</v>
      </c>
    </row>
    <row r="246" spans="1:17" hidden="1" outlineLevel="1">
      <c r="A246" s="1">
        <v>16</v>
      </c>
      <c r="F246" s="22">
        <v>19061236</v>
      </c>
      <c r="M246" s="2" t="s">
        <v>3365</v>
      </c>
      <c r="N246" s="54" t="s">
        <v>3720</v>
      </c>
      <c r="O246" s="18">
        <v>43655</v>
      </c>
    </row>
    <row r="247" spans="1:17" hidden="1" outlineLevel="1">
      <c r="A247" s="1">
        <v>17</v>
      </c>
      <c r="F247" s="22">
        <v>19061237</v>
      </c>
      <c r="N247" s="54" t="s">
        <v>3721</v>
      </c>
      <c r="O247" s="18">
        <v>43649</v>
      </c>
    </row>
    <row r="248" spans="1:17" hidden="1" outlineLevel="1">
      <c r="A248" s="1">
        <v>18</v>
      </c>
      <c r="F248" s="22">
        <v>19061238</v>
      </c>
      <c r="N248" s="54" t="s">
        <v>3716</v>
      </c>
      <c r="O248" s="18">
        <v>43640</v>
      </c>
    </row>
    <row r="249" spans="1:17" hidden="1" outlineLevel="1">
      <c r="A249" s="1">
        <v>19</v>
      </c>
      <c r="F249" s="22">
        <v>19061239</v>
      </c>
      <c r="N249" s="54" t="s">
        <v>3630</v>
      </c>
      <c r="O249" s="18">
        <v>43657</v>
      </c>
    </row>
    <row r="250" spans="1:17" hidden="1" outlineLevel="1">
      <c r="A250" s="1">
        <v>20</v>
      </c>
      <c r="F250" s="22">
        <v>19061240</v>
      </c>
      <c r="M250" s="2" t="s">
        <v>3366</v>
      </c>
      <c r="N250" s="54" t="s">
        <v>3713</v>
      </c>
      <c r="O250" s="18">
        <v>43641</v>
      </c>
    </row>
    <row r="251" spans="1:17" hidden="1" outlineLevel="1">
      <c r="A251" s="8"/>
      <c r="B251" s="58"/>
      <c r="C251" s="159"/>
      <c r="D251" s="8"/>
      <c r="E251" s="8"/>
      <c r="F251" s="9"/>
      <c r="G251" s="8"/>
      <c r="H251" s="8"/>
      <c r="I251" s="8"/>
      <c r="J251" s="132"/>
      <c r="K251" s="8"/>
      <c r="L251" s="58"/>
      <c r="M251" s="8"/>
      <c r="N251" s="133"/>
      <c r="O251" s="58"/>
      <c r="P251" s="8"/>
      <c r="Q251" s="8"/>
    </row>
    <row r="252" spans="1:17" hidden="1" outlineLevel="1">
      <c r="A252" s="1">
        <v>1</v>
      </c>
      <c r="B252" s="11" t="s">
        <v>6941</v>
      </c>
      <c r="C252" s="160">
        <v>647</v>
      </c>
      <c r="E252" s="1" t="s">
        <v>3244</v>
      </c>
      <c r="F252" s="22">
        <v>19061991</v>
      </c>
      <c r="M252" s="2" t="s">
        <v>3367</v>
      </c>
      <c r="N252" s="54" t="s">
        <v>3722</v>
      </c>
      <c r="O252" s="18">
        <v>43670</v>
      </c>
    </row>
    <row r="253" spans="1:17" hidden="1" outlineLevel="1">
      <c r="A253" s="1">
        <v>2</v>
      </c>
      <c r="F253" s="22">
        <v>19061992</v>
      </c>
      <c r="M253" s="2" t="s">
        <v>3368</v>
      </c>
      <c r="N253" s="54" t="s">
        <v>3723</v>
      </c>
      <c r="O253" s="18">
        <v>43670</v>
      </c>
    </row>
    <row r="254" spans="1:17" hidden="1" outlineLevel="1">
      <c r="A254" s="1">
        <v>3</v>
      </c>
      <c r="F254" s="22">
        <v>19061993</v>
      </c>
      <c r="N254" s="54" t="s">
        <v>3641</v>
      </c>
      <c r="O254" s="18">
        <v>43675</v>
      </c>
    </row>
    <row r="255" spans="1:17" hidden="1" outlineLevel="1">
      <c r="A255" s="1">
        <v>4</v>
      </c>
      <c r="F255" s="22">
        <v>19061994</v>
      </c>
      <c r="M255" s="2" t="s">
        <v>3369</v>
      </c>
      <c r="N255" s="54" t="s">
        <v>3724</v>
      </c>
      <c r="O255" s="18">
        <v>43670</v>
      </c>
    </row>
    <row r="256" spans="1:17" hidden="1" outlineLevel="1">
      <c r="A256" s="1">
        <v>5</v>
      </c>
      <c r="F256" s="22">
        <v>19061995</v>
      </c>
      <c r="M256" s="2" t="s">
        <v>3370</v>
      </c>
      <c r="N256" s="54" t="s">
        <v>3680</v>
      </c>
      <c r="O256" s="18">
        <v>43664</v>
      </c>
    </row>
    <row r="257" spans="1:17" hidden="1" outlineLevel="1">
      <c r="A257" s="1">
        <v>6</v>
      </c>
      <c r="F257" s="22">
        <v>19061996</v>
      </c>
      <c r="N257" s="54" t="s">
        <v>3649</v>
      </c>
      <c r="O257" s="18">
        <v>43661</v>
      </c>
    </row>
    <row r="258" spans="1:17" hidden="1" outlineLevel="1">
      <c r="A258" s="1">
        <v>7</v>
      </c>
      <c r="F258" s="22">
        <v>19061997</v>
      </c>
      <c r="M258" s="2" t="s">
        <v>3371</v>
      </c>
      <c r="N258" s="54" t="s">
        <v>3725</v>
      </c>
      <c r="O258" s="18">
        <v>43658</v>
      </c>
    </row>
    <row r="259" spans="1:17" hidden="1" outlineLevel="1">
      <c r="A259" s="1">
        <v>8</v>
      </c>
      <c r="F259" s="22">
        <v>19061998</v>
      </c>
      <c r="M259" s="2" t="s">
        <v>3372</v>
      </c>
      <c r="N259" s="54" t="s">
        <v>3726</v>
      </c>
      <c r="O259" s="18">
        <v>43662</v>
      </c>
    </row>
    <row r="260" spans="1:17" hidden="1" outlineLevel="1">
      <c r="A260" s="1">
        <v>9</v>
      </c>
      <c r="F260" s="22">
        <v>19061999</v>
      </c>
      <c r="N260" s="54" t="s">
        <v>3727</v>
      </c>
      <c r="O260" s="18">
        <v>43665</v>
      </c>
    </row>
    <row r="261" spans="1:17" hidden="1" outlineLevel="1">
      <c r="A261" s="1">
        <v>10</v>
      </c>
      <c r="F261" s="22">
        <v>19062000</v>
      </c>
      <c r="N261" s="54" t="s">
        <v>3728</v>
      </c>
      <c r="O261" s="18">
        <v>43665</v>
      </c>
    </row>
    <row r="262" spans="1:17" hidden="1" outlineLevel="1">
      <c r="A262" s="1">
        <v>11</v>
      </c>
      <c r="F262" s="22">
        <v>19062001</v>
      </c>
      <c r="N262" s="54" t="s">
        <v>3703</v>
      </c>
      <c r="O262" s="18">
        <v>43655</v>
      </c>
    </row>
    <row r="263" spans="1:17" hidden="1" outlineLevel="1">
      <c r="A263" s="1">
        <v>12</v>
      </c>
      <c r="F263" s="22">
        <v>19062002</v>
      </c>
      <c r="M263" s="2" t="s">
        <v>3373</v>
      </c>
      <c r="N263" s="54" t="s">
        <v>3729</v>
      </c>
      <c r="O263" s="18">
        <v>43657</v>
      </c>
    </row>
    <row r="264" spans="1:17" hidden="1" outlineLevel="1">
      <c r="A264" s="1">
        <v>13</v>
      </c>
      <c r="F264" s="22">
        <v>19062003</v>
      </c>
      <c r="M264" s="2" t="s">
        <v>3374</v>
      </c>
      <c r="N264" s="54" t="s">
        <v>3730</v>
      </c>
      <c r="O264" s="18">
        <v>43669</v>
      </c>
    </row>
    <row r="265" spans="1:17" hidden="1" outlineLevel="1">
      <c r="A265" s="1">
        <v>14</v>
      </c>
      <c r="F265" s="22">
        <v>19062004</v>
      </c>
      <c r="I265" s="2" t="s">
        <v>3297</v>
      </c>
      <c r="M265" s="2" t="s">
        <v>3375</v>
      </c>
      <c r="N265" s="54" t="s">
        <v>3731</v>
      </c>
      <c r="O265" s="18">
        <v>43668</v>
      </c>
    </row>
    <row r="266" spans="1:17" hidden="1" outlineLevel="1">
      <c r="A266" s="1">
        <v>15</v>
      </c>
      <c r="F266" s="22">
        <v>19062005</v>
      </c>
      <c r="N266" s="54" t="s">
        <v>3732</v>
      </c>
      <c r="O266" s="18">
        <v>43664</v>
      </c>
    </row>
    <row r="267" spans="1:17" hidden="1" outlineLevel="1">
      <c r="A267" s="1">
        <v>16</v>
      </c>
      <c r="F267" s="22">
        <v>19062006</v>
      </c>
      <c r="N267" s="54" t="s">
        <v>3733</v>
      </c>
      <c r="O267" s="18">
        <v>43665</v>
      </c>
    </row>
    <row r="268" spans="1:17" hidden="1" outlineLevel="1">
      <c r="A268" s="1">
        <v>17</v>
      </c>
      <c r="F268" s="22">
        <v>19062007</v>
      </c>
      <c r="N268" s="54" t="s">
        <v>3734</v>
      </c>
      <c r="O268" s="18">
        <v>43663</v>
      </c>
    </row>
    <row r="269" spans="1:17" hidden="1" outlineLevel="1">
      <c r="A269" s="1">
        <v>18</v>
      </c>
      <c r="F269" s="22">
        <v>19062008</v>
      </c>
      <c r="N269" s="54" t="s">
        <v>3734</v>
      </c>
      <c r="O269" s="18">
        <v>43663</v>
      </c>
    </row>
    <row r="270" spans="1:17" hidden="1" outlineLevel="1">
      <c r="A270" s="1">
        <v>19</v>
      </c>
      <c r="F270" s="22">
        <v>19062009</v>
      </c>
      <c r="N270" s="54" t="s">
        <v>3734</v>
      </c>
      <c r="O270" s="18">
        <v>43663</v>
      </c>
    </row>
    <row r="271" spans="1:17" hidden="1" outlineLevel="1">
      <c r="A271" s="1">
        <v>20</v>
      </c>
      <c r="F271" s="22">
        <v>19062010</v>
      </c>
      <c r="N271" s="54" t="s">
        <v>3734</v>
      </c>
      <c r="O271" s="18">
        <v>43663</v>
      </c>
    </row>
    <row r="272" spans="1:17" hidden="1" outlineLevel="1">
      <c r="A272" s="8"/>
      <c r="B272" s="58"/>
      <c r="C272" s="159"/>
      <c r="D272" s="8"/>
      <c r="E272" s="8"/>
      <c r="F272" s="9"/>
      <c r="G272" s="8"/>
      <c r="H272" s="8"/>
      <c r="I272" s="8"/>
      <c r="J272" s="132"/>
      <c r="K272" s="8"/>
      <c r="L272" s="58"/>
      <c r="M272" s="8"/>
      <c r="N272" s="133"/>
      <c r="O272" s="58"/>
      <c r="P272" s="8"/>
      <c r="Q272" s="8"/>
    </row>
    <row r="273" spans="1:16" hidden="1" outlineLevel="1">
      <c r="A273" s="1">
        <v>1</v>
      </c>
      <c r="B273" s="11" t="s">
        <v>6942</v>
      </c>
      <c r="C273" s="160">
        <v>697</v>
      </c>
      <c r="E273" s="1" t="s">
        <v>3244</v>
      </c>
      <c r="F273" s="22">
        <v>19070559</v>
      </c>
      <c r="N273" s="54" t="s">
        <v>3735</v>
      </c>
      <c r="O273" s="18">
        <v>43686</v>
      </c>
      <c r="P273" s="1" t="s">
        <v>4021</v>
      </c>
    </row>
    <row r="274" spans="1:16" hidden="1" outlineLevel="1">
      <c r="A274" s="1">
        <v>2</v>
      </c>
      <c r="F274" s="22">
        <v>19070560</v>
      </c>
      <c r="M274" s="2" t="s">
        <v>3376</v>
      </c>
      <c r="N274" s="54" t="s">
        <v>3736</v>
      </c>
      <c r="O274" s="18">
        <v>43678</v>
      </c>
      <c r="P274" s="1" t="s">
        <v>4022</v>
      </c>
    </row>
    <row r="275" spans="1:16" hidden="1" outlineLevel="1">
      <c r="A275" s="1">
        <v>3</v>
      </c>
      <c r="F275" s="22">
        <v>19070561</v>
      </c>
      <c r="N275" s="54" t="s">
        <v>3737</v>
      </c>
      <c r="O275" s="18">
        <v>44057</v>
      </c>
    </row>
    <row r="276" spans="1:16" hidden="1" outlineLevel="1">
      <c r="A276" s="1">
        <v>4</v>
      </c>
      <c r="F276" s="22">
        <v>19070562</v>
      </c>
      <c r="N276" s="54" t="s">
        <v>3737</v>
      </c>
      <c r="O276" s="18">
        <v>44057</v>
      </c>
    </row>
    <row r="277" spans="1:16" hidden="1" outlineLevel="1">
      <c r="A277" s="1">
        <v>5</v>
      </c>
      <c r="F277" s="22">
        <v>19070563</v>
      </c>
      <c r="M277" s="2" t="s">
        <v>3377</v>
      </c>
      <c r="N277" s="54" t="s">
        <v>3738</v>
      </c>
      <c r="O277" s="18">
        <v>43676</v>
      </c>
    </row>
    <row r="278" spans="1:16" hidden="1" outlineLevel="1">
      <c r="A278" s="1">
        <v>6</v>
      </c>
      <c r="F278" s="22">
        <v>19070564</v>
      </c>
      <c r="M278" s="2" t="s">
        <v>3377</v>
      </c>
      <c r="N278" s="54" t="s">
        <v>3738</v>
      </c>
      <c r="O278" s="18">
        <v>43676</v>
      </c>
    </row>
    <row r="279" spans="1:16" hidden="1" outlineLevel="1">
      <c r="A279" s="1">
        <v>7</v>
      </c>
      <c r="F279" s="22">
        <v>19070565</v>
      </c>
      <c r="M279" s="2" t="s">
        <v>3378</v>
      </c>
      <c r="N279" s="54" t="s">
        <v>3654</v>
      </c>
      <c r="O279" s="18">
        <v>43686</v>
      </c>
    </row>
    <row r="280" spans="1:16" hidden="1" outlineLevel="1">
      <c r="A280" s="1">
        <v>8</v>
      </c>
      <c r="F280" s="22">
        <v>19070566</v>
      </c>
      <c r="N280" s="54" t="s">
        <v>3719</v>
      </c>
      <c r="O280" s="18">
        <v>43683</v>
      </c>
    </row>
    <row r="281" spans="1:16" hidden="1" outlineLevel="1">
      <c r="A281" s="1">
        <v>9</v>
      </c>
      <c r="F281" s="22">
        <v>19070567</v>
      </c>
      <c r="N281" s="54" t="s">
        <v>3739</v>
      </c>
      <c r="O281" s="18">
        <v>43699</v>
      </c>
    </row>
    <row r="282" spans="1:16" hidden="1" outlineLevel="1">
      <c r="A282" s="1">
        <v>10</v>
      </c>
      <c r="F282" s="22">
        <v>19070568</v>
      </c>
      <c r="N282" s="54" t="s">
        <v>852</v>
      </c>
      <c r="O282" s="18">
        <v>43719</v>
      </c>
    </row>
    <row r="283" spans="1:16" hidden="1" outlineLevel="1">
      <c r="A283" s="1">
        <v>11</v>
      </c>
      <c r="F283" s="22">
        <v>19070569</v>
      </c>
      <c r="G283" s="1" t="s">
        <v>3286</v>
      </c>
      <c r="M283" s="2" t="s">
        <v>3379</v>
      </c>
      <c r="N283" s="54" t="s">
        <v>3740</v>
      </c>
      <c r="O283" s="18">
        <v>43778</v>
      </c>
      <c r="P283" s="1" t="s">
        <v>4023</v>
      </c>
    </row>
    <row r="284" spans="1:16" hidden="1" outlineLevel="1">
      <c r="A284" s="1">
        <v>12</v>
      </c>
      <c r="F284" s="22">
        <v>19070570</v>
      </c>
      <c r="G284" s="1" t="s">
        <v>3287</v>
      </c>
      <c r="P284" s="1" t="s">
        <v>4024</v>
      </c>
    </row>
    <row r="285" spans="1:16" hidden="1" outlineLevel="1">
      <c r="A285" s="1">
        <v>13</v>
      </c>
      <c r="F285" s="22">
        <v>19070571</v>
      </c>
      <c r="N285" s="54" t="s">
        <v>3741</v>
      </c>
      <c r="O285" s="18">
        <v>43682</v>
      </c>
    </row>
    <row r="286" spans="1:16" hidden="1" outlineLevel="1">
      <c r="A286" s="1">
        <v>14</v>
      </c>
      <c r="F286" s="22">
        <v>19070572</v>
      </c>
      <c r="N286" s="54" t="s">
        <v>3742</v>
      </c>
      <c r="O286" s="18">
        <v>43686</v>
      </c>
    </row>
    <row r="287" spans="1:16" hidden="1" outlineLevel="1">
      <c r="A287" s="1">
        <v>15</v>
      </c>
      <c r="F287" s="22">
        <v>19070573</v>
      </c>
      <c r="N287" s="54" t="s">
        <v>83</v>
      </c>
      <c r="O287" s="18">
        <v>43683</v>
      </c>
    </row>
    <row r="288" spans="1:16" hidden="1" outlineLevel="1">
      <c r="A288" s="1">
        <v>16</v>
      </c>
      <c r="F288" s="22">
        <v>19070574</v>
      </c>
      <c r="N288" s="54" t="s">
        <v>83</v>
      </c>
      <c r="O288" s="18">
        <v>43683</v>
      </c>
    </row>
    <row r="289" spans="1:17" hidden="1" outlineLevel="1">
      <c r="A289" s="8"/>
      <c r="B289" s="58"/>
      <c r="C289" s="159"/>
      <c r="D289" s="8"/>
      <c r="E289" s="8"/>
      <c r="F289" s="9"/>
      <c r="G289" s="8"/>
      <c r="H289" s="8"/>
      <c r="I289" s="8"/>
      <c r="J289" s="132"/>
      <c r="K289" s="8"/>
      <c r="L289" s="58"/>
      <c r="M289" s="8"/>
      <c r="N289" s="133"/>
      <c r="O289" s="58"/>
      <c r="P289" s="8"/>
      <c r="Q289" s="8"/>
    </row>
    <row r="290" spans="1:17" hidden="1" outlineLevel="1">
      <c r="A290" s="1">
        <v>1</v>
      </c>
      <c r="B290" s="11" t="s">
        <v>6943</v>
      </c>
      <c r="C290" s="160">
        <v>770</v>
      </c>
      <c r="E290" s="1" t="s">
        <v>3244</v>
      </c>
      <c r="F290" s="22">
        <v>19071636</v>
      </c>
      <c r="M290" s="2" t="s">
        <v>3380</v>
      </c>
      <c r="N290" s="54" t="s">
        <v>126</v>
      </c>
      <c r="O290" s="18">
        <v>43697</v>
      </c>
    </row>
    <row r="291" spans="1:17" hidden="1" outlineLevel="1">
      <c r="A291" s="1">
        <v>2</v>
      </c>
      <c r="F291" s="22">
        <v>19071637</v>
      </c>
      <c r="N291" s="54" t="s">
        <v>852</v>
      </c>
      <c r="O291" s="18">
        <v>43719</v>
      </c>
    </row>
    <row r="292" spans="1:17" hidden="1" outlineLevel="1">
      <c r="A292" s="1">
        <v>3</v>
      </c>
      <c r="F292" s="22">
        <v>19071638</v>
      </c>
      <c r="N292" s="54" t="s">
        <v>3641</v>
      </c>
      <c r="O292" s="18">
        <v>43697</v>
      </c>
    </row>
    <row r="293" spans="1:17" hidden="1" outlineLevel="1">
      <c r="A293" s="1">
        <v>4</v>
      </c>
      <c r="F293" s="22">
        <v>19071639</v>
      </c>
      <c r="N293" s="54" t="s">
        <v>3641</v>
      </c>
      <c r="O293" s="18">
        <v>43697</v>
      </c>
    </row>
    <row r="294" spans="1:17" hidden="1" outlineLevel="1">
      <c r="A294" s="1">
        <v>5</v>
      </c>
      <c r="F294" s="22">
        <v>19071644</v>
      </c>
      <c r="N294" s="54" t="s">
        <v>3743</v>
      </c>
      <c r="O294" s="18">
        <v>43684</v>
      </c>
    </row>
    <row r="295" spans="1:17" hidden="1" outlineLevel="1">
      <c r="A295" s="1">
        <v>6</v>
      </c>
      <c r="F295" s="22">
        <v>19071645</v>
      </c>
      <c r="N295" s="54" t="s">
        <v>3743</v>
      </c>
      <c r="O295" s="18">
        <v>43684</v>
      </c>
    </row>
    <row r="296" spans="1:17" hidden="1" outlineLevel="1">
      <c r="A296" s="1">
        <v>7</v>
      </c>
      <c r="F296" s="22">
        <v>19071646</v>
      </c>
      <c r="N296" s="54" t="s">
        <v>3744</v>
      </c>
      <c r="O296" s="18">
        <v>43684</v>
      </c>
    </row>
    <row r="297" spans="1:17" hidden="1" outlineLevel="1">
      <c r="A297" s="1">
        <v>8</v>
      </c>
      <c r="F297" s="22">
        <v>19071647</v>
      </c>
      <c r="N297" s="54" t="s">
        <v>3744</v>
      </c>
      <c r="O297" s="18">
        <v>43684</v>
      </c>
    </row>
    <row r="298" spans="1:17" hidden="1" outlineLevel="1">
      <c r="A298" s="1">
        <v>9</v>
      </c>
      <c r="F298" s="22">
        <v>19071648</v>
      </c>
      <c r="N298" s="54" t="s">
        <v>3641</v>
      </c>
      <c r="O298" s="18">
        <v>43697</v>
      </c>
    </row>
    <row r="299" spans="1:17" hidden="1" outlineLevel="1">
      <c r="A299" s="1">
        <v>10</v>
      </c>
      <c r="F299" s="22">
        <v>19071649</v>
      </c>
      <c r="M299" s="2" t="s">
        <v>3381</v>
      </c>
      <c r="N299" s="54" t="s">
        <v>3697</v>
      </c>
      <c r="O299" s="18">
        <v>43699</v>
      </c>
    </row>
    <row r="300" spans="1:17" hidden="1" outlineLevel="1">
      <c r="A300" s="1">
        <v>11</v>
      </c>
      <c r="F300" s="22">
        <v>19071650</v>
      </c>
      <c r="M300" s="2" t="s">
        <v>3382</v>
      </c>
      <c r="N300" s="54" t="s">
        <v>3745</v>
      </c>
      <c r="O300" s="18">
        <v>43691</v>
      </c>
    </row>
    <row r="301" spans="1:17" hidden="1" outlineLevel="1">
      <c r="A301" s="1">
        <v>12</v>
      </c>
      <c r="F301" s="22">
        <v>19071651</v>
      </c>
      <c r="N301" s="54" t="s">
        <v>3746</v>
      </c>
      <c r="O301" s="18">
        <v>43689</v>
      </c>
    </row>
    <row r="302" spans="1:17" hidden="1" outlineLevel="1">
      <c r="A302" s="1">
        <v>13</v>
      </c>
      <c r="F302" s="22">
        <v>19071652</v>
      </c>
      <c r="N302" s="54" t="s">
        <v>1005</v>
      </c>
      <c r="O302" s="18">
        <v>43707</v>
      </c>
    </row>
    <row r="303" spans="1:17" hidden="1" outlineLevel="1">
      <c r="A303" s="1">
        <v>14</v>
      </c>
      <c r="F303" s="22">
        <v>19071653</v>
      </c>
      <c r="M303" s="2" t="s">
        <v>3383</v>
      </c>
      <c r="N303" s="54" t="s">
        <v>3747</v>
      </c>
      <c r="O303" s="18">
        <v>43857</v>
      </c>
    </row>
    <row r="304" spans="1:17" hidden="1" outlineLevel="1">
      <c r="A304" s="1">
        <v>15</v>
      </c>
      <c r="F304" s="22">
        <v>19071654</v>
      </c>
      <c r="N304" s="54" t="s">
        <v>83</v>
      </c>
      <c r="O304" s="18">
        <v>43691</v>
      </c>
    </row>
    <row r="305" spans="1:17" hidden="1" outlineLevel="1">
      <c r="A305" s="1">
        <v>16</v>
      </c>
      <c r="F305" s="22">
        <v>19071655</v>
      </c>
      <c r="N305" s="54" t="s">
        <v>83</v>
      </c>
      <c r="O305" s="18">
        <v>43691</v>
      </c>
    </row>
    <row r="306" spans="1:17" hidden="1" outlineLevel="1">
      <c r="A306" s="1">
        <v>17</v>
      </c>
      <c r="F306" s="22">
        <v>19071656</v>
      </c>
      <c r="N306" s="54" t="s">
        <v>3641</v>
      </c>
      <c r="O306" s="18">
        <v>43693</v>
      </c>
    </row>
    <row r="307" spans="1:17" hidden="1" outlineLevel="1">
      <c r="A307" s="1">
        <v>18</v>
      </c>
      <c r="F307" s="22">
        <v>19071657</v>
      </c>
      <c r="N307" s="54" t="s">
        <v>3703</v>
      </c>
      <c r="O307" s="18">
        <v>43693</v>
      </c>
    </row>
    <row r="308" spans="1:17" hidden="1" outlineLevel="1">
      <c r="A308" s="1">
        <v>19</v>
      </c>
      <c r="F308" s="22">
        <v>19071658</v>
      </c>
      <c r="M308" s="2" t="s">
        <v>3384</v>
      </c>
      <c r="N308" s="54" t="s">
        <v>3748</v>
      </c>
      <c r="O308" s="18">
        <v>43860</v>
      </c>
    </row>
    <row r="309" spans="1:17" hidden="1" outlineLevel="1">
      <c r="A309" s="1">
        <v>20</v>
      </c>
      <c r="F309" s="22">
        <v>19071659</v>
      </c>
      <c r="M309" s="2" t="s">
        <v>3385</v>
      </c>
      <c r="N309" s="54" t="s">
        <v>3749</v>
      </c>
      <c r="O309" s="18">
        <v>43743</v>
      </c>
    </row>
    <row r="310" spans="1:17" hidden="1" outlineLevel="1">
      <c r="A310" s="8"/>
      <c r="B310" s="58"/>
      <c r="C310" s="159"/>
      <c r="D310" s="8"/>
      <c r="E310" s="8"/>
      <c r="F310" s="9"/>
      <c r="G310" s="8"/>
      <c r="H310" s="8"/>
      <c r="I310" s="8"/>
      <c r="J310" s="132"/>
      <c r="K310" s="8"/>
      <c r="L310" s="58"/>
      <c r="M310" s="8"/>
      <c r="N310" s="133"/>
      <c r="O310" s="58"/>
      <c r="P310" s="8"/>
      <c r="Q310" s="8"/>
    </row>
    <row r="311" spans="1:17" hidden="1" outlineLevel="1">
      <c r="A311" s="1">
        <v>1</v>
      </c>
      <c r="B311" s="11" t="s">
        <v>6944</v>
      </c>
      <c r="C311" s="160">
        <v>830</v>
      </c>
      <c r="E311" s="1" t="s">
        <v>3244</v>
      </c>
      <c r="F311" s="22">
        <v>19072912</v>
      </c>
      <c r="N311" s="54" t="s">
        <v>3750</v>
      </c>
      <c r="O311" s="18">
        <v>43721</v>
      </c>
    </row>
    <row r="312" spans="1:17" hidden="1" outlineLevel="1">
      <c r="A312" s="1">
        <v>2</v>
      </c>
      <c r="F312" s="22">
        <v>19072913</v>
      </c>
      <c r="N312" s="54" t="s">
        <v>3751</v>
      </c>
      <c r="O312" s="18">
        <v>43713</v>
      </c>
    </row>
    <row r="313" spans="1:17" hidden="1" outlineLevel="1">
      <c r="A313" s="1">
        <v>3</v>
      </c>
      <c r="F313" s="22">
        <v>19072914</v>
      </c>
      <c r="M313" s="2" t="s">
        <v>3386</v>
      </c>
      <c r="N313" s="54" t="s">
        <v>3752</v>
      </c>
      <c r="O313" s="18">
        <v>43720</v>
      </c>
    </row>
    <row r="314" spans="1:17" hidden="1" outlineLevel="1">
      <c r="A314" s="1">
        <v>4</v>
      </c>
      <c r="F314" s="22">
        <v>19072915</v>
      </c>
      <c r="M314" s="2" t="s">
        <v>3387</v>
      </c>
      <c r="N314" s="54" t="s">
        <v>3752</v>
      </c>
      <c r="O314" s="18">
        <v>43720</v>
      </c>
    </row>
    <row r="315" spans="1:17" hidden="1" outlineLevel="1">
      <c r="A315" s="1">
        <v>5</v>
      </c>
      <c r="F315" s="22">
        <v>19072916</v>
      </c>
      <c r="N315" s="54" t="s">
        <v>3753</v>
      </c>
      <c r="O315" s="18">
        <v>43733</v>
      </c>
    </row>
    <row r="316" spans="1:17" hidden="1" outlineLevel="1">
      <c r="A316" s="1">
        <v>6</v>
      </c>
      <c r="F316" s="22">
        <v>19072917</v>
      </c>
      <c r="P316" s="1" t="s">
        <v>4025</v>
      </c>
    </row>
    <row r="317" spans="1:17" hidden="1" outlineLevel="1">
      <c r="A317" s="1">
        <v>7</v>
      </c>
      <c r="F317" s="22">
        <v>19072918</v>
      </c>
      <c r="N317" s="54" t="s">
        <v>3754</v>
      </c>
      <c r="O317" s="18">
        <v>43732</v>
      </c>
    </row>
    <row r="318" spans="1:17" hidden="1" outlineLevel="1">
      <c r="A318" s="1">
        <v>8</v>
      </c>
      <c r="F318" s="22">
        <v>19072919</v>
      </c>
      <c r="N318" s="54" t="s">
        <v>3644</v>
      </c>
      <c r="O318" s="18">
        <v>43732</v>
      </c>
    </row>
    <row r="319" spans="1:17" hidden="1" outlineLevel="1">
      <c r="A319" s="1">
        <v>9</v>
      </c>
      <c r="F319" s="22">
        <v>19072920</v>
      </c>
      <c r="M319" s="2" t="s">
        <v>3388</v>
      </c>
      <c r="N319" s="54" t="s">
        <v>3658</v>
      </c>
      <c r="O319" s="18">
        <v>43733</v>
      </c>
    </row>
    <row r="320" spans="1:17" hidden="1" outlineLevel="1">
      <c r="A320" s="1">
        <v>10</v>
      </c>
      <c r="F320" s="22">
        <v>19072921</v>
      </c>
      <c r="M320" s="2" t="s">
        <v>3389</v>
      </c>
      <c r="N320" s="54" t="s">
        <v>3649</v>
      </c>
      <c r="O320" s="18">
        <v>43725</v>
      </c>
    </row>
    <row r="321" spans="1:17" hidden="1" outlineLevel="1">
      <c r="A321" s="1">
        <v>11</v>
      </c>
      <c r="F321" s="22">
        <v>19072922</v>
      </c>
      <c r="M321" s="2" t="s">
        <v>3390</v>
      </c>
      <c r="N321" s="54" t="s">
        <v>3755</v>
      </c>
      <c r="O321" s="18">
        <v>43754</v>
      </c>
    </row>
    <row r="322" spans="1:17" hidden="1" outlineLevel="1">
      <c r="A322" s="1">
        <v>12</v>
      </c>
      <c r="F322" s="22">
        <v>19072923</v>
      </c>
      <c r="N322" s="54" t="s">
        <v>3756</v>
      </c>
      <c r="O322" s="18">
        <v>43713</v>
      </c>
    </row>
    <row r="323" spans="1:17" hidden="1" outlineLevel="1">
      <c r="A323" s="1">
        <v>13</v>
      </c>
      <c r="F323" s="22">
        <v>19072924</v>
      </c>
      <c r="N323" s="54" t="s">
        <v>3757</v>
      </c>
      <c r="O323" s="18">
        <v>43732</v>
      </c>
    </row>
    <row r="324" spans="1:17" hidden="1" outlineLevel="1">
      <c r="A324" s="1">
        <v>14</v>
      </c>
      <c r="F324" s="22">
        <v>19072925</v>
      </c>
      <c r="N324" s="54" t="s">
        <v>3758</v>
      </c>
      <c r="O324" s="18">
        <v>43727</v>
      </c>
    </row>
    <row r="325" spans="1:17" hidden="1" outlineLevel="1">
      <c r="A325" s="1">
        <v>15</v>
      </c>
      <c r="F325" s="22">
        <v>19072926</v>
      </c>
      <c r="M325" s="2" t="s">
        <v>3391</v>
      </c>
      <c r="N325" s="54" t="s">
        <v>3759</v>
      </c>
      <c r="O325" s="18">
        <v>44117</v>
      </c>
    </row>
    <row r="326" spans="1:17" hidden="1" outlineLevel="1">
      <c r="A326" s="1">
        <v>16</v>
      </c>
      <c r="F326" s="22">
        <v>19072927</v>
      </c>
      <c r="M326" s="2" t="s">
        <v>3392</v>
      </c>
      <c r="N326" s="54" t="s">
        <v>3693</v>
      </c>
      <c r="O326" s="18">
        <v>44134</v>
      </c>
    </row>
    <row r="327" spans="1:17" hidden="1" outlineLevel="1">
      <c r="A327" s="1">
        <v>17</v>
      </c>
      <c r="F327" s="22">
        <v>19072928</v>
      </c>
      <c r="M327" s="2" t="s">
        <v>3393</v>
      </c>
      <c r="N327" s="54" t="s">
        <v>3760</v>
      </c>
      <c r="O327" s="18">
        <v>43713</v>
      </c>
    </row>
    <row r="328" spans="1:17" hidden="1" outlineLevel="1">
      <c r="A328" s="1">
        <v>18</v>
      </c>
      <c r="F328" s="22">
        <v>19072929</v>
      </c>
      <c r="M328" s="2" t="s">
        <v>3394</v>
      </c>
      <c r="N328" s="54" t="s">
        <v>3761</v>
      </c>
      <c r="O328" s="18">
        <v>43711</v>
      </c>
    </row>
    <row r="329" spans="1:17" hidden="1" outlineLevel="1">
      <c r="A329" s="1">
        <v>19</v>
      </c>
      <c r="F329" s="22">
        <v>19072930</v>
      </c>
      <c r="M329" s="2" t="s">
        <v>3395</v>
      </c>
      <c r="N329" s="54" t="s">
        <v>3649</v>
      </c>
      <c r="O329" s="18">
        <v>43721</v>
      </c>
    </row>
    <row r="330" spans="1:17" hidden="1" outlineLevel="1">
      <c r="A330" s="1">
        <v>20</v>
      </c>
      <c r="F330" s="22">
        <v>19072931</v>
      </c>
      <c r="M330" s="2" t="s">
        <v>3396</v>
      </c>
      <c r="N330" s="54" t="s">
        <v>3762</v>
      </c>
      <c r="O330" s="18">
        <v>43718</v>
      </c>
    </row>
    <row r="331" spans="1:17" hidden="1" outlineLevel="1">
      <c r="A331" s="8"/>
      <c r="B331" s="58"/>
      <c r="C331" s="159"/>
      <c r="D331" s="8"/>
      <c r="E331" s="8"/>
      <c r="F331" s="9"/>
      <c r="G331" s="8"/>
      <c r="H331" s="8"/>
      <c r="I331" s="8"/>
      <c r="J331" s="132"/>
      <c r="K331" s="8"/>
      <c r="L331" s="58"/>
      <c r="M331" s="8"/>
      <c r="N331" s="133"/>
      <c r="O331" s="58"/>
      <c r="P331" s="8"/>
      <c r="Q331" s="8"/>
    </row>
    <row r="332" spans="1:17" hidden="1" outlineLevel="1">
      <c r="A332" s="1">
        <v>1</v>
      </c>
      <c r="B332" s="11" t="s">
        <v>6945</v>
      </c>
      <c r="C332" s="160">
        <v>2892</v>
      </c>
      <c r="E332" s="1" t="s">
        <v>3251</v>
      </c>
      <c r="F332" s="22">
        <v>4031000011897</v>
      </c>
      <c r="N332" s="54" t="s">
        <v>3703</v>
      </c>
      <c r="O332" s="18">
        <v>43703</v>
      </c>
    </row>
    <row r="333" spans="1:17" hidden="1" outlineLevel="1">
      <c r="A333" s="8"/>
      <c r="B333" s="58"/>
      <c r="C333" s="159"/>
      <c r="D333" s="8"/>
      <c r="E333" s="8"/>
      <c r="F333" s="9"/>
      <c r="G333" s="8"/>
      <c r="H333" s="8"/>
      <c r="I333" s="8"/>
      <c r="J333" s="132"/>
      <c r="K333" s="8"/>
      <c r="L333" s="58"/>
      <c r="M333" s="8"/>
      <c r="N333" s="133"/>
      <c r="O333" s="58"/>
      <c r="P333" s="8"/>
      <c r="Q333" s="8"/>
    </row>
    <row r="334" spans="1:17" hidden="1" outlineLevel="1">
      <c r="A334" s="1">
        <v>1</v>
      </c>
      <c r="B334" s="11">
        <v>43714</v>
      </c>
      <c r="C334" s="160">
        <v>2991</v>
      </c>
      <c r="E334" s="1" t="s">
        <v>3252</v>
      </c>
      <c r="F334" s="22">
        <v>4016000066290</v>
      </c>
      <c r="N334" s="54" t="s">
        <v>3703</v>
      </c>
      <c r="O334" s="18">
        <v>43738</v>
      </c>
    </row>
    <row r="335" spans="1:17" hidden="1" outlineLevel="1">
      <c r="A335" s="1">
        <v>2</v>
      </c>
      <c r="F335" s="22">
        <v>4016000066291</v>
      </c>
      <c r="M335" s="2" t="s">
        <v>3397</v>
      </c>
      <c r="N335" s="54" t="s">
        <v>3741</v>
      </c>
      <c r="O335" s="18">
        <v>43734</v>
      </c>
    </row>
    <row r="336" spans="1:17" hidden="1" outlineLevel="1">
      <c r="A336" s="8"/>
      <c r="B336" s="58"/>
      <c r="C336" s="159"/>
      <c r="D336" s="8"/>
      <c r="E336" s="8"/>
      <c r="F336" s="9"/>
      <c r="G336" s="8"/>
      <c r="H336" s="8"/>
      <c r="I336" s="8"/>
      <c r="J336" s="132"/>
      <c r="K336" s="8"/>
      <c r="L336" s="58"/>
      <c r="M336" s="8"/>
      <c r="N336" s="133"/>
      <c r="O336" s="58"/>
      <c r="P336" s="8"/>
      <c r="Q336" s="8"/>
    </row>
    <row r="337" spans="1:17" hidden="1" outlineLevel="1">
      <c r="A337" s="1">
        <v>1</v>
      </c>
      <c r="B337" s="11">
        <v>43733</v>
      </c>
      <c r="C337" s="160">
        <v>804</v>
      </c>
      <c r="E337" s="1" t="s">
        <v>3253</v>
      </c>
      <c r="F337" s="22">
        <v>11046420</v>
      </c>
      <c r="N337" s="54" t="s">
        <v>3763</v>
      </c>
      <c r="O337" s="18">
        <v>43759</v>
      </c>
    </row>
    <row r="338" spans="1:17" hidden="1" outlineLevel="1">
      <c r="A338" s="8"/>
      <c r="B338" s="58"/>
      <c r="C338" s="159"/>
      <c r="D338" s="8"/>
      <c r="E338" s="8"/>
      <c r="F338" s="9"/>
      <c r="G338" s="8"/>
      <c r="H338" s="8"/>
      <c r="I338" s="8"/>
      <c r="J338" s="132"/>
      <c r="K338" s="8"/>
      <c r="L338" s="58"/>
      <c r="M338" s="8"/>
      <c r="N338" s="133"/>
      <c r="O338" s="58"/>
      <c r="P338" s="8"/>
      <c r="Q338" s="8"/>
    </row>
    <row r="339" spans="1:17" hidden="1" outlineLevel="1">
      <c r="A339" s="1">
        <v>1</v>
      </c>
      <c r="B339" s="11">
        <v>43740</v>
      </c>
      <c r="C339" s="160">
        <v>970</v>
      </c>
      <c r="E339" s="1" t="s">
        <v>3254</v>
      </c>
      <c r="F339" s="22">
        <v>19090626</v>
      </c>
      <c r="M339" s="2" t="s">
        <v>3398</v>
      </c>
      <c r="N339" s="54" t="s">
        <v>3764</v>
      </c>
      <c r="O339" s="18">
        <v>43739</v>
      </c>
      <c r="P339" s="1" t="s">
        <v>4026</v>
      </c>
    </row>
    <row r="340" spans="1:17" hidden="1" outlineLevel="1">
      <c r="A340" s="1">
        <v>2</v>
      </c>
      <c r="F340" s="22">
        <v>19080495</v>
      </c>
      <c r="M340" s="2" t="s">
        <v>3399</v>
      </c>
      <c r="N340" s="54" t="s">
        <v>347</v>
      </c>
      <c r="O340" s="18">
        <v>43740</v>
      </c>
      <c r="P340" s="1" t="s">
        <v>4027</v>
      </c>
    </row>
    <row r="341" spans="1:17" hidden="1" outlineLevel="1">
      <c r="A341" s="1">
        <v>3</v>
      </c>
      <c r="F341" s="22">
        <v>19091293</v>
      </c>
      <c r="M341" s="2" t="s">
        <v>3400</v>
      </c>
      <c r="N341" s="54" t="s">
        <v>3757</v>
      </c>
      <c r="O341" s="18">
        <v>43776</v>
      </c>
      <c r="P341" s="1" t="s">
        <v>4028</v>
      </c>
    </row>
    <row r="342" spans="1:17" hidden="1" outlineLevel="1">
      <c r="A342" s="1">
        <v>4</v>
      </c>
      <c r="F342" s="22">
        <v>19091294</v>
      </c>
      <c r="M342" s="2" t="s">
        <v>3401</v>
      </c>
      <c r="N342" s="54" t="s">
        <v>3765</v>
      </c>
      <c r="O342" s="18">
        <v>43781</v>
      </c>
      <c r="P342" s="1" t="s">
        <v>4029</v>
      </c>
    </row>
    <row r="343" spans="1:17" hidden="1" outlineLevel="1">
      <c r="A343" s="1">
        <v>5</v>
      </c>
      <c r="F343" s="22">
        <v>19091295</v>
      </c>
      <c r="M343" s="2" t="s">
        <v>3402</v>
      </c>
      <c r="N343" s="54" t="s">
        <v>3637</v>
      </c>
      <c r="O343" s="18">
        <v>43752</v>
      </c>
      <c r="P343" s="1" t="s">
        <v>4030</v>
      </c>
    </row>
    <row r="344" spans="1:17" hidden="1" outlineLevel="1">
      <c r="A344" s="1">
        <v>6</v>
      </c>
      <c r="F344" s="22">
        <v>19091296</v>
      </c>
      <c r="M344" s="2" t="s">
        <v>3402</v>
      </c>
      <c r="N344" s="54" t="s">
        <v>3637</v>
      </c>
      <c r="O344" s="18">
        <v>43752</v>
      </c>
      <c r="P344" s="1" t="s">
        <v>4031</v>
      </c>
    </row>
    <row r="345" spans="1:17" hidden="1" outlineLevel="1">
      <c r="A345" s="1">
        <v>7</v>
      </c>
      <c r="F345" s="22">
        <v>19091303</v>
      </c>
      <c r="M345" s="2" t="s">
        <v>3403</v>
      </c>
      <c r="N345" s="54" t="s">
        <v>3766</v>
      </c>
      <c r="O345" s="18">
        <v>43752</v>
      </c>
      <c r="P345" s="1" t="s">
        <v>4032</v>
      </c>
    </row>
    <row r="346" spans="1:17" hidden="1" outlineLevel="1">
      <c r="A346" s="1">
        <v>8</v>
      </c>
      <c r="F346" s="22">
        <v>19091304</v>
      </c>
      <c r="M346" s="2" t="s">
        <v>3404</v>
      </c>
      <c r="N346" s="54" t="s">
        <v>3767</v>
      </c>
      <c r="O346" s="18">
        <v>43759</v>
      </c>
    </row>
    <row r="347" spans="1:17" hidden="1" outlineLevel="1">
      <c r="A347" s="1">
        <v>9</v>
      </c>
      <c r="F347" s="22">
        <v>19091305</v>
      </c>
      <c r="M347" s="2" t="s">
        <v>3405</v>
      </c>
      <c r="N347" s="54" t="s">
        <v>3767</v>
      </c>
      <c r="O347" s="18">
        <v>43760</v>
      </c>
    </row>
    <row r="348" spans="1:17" hidden="1" outlineLevel="1">
      <c r="A348" s="1">
        <v>10</v>
      </c>
      <c r="F348" s="22">
        <v>19091306</v>
      </c>
      <c r="M348" s="2" t="s">
        <v>3406</v>
      </c>
      <c r="N348" s="54" t="s">
        <v>3768</v>
      </c>
      <c r="O348" s="18">
        <v>43763</v>
      </c>
    </row>
    <row r="349" spans="1:17" hidden="1" outlineLevel="1">
      <c r="A349" s="1">
        <v>11</v>
      </c>
      <c r="F349" s="22">
        <v>19091307</v>
      </c>
      <c r="M349" s="2" t="s">
        <v>3407</v>
      </c>
      <c r="N349" s="54" t="s">
        <v>3702</v>
      </c>
      <c r="O349" s="18">
        <v>43767</v>
      </c>
    </row>
    <row r="350" spans="1:17" hidden="1" outlineLevel="1">
      <c r="A350" s="1">
        <v>12</v>
      </c>
      <c r="F350" s="22">
        <v>19091308</v>
      </c>
      <c r="M350" s="2" t="s">
        <v>3408</v>
      </c>
      <c r="N350" s="54" t="s">
        <v>3769</v>
      </c>
      <c r="O350" s="18">
        <v>43774</v>
      </c>
    </row>
    <row r="351" spans="1:17" hidden="1" outlineLevel="1">
      <c r="A351" s="8"/>
      <c r="B351" s="58"/>
      <c r="C351" s="159"/>
      <c r="D351" s="8"/>
      <c r="E351" s="8"/>
      <c r="F351" s="9"/>
      <c r="G351" s="8"/>
      <c r="H351" s="8"/>
      <c r="I351" s="8"/>
      <c r="J351" s="132"/>
      <c r="K351" s="8"/>
      <c r="L351" s="58"/>
      <c r="M351" s="8"/>
      <c r="N351" s="133"/>
      <c r="O351" s="58"/>
      <c r="P351" s="8"/>
      <c r="Q351" s="8"/>
    </row>
    <row r="352" spans="1:17" hidden="1" outlineLevel="1">
      <c r="A352" s="1">
        <v>1</v>
      </c>
      <c r="B352" s="11">
        <v>43746</v>
      </c>
      <c r="C352" s="160">
        <v>3393</v>
      </c>
      <c r="E352" s="1" t="s">
        <v>3255</v>
      </c>
      <c r="F352" s="22">
        <v>4031000017960</v>
      </c>
    </row>
    <row r="353" spans="1:17" hidden="1" outlineLevel="1">
      <c r="A353" s="1">
        <v>2</v>
      </c>
      <c r="F353" s="22">
        <v>4031000017961</v>
      </c>
    </row>
    <row r="354" spans="1:17" hidden="1" outlineLevel="1">
      <c r="A354" s="8"/>
      <c r="B354" s="58"/>
      <c r="C354" s="159"/>
      <c r="D354" s="8"/>
      <c r="E354" s="8"/>
      <c r="F354" s="9"/>
      <c r="G354" s="8"/>
      <c r="H354" s="8"/>
      <c r="I354" s="8"/>
      <c r="J354" s="132"/>
      <c r="K354" s="8"/>
      <c r="L354" s="58"/>
      <c r="M354" s="8"/>
      <c r="N354" s="133"/>
      <c r="O354" s="58"/>
      <c r="P354" s="8"/>
      <c r="Q354" s="8"/>
    </row>
    <row r="355" spans="1:17" hidden="1" outlineLevel="1">
      <c r="A355" s="1">
        <v>1</v>
      </c>
      <c r="B355" s="11">
        <v>43753</v>
      </c>
      <c r="C355" s="160">
        <v>3439</v>
      </c>
      <c r="E355" s="1" t="s">
        <v>3256</v>
      </c>
      <c r="F355" s="22">
        <v>4016000107930</v>
      </c>
      <c r="M355" s="2" t="s">
        <v>3372</v>
      </c>
      <c r="N355" s="54" t="s">
        <v>3770</v>
      </c>
      <c r="O355" s="18">
        <v>43992</v>
      </c>
      <c r="P355" s="1" t="s">
        <v>4033</v>
      </c>
    </row>
    <row r="356" spans="1:17" hidden="1" outlineLevel="1">
      <c r="A356" s="1">
        <v>2</v>
      </c>
      <c r="F356" s="22">
        <v>4016000107931</v>
      </c>
      <c r="M356" s="2" t="s">
        <v>3409</v>
      </c>
      <c r="N356" s="54" t="s">
        <v>3741</v>
      </c>
      <c r="O356" s="18">
        <v>43903</v>
      </c>
    </row>
    <row r="357" spans="1:17" hidden="1" outlineLevel="1">
      <c r="A357" s="8"/>
      <c r="B357" s="58"/>
      <c r="C357" s="159"/>
      <c r="D357" s="8"/>
      <c r="E357" s="8"/>
      <c r="F357" s="9"/>
      <c r="G357" s="8"/>
      <c r="H357" s="8"/>
      <c r="I357" s="8"/>
      <c r="J357" s="132"/>
      <c r="K357" s="8"/>
      <c r="L357" s="58"/>
      <c r="M357" s="8"/>
      <c r="N357" s="133"/>
      <c r="O357" s="58"/>
      <c r="P357" s="8"/>
      <c r="Q357" s="8"/>
    </row>
    <row r="358" spans="1:17" s="68" customFormat="1" hidden="1" outlineLevel="1">
      <c r="A358" s="4">
        <v>1</v>
      </c>
      <c r="B358" s="24" t="s">
        <v>6946</v>
      </c>
      <c r="C358" s="158">
        <v>1436</v>
      </c>
      <c r="D358" s="4"/>
      <c r="E358" s="4" t="s">
        <v>3257</v>
      </c>
      <c r="F358" s="22"/>
      <c r="G358" s="4"/>
      <c r="H358" s="4"/>
      <c r="I358" s="2"/>
      <c r="J358" s="69"/>
      <c r="K358" s="4"/>
      <c r="L358" s="24"/>
      <c r="M358" s="2"/>
      <c r="N358" s="54" t="s">
        <v>3763</v>
      </c>
      <c r="O358" s="18">
        <v>43759</v>
      </c>
      <c r="P358" s="4" t="s">
        <v>4034</v>
      </c>
      <c r="Q358" s="4"/>
    </row>
    <row r="359" spans="1:17" hidden="1" outlineLevel="1">
      <c r="A359" s="8"/>
      <c r="B359" s="58"/>
      <c r="C359" s="159"/>
      <c r="D359" s="8"/>
      <c r="E359" s="8"/>
      <c r="F359" s="9"/>
      <c r="G359" s="8"/>
      <c r="H359" s="8"/>
      <c r="I359" s="8"/>
      <c r="J359" s="132"/>
      <c r="K359" s="8"/>
      <c r="L359" s="58"/>
      <c r="M359" s="8"/>
      <c r="N359" s="133"/>
      <c r="O359" s="58"/>
      <c r="P359" s="8"/>
      <c r="Q359" s="8"/>
    </row>
    <row r="360" spans="1:17" hidden="1" outlineLevel="1">
      <c r="A360" s="1">
        <v>1</v>
      </c>
      <c r="B360" s="11" t="s">
        <v>6947</v>
      </c>
      <c r="C360" s="160">
        <v>1111</v>
      </c>
      <c r="E360" s="1" t="s">
        <v>3254</v>
      </c>
      <c r="F360" s="22">
        <v>19101418</v>
      </c>
      <c r="M360" s="2" t="s">
        <v>3410</v>
      </c>
      <c r="N360" s="54" t="s">
        <v>3693</v>
      </c>
      <c r="O360" s="18">
        <v>43789</v>
      </c>
      <c r="P360" s="1" t="s">
        <v>4035</v>
      </c>
    </row>
    <row r="361" spans="1:17" hidden="1" outlineLevel="1">
      <c r="A361" s="1">
        <v>2</v>
      </c>
      <c r="F361" s="22">
        <v>19101419</v>
      </c>
      <c r="M361" s="2" t="s">
        <v>3411</v>
      </c>
      <c r="N361" s="54" t="s">
        <v>3771</v>
      </c>
      <c r="O361" s="18">
        <v>43816</v>
      </c>
      <c r="P361" s="1" t="s">
        <v>4036</v>
      </c>
    </row>
    <row r="362" spans="1:17" hidden="1" outlineLevel="1">
      <c r="A362" s="1">
        <v>3</v>
      </c>
      <c r="F362" s="22">
        <v>19101420</v>
      </c>
      <c r="M362" s="2" t="s">
        <v>3412</v>
      </c>
      <c r="N362" s="54" t="s">
        <v>3771</v>
      </c>
      <c r="O362" s="18">
        <v>43781</v>
      </c>
      <c r="P362" s="1" t="s">
        <v>4037</v>
      </c>
      <c r="Q362" s="1">
        <v>43836</v>
      </c>
    </row>
    <row r="363" spans="1:17" hidden="1" outlineLevel="1">
      <c r="A363" s="1">
        <v>4</v>
      </c>
      <c r="F363" s="22">
        <v>19101421</v>
      </c>
      <c r="M363" s="2" t="s">
        <v>3412</v>
      </c>
      <c r="N363" s="54" t="s">
        <v>3771</v>
      </c>
      <c r="O363" s="18">
        <v>43781</v>
      </c>
      <c r="P363" s="1" t="s">
        <v>4038</v>
      </c>
      <c r="Q363" s="1">
        <v>43836</v>
      </c>
    </row>
    <row r="364" spans="1:17" hidden="1" outlineLevel="1">
      <c r="A364" s="1">
        <v>5</v>
      </c>
      <c r="F364" s="22">
        <v>19101422</v>
      </c>
      <c r="M364" s="2" t="s">
        <v>3413</v>
      </c>
      <c r="N364" s="54" t="s">
        <v>3772</v>
      </c>
      <c r="O364" s="18">
        <v>43781</v>
      </c>
    </row>
    <row r="365" spans="1:17" hidden="1" outlineLevel="1">
      <c r="A365" s="1">
        <v>6</v>
      </c>
      <c r="F365" s="22">
        <v>19101423</v>
      </c>
      <c r="M365" s="2" t="s">
        <v>3414</v>
      </c>
      <c r="N365" s="54" t="s">
        <v>157</v>
      </c>
      <c r="O365" s="18">
        <v>43781</v>
      </c>
    </row>
    <row r="366" spans="1:17" hidden="1" outlineLevel="1">
      <c r="A366" s="1">
        <v>7</v>
      </c>
      <c r="F366" s="22">
        <v>19101424</v>
      </c>
      <c r="M366" s="2" t="s">
        <v>3415</v>
      </c>
      <c r="N366" s="54" t="s">
        <v>3773</v>
      </c>
      <c r="O366" s="18">
        <v>43783</v>
      </c>
    </row>
    <row r="367" spans="1:17" hidden="1" outlineLevel="1">
      <c r="A367" s="1">
        <v>8</v>
      </c>
      <c r="F367" s="22">
        <v>19101425</v>
      </c>
      <c r="M367" s="2" t="s">
        <v>3416</v>
      </c>
      <c r="N367" s="54" t="s">
        <v>3773</v>
      </c>
      <c r="O367" s="18">
        <v>43783</v>
      </c>
    </row>
    <row r="368" spans="1:17" hidden="1" outlineLevel="1">
      <c r="A368" s="1">
        <v>9</v>
      </c>
      <c r="F368" s="22">
        <v>19091048</v>
      </c>
      <c r="M368" s="2" t="s">
        <v>3417</v>
      </c>
      <c r="N368" s="54" t="s">
        <v>3722</v>
      </c>
      <c r="O368" s="18">
        <v>43782</v>
      </c>
    </row>
    <row r="369" spans="1:17" hidden="1" outlineLevel="1">
      <c r="A369" s="1">
        <v>10</v>
      </c>
      <c r="F369" s="22">
        <v>19101909</v>
      </c>
      <c r="G369" s="1" t="s">
        <v>3288</v>
      </c>
      <c r="I369" s="2" t="s">
        <v>3298</v>
      </c>
      <c r="O369" s="18">
        <v>43784</v>
      </c>
      <c r="Q369" s="1">
        <v>43836</v>
      </c>
    </row>
    <row r="370" spans="1:17" hidden="1" outlineLevel="1">
      <c r="A370" s="8"/>
      <c r="B370" s="58"/>
      <c r="C370" s="159"/>
      <c r="D370" s="8"/>
      <c r="E370" s="8"/>
      <c r="F370" s="9"/>
      <c r="G370" s="8"/>
      <c r="H370" s="8"/>
      <c r="I370" s="8"/>
      <c r="J370" s="132"/>
      <c r="K370" s="8"/>
      <c r="L370" s="58"/>
      <c r="M370" s="8"/>
      <c r="N370" s="133"/>
      <c r="O370" s="58"/>
      <c r="P370" s="8"/>
      <c r="Q370" s="8"/>
    </row>
    <row r="371" spans="1:17" hidden="1" outlineLevel="1">
      <c r="A371" s="1">
        <v>1</v>
      </c>
      <c r="B371" s="11">
        <v>43788</v>
      </c>
      <c r="C371" s="160">
        <v>1144</v>
      </c>
      <c r="E371" s="1" t="s">
        <v>3258</v>
      </c>
      <c r="F371" s="22">
        <v>19110891</v>
      </c>
      <c r="M371" s="2" t="s">
        <v>3418</v>
      </c>
      <c r="N371" s="54" t="s">
        <v>3774</v>
      </c>
      <c r="O371" s="18">
        <v>43789</v>
      </c>
      <c r="P371" s="1" t="s">
        <v>4039</v>
      </c>
    </row>
    <row r="372" spans="1:17" hidden="1" outlineLevel="1">
      <c r="A372" s="1">
        <v>2</v>
      </c>
      <c r="F372" s="22">
        <v>19110892</v>
      </c>
      <c r="M372" s="2" t="s">
        <v>3419</v>
      </c>
      <c r="N372" s="54" t="s">
        <v>3775</v>
      </c>
      <c r="O372" s="18">
        <v>43791</v>
      </c>
      <c r="P372" s="1" t="s">
        <v>4040</v>
      </c>
    </row>
    <row r="373" spans="1:17" hidden="1" outlineLevel="1">
      <c r="A373" s="1">
        <v>3</v>
      </c>
      <c r="F373" s="22">
        <v>19110893</v>
      </c>
      <c r="M373" s="2" t="s">
        <v>3420</v>
      </c>
      <c r="N373" s="54" t="s">
        <v>3722</v>
      </c>
      <c r="O373" s="18">
        <v>43804</v>
      </c>
    </row>
    <row r="374" spans="1:17" hidden="1" outlineLevel="1">
      <c r="A374" s="1">
        <v>4</v>
      </c>
      <c r="F374" s="22">
        <v>19110894</v>
      </c>
      <c r="M374" s="2" t="s">
        <v>3420</v>
      </c>
      <c r="N374" s="54" t="s">
        <v>3722</v>
      </c>
      <c r="O374" s="18">
        <v>43804</v>
      </c>
    </row>
    <row r="375" spans="1:17" hidden="1" outlineLevel="1">
      <c r="A375" s="1">
        <v>5</v>
      </c>
      <c r="F375" s="22">
        <v>19110895</v>
      </c>
      <c r="M375" s="2" t="s">
        <v>3421</v>
      </c>
      <c r="N375" s="54" t="s">
        <v>83</v>
      </c>
      <c r="O375" s="18">
        <v>43791</v>
      </c>
    </row>
    <row r="376" spans="1:17" hidden="1" outlineLevel="1">
      <c r="A376" s="1">
        <v>6</v>
      </c>
      <c r="F376" s="22">
        <v>19110896</v>
      </c>
      <c r="M376" s="2" t="s">
        <v>3421</v>
      </c>
      <c r="N376" s="54" t="s">
        <v>83</v>
      </c>
      <c r="O376" s="18">
        <v>43791</v>
      </c>
    </row>
    <row r="377" spans="1:17" hidden="1" outlineLevel="1">
      <c r="A377" s="1">
        <v>7</v>
      </c>
      <c r="F377" s="22">
        <v>19110897</v>
      </c>
      <c r="M377" s="2" t="s">
        <v>3422</v>
      </c>
      <c r="N377" s="54" t="s">
        <v>3658</v>
      </c>
      <c r="O377" s="18">
        <v>43798</v>
      </c>
    </row>
    <row r="378" spans="1:17" hidden="1" outlineLevel="1">
      <c r="A378" s="1">
        <v>8</v>
      </c>
      <c r="F378" s="22">
        <v>19110898</v>
      </c>
      <c r="M378" s="2" t="s">
        <v>3423</v>
      </c>
      <c r="N378" s="54" t="s">
        <v>3776</v>
      </c>
      <c r="O378" s="18">
        <v>43791</v>
      </c>
    </row>
    <row r="379" spans="1:17" hidden="1" outlineLevel="1">
      <c r="A379" s="1">
        <v>9</v>
      </c>
      <c r="F379" s="22">
        <v>19110899</v>
      </c>
      <c r="M379" s="2" t="s">
        <v>3424</v>
      </c>
      <c r="N379" s="54" t="s">
        <v>3777</v>
      </c>
      <c r="O379" s="18">
        <v>44171</v>
      </c>
    </row>
    <row r="380" spans="1:17" hidden="1" outlineLevel="1">
      <c r="A380" s="1">
        <v>10</v>
      </c>
      <c r="F380" s="22">
        <v>19110900</v>
      </c>
      <c r="M380" s="2" t="s">
        <v>3425</v>
      </c>
      <c r="N380" s="54" t="s">
        <v>3778</v>
      </c>
      <c r="O380" s="18">
        <v>43810</v>
      </c>
    </row>
    <row r="381" spans="1:17" hidden="1" outlineLevel="1">
      <c r="A381" s="1">
        <v>11</v>
      </c>
      <c r="F381" s="22">
        <v>19110901</v>
      </c>
      <c r="N381" s="54" t="s">
        <v>3779</v>
      </c>
      <c r="O381" s="18">
        <v>43808</v>
      </c>
    </row>
    <row r="382" spans="1:17" hidden="1" outlineLevel="1">
      <c r="A382" s="1">
        <v>12</v>
      </c>
      <c r="F382" s="22">
        <v>18110902</v>
      </c>
      <c r="N382" s="54" t="s">
        <v>3779</v>
      </c>
      <c r="O382" s="18">
        <v>43808</v>
      </c>
    </row>
    <row r="383" spans="1:17" hidden="1" outlineLevel="1">
      <c r="A383" s="8"/>
      <c r="B383" s="58"/>
      <c r="C383" s="159"/>
      <c r="D383" s="8"/>
      <c r="E383" s="8"/>
      <c r="F383" s="9"/>
      <c r="G383" s="8"/>
      <c r="H383" s="8"/>
      <c r="I383" s="8"/>
      <c r="J383" s="132"/>
      <c r="K383" s="8"/>
      <c r="L383" s="58"/>
      <c r="M383" s="8"/>
      <c r="N383" s="133"/>
      <c r="O383" s="58"/>
      <c r="P383" s="8"/>
      <c r="Q383" s="8"/>
    </row>
    <row r="384" spans="1:17" hidden="1" outlineLevel="1">
      <c r="A384" s="1">
        <v>1</v>
      </c>
      <c r="B384" s="11" t="s">
        <v>6948</v>
      </c>
      <c r="C384" s="160">
        <v>1207</v>
      </c>
      <c r="E384" s="1" t="s">
        <v>3258</v>
      </c>
      <c r="F384" s="22">
        <v>19112086</v>
      </c>
      <c r="M384" s="2" t="s">
        <v>3426</v>
      </c>
      <c r="N384" s="54" t="s">
        <v>83</v>
      </c>
      <c r="O384" s="18">
        <v>43822</v>
      </c>
      <c r="P384" s="1" t="s">
        <v>4041</v>
      </c>
    </row>
    <row r="385" spans="1:17" hidden="1" outlineLevel="1">
      <c r="A385" s="1">
        <v>2</v>
      </c>
      <c r="F385" s="22">
        <v>19112087</v>
      </c>
      <c r="M385" s="2" t="s">
        <v>3427</v>
      </c>
      <c r="N385" s="54" t="s">
        <v>83</v>
      </c>
      <c r="O385" s="18">
        <v>43822</v>
      </c>
    </row>
    <row r="386" spans="1:17" hidden="1" outlineLevel="1">
      <c r="A386" s="1">
        <v>3</v>
      </c>
      <c r="F386" s="22">
        <v>19112088</v>
      </c>
      <c r="M386" s="2" t="s">
        <v>3428</v>
      </c>
      <c r="N386" s="54" t="s">
        <v>3780</v>
      </c>
      <c r="O386" s="18">
        <v>43816</v>
      </c>
    </row>
    <row r="387" spans="1:17" hidden="1" outlineLevel="1">
      <c r="A387" s="1">
        <v>4</v>
      </c>
      <c r="F387" s="22">
        <v>19112089</v>
      </c>
      <c r="M387" s="2" t="s">
        <v>3429</v>
      </c>
      <c r="N387" s="54" t="s">
        <v>3780</v>
      </c>
      <c r="O387" s="18">
        <v>43816</v>
      </c>
    </row>
    <row r="388" spans="1:17" hidden="1" outlineLevel="1">
      <c r="A388" s="1">
        <v>5</v>
      </c>
      <c r="F388" s="22">
        <v>19112090</v>
      </c>
      <c r="G388" s="1" t="s">
        <v>3289</v>
      </c>
      <c r="I388" s="2" t="s">
        <v>3299</v>
      </c>
      <c r="O388" s="18">
        <v>43822</v>
      </c>
      <c r="Q388" s="1">
        <v>43836</v>
      </c>
    </row>
    <row r="389" spans="1:17" hidden="1" outlineLevel="1">
      <c r="A389" s="1">
        <v>6</v>
      </c>
      <c r="F389" s="22">
        <v>19112091</v>
      </c>
      <c r="M389" s="2" t="s">
        <v>3430</v>
      </c>
      <c r="N389" s="54" t="s">
        <v>3781</v>
      </c>
      <c r="O389" s="18">
        <v>43822</v>
      </c>
      <c r="Q389" s="1">
        <v>43836</v>
      </c>
    </row>
    <row r="390" spans="1:17" hidden="1" outlineLevel="1">
      <c r="A390" s="1">
        <v>7</v>
      </c>
      <c r="F390" s="22">
        <v>19112094</v>
      </c>
      <c r="M390" s="2" t="s">
        <v>3431</v>
      </c>
      <c r="N390" s="54" t="s">
        <v>3780</v>
      </c>
      <c r="O390" s="18">
        <v>43817</v>
      </c>
    </row>
    <row r="391" spans="1:17" hidden="1" outlineLevel="1">
      <c r="A391" s="1">
        <v>8</v>
      </c>
      <c r="F391" s="22">
        <v>19112095</v>
      </c>
      <c r="M391" s="2" t="s">
        <v>3432</v>
      </c>
      <c r="N391" s="54" t="s">
        <v>3780</v>
      </c>
      <c r="O391" s="18">
        <v>43817</v>
      </c>
    </row>
    <row r="392" spans="1:17" hidden="1" outlineLevel="1">
      <c r="A392" s="1">
        <v>9</v>
      </c>
      <c r="F392" s="22">
        <v>19120296</v>
      </c>
      <c r="M392" s="2" t="s">
        <v>3425</v>
      </c>
      <c r="N392" s="54" t="s">
        <v>3778</v>
      </c>
      <c r="O392" s="18">
        <v>43810</v>
      </c>
    </row>
    <row r="393" spans="1:17" hidden="1" outlineLevel="1">
      <c r="A393" s="1">
        <v>10</v>
      </c>
      <c r="F393" s="22">
        <v>19111742</v>
      </c>
      <c r="M393" s="2" t="s">
        <v>3433</v>
      </c>
      <c r="N393" s="54" t="s">
        <v>3782</v>
      </c>
      <c r="O393" s="18">
        <v>43812</v>
      </c>
    </row>
    <row r="394" spans="1:17" hidden="1" outlineLevel="1">
      <c r="A394" s="8"/>
      <c r="B394" s="58"/>
      <c r="C394" s="159"/>
      <c r="D394" s="8"/>
      <c r="E394" s="8"/>
      <c r="F394" s="9"/>
      <c r="G394" s="8"/>
      <c r="H394" s="8"/>
      <c r="I394" s="8"/>
      <c r="J394" s="132"/>
      <c r="K394" s="8"/>
      <c r="L394" s="58"/>
      <c r="M394" s="8"/>
      <c r="N394" s="133"/>
      <c r="O394" s="58"/>
      <c r="P394" s="8"/>
      <c r="Q394" s="8"/>
    </row>
    <row r="395" spans="1:17" hidden="1" outlineLevel="1">
      <c r="A395" s="1">
        <v>1</v>
      </c>
      <c r="B395" s="11">
        <v>43818</v>
      </c>
      <c r="C395" s="160">
        <v>1245</v>
      </c>
      <c r="E395" s="1" t="s">
        <v>3258</v>
      </c>
      <c r="F395" s="22">
        <v>19112712</v>
      </c>
      <c r="N395" s="54" t="s">
        <v>3783</v>
      </c>
      <c r="O395" s="18">
        <v>43853</v>
      </c>
      <c r="Q395" s="1">
        <v>43836</v>
      </c>
    </row>
    <row r="396" spans="1:17" hidden="1" outlineLevel="1">
      <c r="A396" s="1">
        <v>2</v>
      </c>
      <c r="F396" s="22">
        <v>19112713</v>
      </c>
      <c r="N396" s="54" t="s">
        <v>3783</v>
      </c>
      <c r="O396" s="18">
        <v>43853</v>
      </c>
      <c r="Q396" s="1">
        <v>43836</v>
      </c>
    </row>
    <row r="397" spans="1:17" hidden="1" outlineLevel="1">
      <c r="A397" s="1">
        <v>3</v>
      </c>
      <c r="F397" s="22">
        <v>19112714</v>
      </c>
      <c r="M397" s="2" t="s">
        <v>3434</v>
      </c>
      <c r="N397" s="54" t="s">
        <v>3784</v>
      </c>
      <c r="O397" s="18">
        <v>43916</v>
      </c>
      <c r="Q397" s="1">
        <v>43836</v>
      </c>
    </row>
    <row r="398" spans="1:17" hidden="1" outlineLevel="1">
      <c r="A398" s="1">
        <v>4</v>
      </c>
      <c r="F398" s="22">
        <v>19112715</v>
      </c>
      <c r="M398" s="2" t="s">
        <v>3435</v>
      </c>
      <c r="N398" s="54" t="s">
        <v>3785</v>
      </c>
      <c r="O398" s="18">
        <v>43822</v>
      </c>
      <c r="Q398" s="1">
        <v>43836</v>
      </c>
    </row>
    <row r="399" spans="1:17" hidden="1" outlineLevel="1">
      <c r="A399" s="1">
        <v>5</v>
      </c>
      <c r="F399" s="22">
        <v>19112716</v>
      </c>
      <c r="M399" s="2" t="s">
        <v>3436</v>
      </c>
      <c r="N399" s="54" t="s">
        <v>3786</v>
      </c>
      <c r="O399" s="18">
        <v>43847</v>
      </c>
      <c r="Q399" s="1">
        <v>43836</v>
      </c>
    </row>
    <row r="400" spans="1:17" hidden="1" outlineLevel="1">
      <c r="A400" s="1">
        <v>6</v>
      </c>
      <c r="F400" s="22">
        <v>19112717</v>
      </c>
      <c r="M400" s="2" t="s">
        <v>3437</v>
      </c>
      <c r="N400" s="54" t="s">
        <v>3787</v>
      </c>
      <c r="O400" s="18">
        <v>43860</v>
      </c>
      <c r="Q400" s="1">
        <v>43836</v>
      </c>
    </row>
    <row r="401" spans="1:17" hidden="1" outlineLevel="1">
      <c r="A401" s="1">
        <v>7</v>
      </c>
      <c r="F401" s="22">
        <v>19112685</v>
      </c>
      <c r="N401" s="54" t="s">
        <v>3783</v>
      </c>
      <c r="O401" s="18">
        <v>43853</v>
      </c>
      <c r="Q401" s="1">
        <v>43836</v>
      </c>
    </row>
    <row r="402" spans="1:17" hidden="1" outlineLevel="1">
      <c r="A402" s="1">
        <v>8</v>
      </c>
      <c r="F402" s="22">
        <v>19112686</v>
      </c>
      <c r="N402" s="54" t="s">
        <v>3783</v>
      </c>
      <c r="O402" s="18">
        <v>43853</v>
      </c>
      <c r="Q402" s="1">
        <v>43836</v>
      </c>
    </row>
    <row r="403" spans="1:17" hidden="1" outlineLevel="1">
      <c r="A403" s="1">
        <v>9</v>
      </c>
      <c r="F403" s="22">
        <v>19121508</v>
      </c>
      <c r="M403" s="2" t="s">
        <v>3438</v>
      </c>
      <c r="N403" s="54" t="s">
        <v>83</v>
      </c>
      <c r="O403" s="18">
        <v>43822</v>
      </c>
    </row>
    <row r="404" spans="1:17" hidden="1" outlineLevel="1">
      <c r="A404" s="1">
        <v>10</v>
      </c>
      <c r="F404" s="22">
        <v>19121191</v>
      </c>
      <c r="M404" s="2" t="s">
        <v>3439</v>
      </c>
      <c r="N404" s="54" t="s">
        <v>3788</v>
      </c>
      <c r="O404" s="18">
        <v>43829</v>
      </c>
      <c r="P404" s="1" t="s">
        <v>4042</v>
      </c>
    </row>
    <row r="405" spans="1:17" collapsed="1">
      <c r="A405" s="8">
        <v>2020</v>
      </c>
      <c r="B405" s="58"/>
      <c r="C405" s="159"/>
      <c r="D405" s="8"/>
      <c r="E405" s="8"/>
      <c r="F405" s="9"/>
      <c r="G405" s="8"/>
      <c r="H405" s="8"/>
      <c r="I405" s="8"/>
      <c r="J405" s="132"/>
      <c r="K405" s="8"/>
      <c r="L405" s="58"/>
      <c r="M405" s="8"/>
      <c r="N405" s="133"/>
      <c r="O405" s="58"/>
      <c r="P405" s="8"/>
      <c r="Q405" s="8"/>
    </row>
    <row r="406" spans="1:17" hidden="1" outlineLevel="1">
      <c r="A406" s="1">
        <v>1</v>
      </c>
      <c r="B406" s="11" t="s">
        <v>6949</v>
      </c>
      <c r="C406" s="160">
        <v>42</v>
      </c>
      <c r="E406" s="1" t="s">
        <v>3258</v>
      </c>
      <c r="F406" s="22">
        <v>19121963</v>
      </c>
      <c r="N406" s="54" t="s">
        <v>3783</v>
      </c>
      <c r="O406" s="18">
        <v>43857</v>
      </c>
    </row>
    <row r="407" spans="1:17" hidden="1" outlineLevel="1">
      <c r="A407" s="1">
        <v>2</v>
      </c>
      <c r="F407" s="22">
        <v>19121964</v>
      </c>
      <c r="N407" s="54" t="s">
        <v>3783</v>
      </c>
      <c r="O407" s="18">
        <v>43857</v>
      </c>
    </row>
    <row r="408" spans="1:17" hidden="1" outlineLevel="1">
      <c r="A408" s="1">
        <v>3</v>
      </c>
      <c r="F408" s="22">
        <v>19121965</v>
      </c>
      <c r="N408" s="54" t="s">
        <v>350</v>
      </c>
      <c r="O408" s="18">
        <v>43861</v>
      </c>
    </row>
    <row r="409" spans="1:17" hidden="1" outlineLevel="1">
      <c r="A409" s="1">
        <v>4</v>
      </c>
      <c r="F409" s="22">
        <v>19121966</v>
      </c>
      <c r="N409" s="54" t="s">
        <v>350</v>
      </c>
      <c r="O409" s="18">
        <v>43861</v>
      </c>
    </row>
    <row r="410" spans="1:17" hidden="1" outlineLevel="1">
      <c r="A410" s="1">
        <v>5</v>
      </c>
      <c r="F410" s="22">
        <v>19121967</v>
      </c>
      <c r="M410" s="2" t="s">
        <v>3440</v>
      </c>
      <c r="N410" s="54" t="s">
        <v>3789</v>
      </c>
      <c r="O410" s="18">
        <v>43883</v>
      </c>
    </row>
    <row r="411" spans="1:17" hidden="1" outlineLevel="1">
      <c r="A411" s="1">
        <v>6</v>
      </c>
      <c r="F411" s="22">
        <v>19121968</v>
      </c>
      <c r="M411" s="2" t="s">
        <v>3441</v>
      </c>
      <c r="N411" s="54" t="s">
        <v>3651</v>
      </c>
      <c r="O411" s="18">
        <v>43903</v>
      </c>
    </row>
    <row r="412" spans="1:17" hidden="1" outlineLevel="1">
      <c r="A412" s="1">
        <v>7</v>
      </c>
      <c r="F412" s="22">
        <v>19121969</v>
      </c>
      <c r="N412" s="54" t="s">
        <v>3783</v>
      </c>
      <c r="O412" s="18">
        <v>43857</v>
      </c>
    </row>
    <row r="413" spans="1:17" hidden="1" outlineLevel="1">
      <c r="A413" s="1">
        <v>8</v>
      </c>
      <c r="F413" s="22">
        <v>19121970</v>
      </c>
      <c r="N413" s="54" t="s">
        <v>3783</v>
      </c>
      <c r="O413" s="18">
        <v>43857</v>
      </c>
    </row>
    <row r="414" spans="1:17" hidden="1" outlineLevel="1">
      <c r="A414" s="1">
        <v>9</v>
      </c>
      <c r="F414" s="22">
        <v>19121971</v>
      </c>
      <c r="N414" s="54" t="s">
        <v>3790</v>
      </c>
      <c r="O414" s="18">
        <v>43861</v>
      </c>
    </row>
    <row r="415" spans="1:17" hidden="1" outlineLevel="1">
      <c r="A415" s="1">
        <v>10</v>
      </c>
      <c r="F415" s="22">
        <v>19121972</v>
      </c>
      <c r="N415" s="54" t="s">
        <v>3790</v>
      </c>
      <c r="O415" s="18">
        <v>43861</v>
      </c>
    </row>
    <row r="416" spans="1:17" hidden="1" outlineLevel="1">
      <c r="A416" s="8"/>
      <c r="B416" s="58"/>
      <c r="C416" s="159"/>
      <c r="D416" s="8"/>
      <c r="E416" s="8"/>
      <c r="F416" s="9"/>
      <c r="G416" s="8"/>
      <c r="H416" s="8"/>
      <c r="I416" s="8"/>
      <c r="J416" s="132"/>
      <c r="K416" s="8"/>
      <c r="L416" s="58"/>
      <c r="M416" s="8"/>
      <c r="N416" s="133"/>
      <c r="O416" s="58"/>
      <c r="P416" s="8"/>
      <c r="Q416" s="8"/>
    </row>
    <row r="417" spans="1:17" hidden="1" outlineLevel="1">
      <c r="A417" s="1">
        <v>1</v>
      </c>
      <c r="B417" s="11" t="s">
        <v>6950</v>
      </c>
      <c r="C417" s="160">
        <v>78</v>
      </c>
      <c r="E417" s="1" t="s">
        <v>3258</v>
      </c>
      <c r="F417" s="22">
        <v>20011269</v>
      </c>
      <c r="N417" s="54" t="s">
        <v>3791</v>
      </c>
      <c r="O417" s="18">
        <v>43861</v>
      </c>
      <c r="P417" s="1" t="s">
        <v>4043</v>
      </c>
    </row>
    <row r="418" spans="1:17" hidden="1" outlineLevel="1">
      <c r="A418" s="1">
        <v>2</v>
      </c>
      <c r="F418" s="22">
        <v>20011270</v>
      </c>
      <c r="N418" s="54" t="s">
        <v>3791</v>
      </c>
      <c r="O418" s="18">
        <v>43861</v>
      </c>
    </row>
    <row r="419" spans="1:17" hidden="1" outlineLevel="1">
      <c r="A419" s="1">
        <v>3</v>
      </c>
      <c r="F419" s="22">
        <v>20011271</v>
      </c>
      <c r="N419" s="54" t="s">
        <v>3792</v>
      </c>
      <c r="O419" s="18">
        <v>43874</v>
      </c>
    </row>
    <row r="420" spans="1:17" hidden="1" outlineLevel="1">
      <c r="A420" s="1">
        <v>4</v>
      </c>
      <c r="F420" s="22">
        <v>20011272</v>
      </c>
      <c r="N420" s="54" t="s">
        <v>3793</v>
      </c>
      <c r="O420" s="18">
        <v>43880</v>
      </c>
    </row>
    <row r="421" spans="1:17" hidden="1" outlineLevel="1">
      <c r="A421" s="1">
        <v>5</v>
      </c>
      <c r="F421" s="22">
        <v>20011273</v>
      </c>
      <c r="N421" s="54" t="s">
        <v>3794</v>
      </c>
      <c r="O421" s="18">
        <v>43892</v>
      </c>
    </row>
    <row r="422" spans="1:17" hidden="1" outlineLevel="1">
      <c r="A422" s="1">
        <v>6</v>
      </c>
      <c r="F422" s="22">
        <v>20011274</v>
      </c>
      <c r="N422" s="54" t="s">
        <v>3794</v>
      </c>
      <c r="O422" s="18">
        <v>43892</v>
      </c>
    </row>
    <row r="423" spans="1:17" hidden="1" outlineLevel="1">
      <c r="A423" s="1">
        <v>7</v>
      </c>
      <c r="F423" s="22">
        <v>20011275</v>
      </c>
      <c r="N423" s="54" t="s">
        <v>3795</v>
      </c>
      <c r="O423" s="18">
        <v>43864</v>
      </c>
    </row>
    <row r="424" spans="1:17" hidden="1" outlineLevel="1">
      <c r="A424" s="1">
        <v>8</v>
      </c>
      <c r="F424" s="22">
        <v>20011276</v>
      </c>
      <c r="N424" s="54" t="s">
        <v>3796</v>
      </c>
      <c r="O424" s="18">
        <v>43866</v>
      </c>
    </row>
    <row r="425" spans="1:17" hidden="1" outlineLevel="1">
      <c r="A425" s="1">
        <v>9</v>
      </c>
      <c r="F425" s="22">
        <v>20011277</v>
      </c>
      <c r="N425" s="54" t="s">
        <v>3674</v>
      </c>
      <c r="O425" s="18">
        <v>43880</v>
      </c>
    </row>
    <row r="426" spans="1:17" hidden="1" outlineLevel="1">
      <c r="A426" s="1">
        <v>10</v>
      </c>
      <c r="F426" s="22">
        <v>20011278</v>
      </c>
      <c r="M426" s="2" t="s">
        <v>3308</v>
      </c>
      <c r="N426" s="54" t="s">
        <v>3797</v>
      </c>
      <c r="O426" s="18">
        <v>43888</v>
      </c>
    </row>
    <row r="427" spans="1:17" hidden="1" outlineLevel="1">
      <c r="A427" s="8"/>
      <c r="B427" s="58"/>
      <c r="C427" s="159"/>
      <c r="D427" s="8"/>
      <c r="E427" s="8"/>
      <c r="F427" s="9"/>
      <c r="G427" s="8"/>
      <c r="H427" s="8"/>
      <c r="I427" s="8"/>
      <c r="J427" s="132"/>
      <c r="K427" s="8"/>
      <c r="L427" s="58"/>
      <c r="M427" s="8"/>
      <c r="N427" s="133"/>
      <c r="O427" s="58"/>
      <c r="P427" s="8"/>
      <c r="Q427" s="8"/>
    </row>
    <row r="428" spans="1:17" hidden="1" outlineLevel="1">
      <c r="A428" s="1">
        <v>1</v>
      </c>
      <c r="B428" s="11">
        <v>43893</v>
      </c>
      <c r="C428" s="160">
        <v>757</v>
      </c>
      <c r="E428" s="1" t="s">
        <v>3259</v>
      </c>
      <c r="F428" s="22">
        <v>4031001002539</v>
      </c>
      <c r="N428" s="54" t="s">
        <v>3703</v>
      </c>
      <c r="O428" s="18">
        <v>43977</v>
      </c>
    </row>
    <row r="429" spans="1:17" hidden="1" outlineLevel="1">
      <c r="A429" s="8"/>
      <c r="B429" s="58"/>
      <c r="C429" s="159"/>
      <c r="D429" s="8"/>
      <c r="E429" s="8"/>
      <c r="F429" s="9"/>
      <c r="G429" s="8"/>
      <c r="H429" s="8"/>
      <c r="I429" s="8"/>
      <c r="J429" s="132"/>
      <c r="K429" s="8"/>
      <c r="L429" s="58"/>
      <c r="M429" s="8"/>
      <c r="N429" s="133"/>
      <c r="O429" s="58"/>
      <c r="P429" s="8"/>
      <c r="Q429" s="8"/>
    </row>
    <row r="430" spans="1:17" hidden="1" outlineLevel="1">
      <c r="A430" s="1">
        <v>1</v>
      </c>
      <c r="B430" s="11" t="s">
        <v>6951</v>
      </c>
      <c r="C430" s="160">
        <v>166</v>
      </c>
      <c r="E430" s="1" t="s">
        <v>3258</v>
      </c>
      <c r="F430" s="22">
        <v>20022074</v>
      </c>
      <c r="N430" s="54" t="s">
        <v>3798</v>
      </c>
      <c r="O430" s="18">
        <v>43903</v>
      </c>
      <c r="P430" s="1" t="s">
        <v>4044</v>
      </c>
    </row>
    <row r="431" spans="1:17" hidden="1" outlineLevel="1">
      <c r="A431" s="1">
        <v>2</v>
      </c>
      <c r="F431" s="22">
        <v>20022075</v>
      </c>
      <c r="M431" s="2" t="s">
        <v>3442</v>
      </c>
      <c r="N431" s="54" t="s">
        <v>3799</v>
      </c>
      <c r="O431" s="18">
        <v>43900</v>
      </c>
      <c r="P431" s="1" t="s">
        <v>4045</v>
      </c>
    </row>
    <row r="432" spans="1:17" hidden="1" outlineLevel="1">
      <c r="A432" s="1">
        <v>3</v>
      </c>
      <c r="F432" s="22">
        <v>20022076</v>
      </c>
      <c r="N432" s="54" t="s">
        <v>3798</v>
      </c>
      <c r="O432" s="18">
        <v>43903</v>
      </c>
    </row>
    <row r="433" spans="1:17" hidden="1" outlineLevel="1">
      <c r="A433" s="1">
        <v>4</v>
      </c>
      <c r="F433" s="22">
        <v>20022077</v>
      </c>
      <c r="N433" s="54" t="s">
        <v>3800</v>
      </c>
      <c r="O433" s="18">
        <v>43893</v>
      </c>
    </row>
    <row r="434" spans="1:17" hidden="1" outlineLevel="1">
      <c r="A434" s="1">
        <v>5</v>
      </c>
      <c r="F434" s="22">
        <v>20022078</v>
      </c>
      <c r="M434" s="2" t="s">
        <v>3443</v>
      </c>
      <c r="N434" s="54" t="s">
        <v>3801</v>
      </c>
      <c r="O434" s="18">
        <v>43893</v>
      </c>
    </row>
    <row r="435" spans="1:17" hidden="1" outlineLevel="1">
      <c r="A435" s="1">
        <v>6</v>
      </c>
      <c r="F435" s="22">
        <v>20022079</v>
      </c>
      <c r="M435" s="2" t="s">
        <v>3444</v>
      </c>
      <c r="N435" s="54" t="s">
        <v>3802</v>
      </c>
      <c r="O435" s="18">
        <v>43893</v>
      </c>
    </row>
    <row r="436" spans="1:17" hidden="1" outlineLevel="1">
      <c r="A436" s="1">
        <v>7</v>
      </c>
      <c r="F436" s="22">
        <v>20022080</v>
      </c>
      <c r="M436" s="2" t="s">
        <v>3445</v>
      </c>
      <c r="N436" s="54" t="s">
        <v>3803</v>
      </c>
      <c r="O436" s="18">
        <v>43903</v>
      </c>
    </row>
    <row r="437" spans="1:17" hidden="1" outlineLevel="1">
      <c r="A437" s="1">
        <v>8</v>
      </c>
      <c r="F437" s="22">
        <v>20022081</v>
      </c>
      <c r="M437" s="2" t="s">
        <v>3446</v>
      </c>
      <c r="N437" s="54" t="s">
        <v>3804</v>
      </c>
      <c r="O437" s="18">
        <v>43908</v>
      </c>
    </row>
    <row r="438" spans="1:17" hidden="1" outlineLevel="1">
      <c r="A438" s="1">
        <v>9</v>
      </c>
      <c r="F438" s="22">
        <v>20022082</v>
      </c>
      <c r="I438" s="2" t="s">
        <v>3298</v>
      </c>
      <c r="J438" s="61">
        <v>43903</v>
      </c>
      <c r="O438" s="18">
        <v>43903</v>
      </c>
    </row>
    <row r="439" spans="1:17" hidden="1" outlineLevel="1">
      <c r="A439" s="1">
        <v>10</v>
      </c>
      <c r="F439" s="22">
        <v>20022083</v>
      </c>
      <c r="M439" s="2" t="s">
        <v>3447</v>
      </c>
      <c r="N439" s="54" t="s">
        <v>3805</v>
      </c>
      <c r="O439" s="18">
        <v>43907</v>
      </c>
    </row>
    <row r="440" spans="1:17" hidden="1" outlineLevel="1">
      <c r="A440" s="8"/>
      <c r="B440" s="58"/>
      <c r="C440" s="159"/>
      <c r="D440" s="8"/>
      <c r="E440" s="8"/>
      <c r="F440" s="9"/>
      <c r="G440" s="8"/>
      <c r="H440" s="8"/>
      <c r="I440" s="8"/>
      <c r="J440" s="132"/>
      <c r="K440" s="8"/>
      <c r="L440" s="58"/>
      <c r="M440" s="8"/>
      <c r="N440" s="133"/>
      <c r="O440" s="58"/>
      <c r="P440" s="8"/>
      <c r="Q440" s="8"/>
    </row>
    <row r="441" spans="1:17" hidden="1" outlineLevel="1">
      <c r="A441" s="1">
        <v>1</v>
      </c>
      <c r="B441" s="11">
        <v>43895</v>
      </c>
      <c r="C441" s="160">
        <v>181</v>
      </c>
      <c r="E441" s="1" t="s">
        <v>3258</v>
      </c>
      <c r="F441" s="22">
        <v>20021749</v>
      </c>
      <c r="N441" s="54" t="s">
        <v>3806</v>
      </c>
      <c r="O441" s="18">
        <v>43900</v>
      </c>
    </row>
    <row r="442" spans="1:17" hidden="1" outlineLevel="1">
      <c r="A442" s="1">
        <v>2</v>
      </c>
      <c r="F442" s="22">
        <v>20021620</v>
      </c>
      <c r="N442" s="54" t="s">
        <v>3806</v>
      </c>
      <c r="O442" s="18">
        <v>43900</v>
      </c>
    </row>
    <row r="443" spans="1:17" hidden="1" outlineLevel="1">
      <c r="A443" s="1">
        <v>3</v>
      </c>
      <c r="F443" s="22">
        <v>20022084</v>
      </c>
      <c r="N443" s="54" t="s">
        <v>3702</v>
      </c>
      <c r="O443" s="18">
        <v>43934</v>
      </c>
    </row>
    <row r="444" spans="1:17" hidden="1" outlineLevel="1">
      <c r="A444" s="1">
        <v>4</v>
      </c>
      <c r="F444" s="22">
        <v>20022085</v>
      </c>
      <c r="M444" s="2" t="s">
        <v>3448</v>
      </c>
      <c r="N444" s="54" t="s">
        <v>3679</v>
      </c>
      <c r="O444" s="18">
        <v>43931</v>
      </c>
    </row>
    <row r="445" spans="1:17" hidden="1" outlineLevel="1">
      <c r="A445" s="1">
        <v>5</v>
      </c>
      <c r="F445" s="22">
        <v>20022086</v>
      </c>
      <c r="N445" s="54" t="s">
        <v>3806</v>
      </c>
      <c r="O445" s="18">
        <v>43900</v>
      </c>
    </row>
    <row r="446" spans="1:17" hidden="1" outlineLevel="1">
      <c r="A446" s="1">
        <v>6</v>
      </c>
      <c r="F446" s="22">
        <v>20022087</v>
      </c>
      <c r="N446" s="54" t="s">
        <v>3806</v>
      </c>
      <c r="O446" s="18">
        <v>43900</v>
      </c>
    </row>
    <row r="447" spans="1:17" hidden="1" outlineLevel="1">
      <c r="A447" s="1">
        <v>7</v>
      </c>
      <c r="F447" s="22">
        <v>20022088</v>
      </c>
      <c r="N447" s="54" t="s">
        <v>3806</v>
      </c>
      <c r="O447" s="18">
        <v>43900</v>
      </c>
    </row>
    <row r="448" spans="1:17" hidden="1" outlineLevel="1">
      <c r="A448" s="1">
        <v>8</v>
      </c>
      <c r="F448" s="22">
        <v>20022089</v>
      </c>
      <c r="N448" s="54" t="s">
        <v>3806</v>
      </c>
      <c r="O448" s="18">
        <v>43900</v>
      </c>
    </row>
    <row r="449" spans="1:17" hidden="1" outlineLevel="1">
      <c r="A449" s="1">
        <v>9</v>
      </c>
      <c r="F449" s="22">
        <v>20022090</v>
      </c>
      <c r="N449" s="54" t="s">
        <v>3806</v>
      </c>
      <c r="O449" s="18">
        <v>43900</v>
      </c>
    </row>
    <row r="450" spans="1:17" hidden="1" outlineLevel="1">
      <c r="A450" s="1">
        <v>10</v>
      </c>
      <c r="F450" s="22">
        <v>20022091</v>
      </c>
      <c r="N450" s="54" t="s">
        <v>3806</v>
      </c>
      <c r="O450" s="18">
        <v>43900</v>
      </c>
    </row>
    <row r="451" spans="1:17" hidden="1" outlineLevel="1">
      <c r="A451" s="1">
        <v>11</v>
      </c>
      <c r="F451" s="22">
        <v>20022400</v>
      </c>
      <c r="N451" s="54" t="s">
        <v>3806</v>
      </c>
      <c r="O451" s="18">
        <v>43900</v>
      </c>
    </row>
    <row r="452" spans="1:17" hidden="1" outlineLevel="1">
      <c r="A452" s="1">
        <v>12</v>
      </c>
      <c r="F452" s="22">
        <v>20022401</v>
      </c>
      <c r="N452" s="54" t="s">
        <v>3806</v>
      </c>
      <c r="O452" s="18">
        <v>43900</v>
      </c>
    </row>
    <row r="453" spans="1:17" hidden="1" outlineLevel="1">
      <c r="A453" s="1">
        <v>13</v>
      </c>
      <c r="F453" s="22">
        <v>20022402</v>
      </c>
      <c r="N453" s="54" t="s">
        <v>3806</v>
      </c>
      <c r="O453" s="18">
        <v>43900</v>
      </c>
    </row>
    <row r="454" spans="1:17" hidden="1" outlineLevel="1">
      <c r="A454" s="1">
        <v>14</v>
      </c>
      <c r="F454" s="22">
        <v>20022403</v>
      </c>
      <c r="N454" s="54" t="s">
        <v>3806</v>
      </c>
      <c r="O454" s="18">
        <v>43900</v>
      </c>
    </row>
    <row r="455" spans="1:17" hidden="1" outlineLevel="1">
      <c r="A455" s="1">
        <v>15</v>
      </c>
      <c r="F455" s="22">
        <v>20022404</v>
      </c>
      <c r="N455" s="54" t="s">
        <v>3806</v>
      </c>
      <c r="O455" s="18">
        <v>43900</v>
      </c>
    </row>
    <row r="456" spans="1:17" hidden="1" outlineLevel="1">
      <c r="A456" s="1">
        <v>16</v>
      </c>
      <c r="F456" s="22">
        <v>20022405</v>
      </c>
      <c r="N456" s="54" t="s">
        <v>3806</v>
      </c>
      <c r="O456" s="18">
        <v>43900</v>
      </c>
    </row>
    <row r="457" spans="1:17" hidden="1" outlineLevel="1">
      <c r="A457" s="1">
        <v>17</v>
      </c>
      <c r="F457" s="22">
        <v>20022406</v>
      </c>
      <c r="M457" s="2" t="s">
        <v>3449</v>
      </c>
      <c r="N457" s="54" t="s">
        <v>3807</v>
      </c>
      <c r="O457" s="18">
        <v>43958</v>
      </c>
    </row>
    <row r="458" spans="1:17" hidden="1" outlineLevel="1">
      <c r="A458" s="1">
        <v>18</v>
      </c>
      <c r="F458" s="22">
        <v>20022407</v>
      </c>
      <c r="N458" s="54" t="s">
        <v>3808</v>
      </c>
      <c r="O458" s="18">
        <v>43957</v>
      </c>
    </row>
    <row r="459" spans="1:17" hidden="1" outlineLevel="1">
      <c r="A459" s="1">
        <v>19</v>
      </c>
      <c r="F459" s="22">
        <v>20022408</v>
      </c>
      <c r="N459" s="54" t="s">
        <v>3806</v>
      </c>
      <c r="O459" s="18">
        <v>43900</v>
      </c>
    </row>
    <row r="460" spans="1:17" hidden="1" outlineLevel="1">
      <c r="A460" s="1">
        <v>20</v>
      </c>
      <c r="F460" s="22">
        <v>20022409</v>
      </c>
      <c r="N460" s="54" t="s">
        <v>3806</v>
      </c>
      <c r="O460" s="18">
        <v>43900</v>
      </c>
    </row>
    <row r="461" spans="1:17" hidden="1" outlineLevel="1">
      <c r="A461" s="8"/>
      <c r="B461" s="58"/>
      <c r="C461" s="159"/>
      <c r="D461" s="8"/>
      <c r="E461" s="8"/>
      <c r="F461" s="9"/>
      <c r="G461" s="8"/>
      <c r="H461" s="8"/>
      <c r="I461" s="8"/>
      <c r="J461" s="132"/>
      <c r="K461" s="8"/>
      <c r="L461" s="58"/>
      <c r="M461" s="8"/>
      <c r="N461" s="133"/>
      <c r="O461" s="58"/>
      <c r="P461" s="8"/>
      <c r="Q461" s="8"/>
    </row>
    <row r="462" spans="1:17" hidden="1" outlineLevel="1">
      <c r="A462" s="1">
        <v>1</v>
      </c>
      <c r="B462" s="11" t="s">
        <v>6952</v>
      </c>
      <c r="C462" s="160">
        <v>189</v>
      </c>
      <c r="E462" s="1" t="s">
        <v>3258</v>
      </c>
      <c r="F462" s="22">
        <v>20030022</v>
      </c>
      <c r="N462" s="54" t="s">
        <v>3806</v>
      </c>
      <c r="O462" s="18">
        <v>43900</v>
      </c>
      <c r="P462" s="1" t="s">
        <v>4046</v>
      </c>
    </row>
    <row r="463" spans="1:17" hidden="1" outlineLevel="1">
      <c r="A463" s="1">
        <v>2</v>
      </c>
      <c r="F463" s="22">
        <v>20030023</v>
      </c>
      <c r="N463" s="54" t="s">
        <v>3806</v>
      </c>
      <c r="O463" s="18">
        <v>43900</v>
      </c>
      <c r="P463" s="1" t="s">
        <v>4047</v>
      </c>
    </row>
    <row r="464" spans="1:17" hidden="1" outlineLevel="1">
      <c r="A464" s="1">
        <v>3</v>
      </c>
      <c r="F464" s="22">
        <v>20030024</v>
      </c>
      <c r="I464" s="2" t="s">
        <v>3299</v>
      </c>
      <c r="J464" s="61">
        <v>43928</v>
      </c>
    </row>
    <row r="465" spans="1:15" hidden="1" outlineLevel="1">
      <c r="A465" s="1">
        <v>4</v>
      </c>
      <c r="F465" s="22">
        <v>20030025</v>
      </c>
      <c r="I465" s="2" t="s">
        <v>3299</v>
      </c>
      <c r="J465" s="61">
        <v>43928</v>
      </c>
    </row>
    <row r="466" spans="1:15" hidden="1" outlineLevel="1">
      <c r="A466" s="1">
        <v>5</v>
      </c>
      <c r="F466" s="22">
        <v>20030026</v>
      </c>
      <c r="I466" s="2" t="s">
        <v>3299</v>
      </c>
      <c r="J466" s="61">
        <v>43928</v>
      </c>
    </row>
    <row r="467" spans="1:15" hidden="1" outlineLevel="1">
      <c r="A467" s="1">
        <v>6</v>
      </c>
      <c r="F467" s="22">
        <v>20030027</v>
      </c>
      <c r="I467" s="2" t="s">
        <v>3299</v>
      </c>
      <c r="J467" s="61">
        <v>43928</v>
      </c>
    </row>
    <row r="468" spans="1:15" hidden="1" outlineLevel="1">
      <c r="A468" s="1">
        <v>7</v>
      </c>
      <c r="F468" s="22">
        <v>20030028</v>
      </c>
      <c r="N468" s="54" t="s">
        <v>3806</v>
      </c>
      <c r="O468" s="18">
        <v>43900</v>
      </c>
    </row>
    <row r="469" spans="1:15" hidden="1" outlineLevel="1">
      <c r="A469" s="1">
        <v>8</v>
      </c>
      <c r="F469" s="22">
        <v>20030029</v>
      </c>
      <c r="N469" s="54" t="s">
        <v>3809</v>
      </c>
      <c r="O469" s="18">
        <v>43914</v>
      </c>
    </row>
    <row r="470" spans="1:15" hidden="1" outlineLevel="1">
      <c r="A470" s="1">
        <v>9</v>
      </c>
      <c r="F470" s="22">
        <v>20030030</v>
      </c>
      <c r="M470" s="2" t="s">
        <v>3450</v>
      </c>
      <c r="N470" s="54" t="s">
        <v>3810</v>
      </c>
      <c r="O470" s="18">
        <v>43915</v>
      </c>
    </row>
    <row r="471" spans="1:15" hidden="1" outlineLevel="1">
      <c r="A471" s="1">
        <v>10</v>
      </c>
      <c r="F471" s="22">
        <v>20030031</v>
      </c>
      <c r="N471" s="54" t="s">
        <v>3811</v>
      </c>
      <c r="O471" s="18">
        <v>43914</v>
      </c>
    </row>
    <row r="472" spans="1:15" hidden="1" outlineLevel="1">
      <c r="A472" s="1">
        <v>11</v>
      </c>
      <c r="F472" s="22">
        <v>20030607</v>
      </c>
      <c r="N472" s="54" t="s">
        <v>3806</v>
      </c>
      <c r="O472" s="18">
        <v>43900</v>
      </c>
    </row>
    <row r="473" spans="1:15" hidden="1" outlineLevel="1">
      <c r="A473" s="1">
        <v>12</v>
      </c>
      <c r="F473" s="22">
        <v>20030608</v>
      </c>
      <c r="N473" s="54" t="s">
        <v>3806</v>
      </c>
      <c r="O473" s="18">
        <v>43900</v>
      </c>
    </row>
    <row r="474" spans="1:15" hidden="1" outlineLevel="1">
      <c r="A474" s="1">
        <v>13</v>
      </c>
      <c r="F474" s="22">
        <v>20030609</v>
      </c>
      <c r="N474" s="54" t="s">
        <v>3796</v>
      </c>
      <c r="O474" s="18">
        <v>43941</v>
      </c>
    </row>
    <row r="475" spans="1:15" hidden="1" outlineLevel="1">
      <c r="A475" s="1">
        <v>14</v>
      </c>
      <c r="F475" s="22">
        <v>20030610</v>
      </c>
      <c r="N475" s="54" t="s">
        <v>3812</v>
      </c>
      <c r="O475" s="18">
        <v>43937</v>
      </c>
    </row>
    <row r="476" spans="1:15" hidden="1" outlineLevel="1">
      <c r="A476" s="1">
        <v>15</v>
      </c>
      <c r="F476" s="22">
        <v>20030611</v>
      </c>
      <c r="M476" s="2" t="s">
        <v>3451</v>
      </c>
      <c r="N476" s="54" t="s">
        <v>3804</v>
      </c>
      <c r="O476" s="18">
        <v>43909</v>
      </c>
    </row>
    <row r="477" spans="1:15" hidden="1" outlineLevel="1">
      <c r="A477" s="1">
        <v>16</v>
      </c>
      <c r="F477" s="22">
        <v>20030612</v>
      </c>
      <c r="M477" s="2" t="s">
        <v>3452</v>
      </c>
      <c r="N477" s="54" t="s">
        <v>3813</v>
      </c>
      <c r="O477" s="18">
        <v>43907</v>
      </c>
    </row>
    <row r="478" spans="1:15" hidden="1" outlineLevel="1">
      <c r="A478" s="1">
        <v>17</v>
      </c>
      <c r="F478" s="22">
        <v>20030613</v>
      </c>
      <c r="M478" s="2" t="s">
        <v>3453</v>
      </c>
      <c r="N478" s="54" t="s">
        <v>3814</v>
      </c>
      <c r="O478" s="18">
        <v>43910</v>
      </c>
    </row>
    <row r="479" spans="1:15" hidden="1" outlineLevel="1">
      <c r="A479" s="1">
        <v>18</v>
      </c>
      <c r="F479" s="22">
        <v>20030614</v>
      </c>
      <c r="M479" s="2" t="s">
        <v>3454</v>
      </c>
      <c r="N479" s="54" t="s">
        <v>3804</v>
      </c>
      <c r="O479" s="18">
        <v>43910</v>
      </c>
    </row>
    <row r="480" spans="1:15" hidden="1" outlineLevel="1">
      <c r="A480" s="1">
        <v>19</v>
      </c>
      <c r="F480" s="22">
        <v>20030615</v>
      </c>
      <c r="M480" s="2" t="s">
        <v>3455</v>
      </c>
      <c r="N480" s="54" t="s">
        <v>3815</v>
      </c>
      <c r="O480" s="18">
        <v>43908</v>
      </c>
    </row>
    <row r="481" spans="1:17" hidden="1" outlineLevel="1">
      <c r="A481" s="1">
        <v>20</v>
      </c>
      <c r="F481" s="22">
        <v>19110259</v>
      </c>
      <c r="N481" s="54" t="s">
        <v>3816</v>
      </c>
      <c r="O481" s="18">
        <v>43907</v>
      </c>
    </row>
    <row r="482" spans="1:17" hidden="1" outlineLevel="1">
      <c r="A482" s="8"/>
      <c r="B482" s="58"/>
      <c r="C482" s="159"/>
      <c r="D482" s="8"/>
      <c r="E482" s="8"/>
      <c r="F482" s="9"/>
      <c r="G482" s="8"/>
      <c r="H482" s="8"/>
      <c r="I482" s="8"/>
      <c r="J482" s="132"/>
      <c r="K482" s="8"/>
      <c r="L482" s="58"/>
      <c r="M482" s="8"/>
      <c r="N482" s="133"/>
      <c r="O482" s="58"/>
      <c r="P482" s="8"/>
      <c r="Q482" s="8"/>
    </row>
    <row r="483" spans="1:17" hidden="1" outlineLevel="1">
      <c r="A483" s="1">
        <v>1</v>
      </c>
      <c r="B483" s="11" t="s">
        <v>6953</v>
      </c>
      <c r="C483" s="160">
        <v>217</v>
      </c>
      <c r="E483" s="1" t="s">
        <v>3260</v>
      </c>
      <c r="F483" s="22">
        <v>20031049</v>
      </c>
      <c r="M483" s="2" t="s">
        <v>3456</v>
      </c>
      <c r="N483" s="54" t="s">
        <v>3804</v>
      </c>
      <c r="O483" s="18">
        <v>43908</v>
      </c>
    </row>
    <row r="484" spans="1:17" hidden="1" outlineLevel="1">
      <c r="A484" s="1">
        <v>2</v>
      </c>
      <c r="F484" s="22">
        <v>20031050</v>
      </c>
      <c r="M484" s="2" t="s">
        <v>3456</v>
      </c>
      <c r="N484" s="54" t="s">
        <v>3804</v>
      </c>
      <c r="O484" s="18">
        <v>43908</v>
      </c>
    </row>
    <row r="485" spans="1:17" hidden="1" outlineLevel="1">
      <c r="A485" s="1">
        <v>3</v>
      </c>
      <c r="F485" s="22">
        <v>20031051</v>
      </c>
      <c r="N485" s="54" t="s">
        <v>3817</v>
      </c>
      <c r="O485" s="18">
        <v>43914</v>
      </c>
    </row>
    <row r="486" spans="1:17" hidden="1" outlineLevel="1">
      <c r="A486" s="1">
        <v>4</v>
      </c>
      <c r="F486" s="22">
        <v>20031052</v>
      </c>
      <c r="N486" s="54" t="s">
        <v>3658</v>
      </c>
      <c r="O486" s="18">
        <v>43910</v>
      </c>
    </row>
    <row r="487" spans="1:17" hidden="1" outlineLevel="1">
      <c r="A487" s="1">
        <v>5</v>
      </c>
      <c r="F487" s="22">
        <v>20031053</v>
      </c>
      <c r="M487" s="2" t="s">
        <v>3457</v>
      </c>
      <c r="N487" s="54" t="s">
        <v>3818</v>
      </c>
      <c r="O487" s="18">
        <v>43927</v>
      </c>
    </row>
    <row r="488" spans="1:17" hidden="1" outlineLevel="1">
      <c r="A488" s="1">
        <v>6</v>
      </c>
      <c r="F488" s="22">
        <v>20031054</v>
      </c>
      <c r="M488" s="2" t="s">
        <v>3458</v>
      </c>
      <c r="N488" s="54" t="s">
        <v>3640</v>
      </c>
      <c r="O488" s="18">
        <v>43927</v>
      </c>
    </row>
    <row r="489" spans="1:17" hidden="1" outlineLevel="1">
      <c r="A489" s="1">
        <v>7</v>
      </c>
      <c r="F489" s="22">
        <v>20031055</v>
      </c>
      <c r="N489" s="54" t="s">
        <v>3819</v>
      </c>
    </row>
    <row r="490" spans="1:17" hidden="1" outlineLevel="1">
      <c r="A490" s="1">
        <v>8</v>
      </c>
      <c r="F490" s="22">
        <v>20031056</v>
      </c>
      <c r="M490" s="2" t="s">
        <v>3457</v>
      </c>
      <c r="N490" s="54" t="s">
        <v>3820</v>
      </c>
    </row>
    <row r="491" spans="1:17" hidden="1" outlineLevel="1">
      <c r="A491" s="1">
        <v>9</v>
      </c>
      <c r="F491" s="22">
        <v>20031057</v>
      </c>
      <c r="N491" s="54" t="s">
        <v>3821</v>
      </c>
      <c r="O491" s="18">
        <v>43916</v>
      </c>
    </row>
    <row r="492" spans="1:17" hidden="1" outlineLevel="1">
      <c r="A492" s="1">
        <v>10</v>
      </c>
      <c r="F492" s="22">
        <v>20031058</v>
      </c>
      <c r="M492" s="2" t="s">
        <v>3459</v>
      </c>
      <c r="N492" s="54" t="s">
        <v>3822</v>
      </c>
      <c r="O492" s="18">
        <v>43915</v>
      </c>
    </row>
    <row r="493" spans="1:17" hidden="1" outlineLevel="1">
      <c r="A493" s="8"/>
      <c r="B493" s="58"/>
      <c r="C493" s="159"/>
      <c r="D493" s="8"/>
      <c r="E493" s="8"/>
      <c r="F493" s="9"/>
      <c r="G493" s="8"/>
      <c r="H493" s="8"/>
      <c r="I493" s="8"/>
      <c r="J493" s="132"/>
      <c r="K493" s="8"/>
      <c r="L493" s="58"/>
      <c r="M493" s="8"/>
      <c r="N493" s="133"/>
      <c r="O493" s="58"/>
      <c r="P493" s="8"/>
      <c r="Q493" s="8"/>
    </row>
    <row r="494" spans="1:17" hidden="1" outlineLevel="1">
      <c r="A494" s="1">
        <v>1</v>
      </c>
      <c r="B494" s="11" t="s">
        <v>6954</v>
      </c>
      <c r="C494" s="160">
        <v>294</v>
      </c>
      <c r="E494" s="1" t="s">
        <v>3261</v>
      </c>
      <c r="F494" s="22">
        <v>20031059</v>
      </c>
      <c r="N494" s="54" t="s">
        <v>3823</v>
      </c>
      <c r="O494" s="18">
        <v>43951</v>
      </c>
    </row>
    <row r="495" spans="1:17" hidden="1" outlineLevel="1">
      <c r="A495" s="1">
        <v>2</v>
      </c>
      <c r="F495" s="22">
        <v>20031060</v>
      </c>
      <c r="N495" s="54" t="s">
        <v>3823</v>
      </c>
      <c r="O495" s="18">
        <v>43951</v>
      </c>
    </row>
    <row r="496" spans="1:17" hidden="1" outlineLevel="1">
      <c r="A496" s="1">
        <v>3</v>
      </c>
      <c r="F496" s="22">
        <v>20031061</v>
      </c>
      <c r="N496" s="54" t="s">
        <v>3823</v>
      </c>
      <c r="O496" s="18">
        <v>43951</v>
      </c>
    </row>
    <row r="497" spans="1:17" hidden="1" outlineLevel="1">
      <c r="A497" s="1">
        <v>4</v>
      </c>
      <c r="F497" s="22">
        <v>20031062</v>
      </c>
      <c r="N497" s="54" t="s">
        <v>3823</v>
      </c>
      <c r="O497" s="18">
        <v>43951</v>
      </c>
    </row>
    <row r="498" spans="1:17" hidden="1" outlineLevel="1">
      <c r="A498" s="1">
        <v>5</v>
      </c>
      <c r="F498" s="22">
        <v>20031063</v>
      </c>
      <c r="M498" s="2" t="s">
        <v>3372</v>
      </c>
      <c r="N498" s="54" t="s">
        <v>3824</v>
      </c>
      <c r="O498" s="18">
        <v>43945</v>
      </c>
    </row>
    <row r="499" spans="1:17" hidden="1" outlineLevel="1">
      <c r="A499" s="1">
        <v>6</v>
      </c>
      <c r="F499" s="22">
        <v>20031064</v>
      </c>
      <c r="M499" s="2" t="s">
        <v>3372</v>
      </c>
      <c r="N499" s="54" t="s">
        <v>3824</v>
      </c>
      <c r="O499" s="18">
        <v>43945</v>
      </c>
    </row>
    <row r="500" spans="1:17" hidden="1" outlineLevel="1">
      <c r="A500" s="1">
        <v>7</v>
      </c>
      <c r="F500" s="22">
        <v>20031065</v>
      </c>
      <c r="N500" s="54" t="s">
        <v>3808</v>
      </c>
      <c r="O500" s="18">
        <v>43957</v>
      </c>
    </row>
    <row r="501" spans="1:17" hidden="1" outlineLevel="1">
      <c r="A501" s="1">
        <v>8</v>
      </c>
      <c r="F501" s="22">
        <v>20031066</v>
      </c>
      <c r="N501" s="54" t="s">
        <v>3808</v>
      </c>
      <c r="O501" s="18">
        <v>43957</v>
      </c>
    </row>
    <row r="502" spans="1:17" hidden="1" outlineLevel="1">
      <c r="A502" s="1">
        <v>9</v>
      </c>
      <c r="F502" s="22">
        <v>20031193</v>
      </c>
      <c r="M502" s="2" t="s">
        <v>3460</v>
      </c>
      <c r="N502" s="54" t="s">
        <v>3649</v>
      </c>
      <c r="O502" s="18">
        <v>43945</v>
      </c>
    </row>
    <row r="503" spans="1:17" hidden="1" outlineLevel="1">
      <c r="A503" s="1">
        <v>10</v>
      </c>
      <c r="F503" s="22">
        <v>20031194</v>
      </c>
      <c r="M503" s="2" t="s">
        <v>3461</v>
      </c>
      <c r="N503" s="54" t="s">
        <v>3649</v>
      </c>
      <c r="O503" s="18">
        <v>43945</v>
      </c>
    </row>
    <row r="504" spans="1:17" hidden="1" outlineLevel="1">
      <c r="A504" s="8"/>
      <c r="B504" s="58"/>
      <c r="C504" s="159"/>
      <c r="D504" s="8"/>
      <c r="E504" s="8"/>
      <c r="F504" s="9"/>
      <c r="G504" s="8"/>
      <c r="H504" s="8"/>
      <c r="I504" s="8"/>
      <c r="J504" s="132"/>
      <c r="K504" s="8"/>
      <c r="L504" s="58"/>
      <c r="M504" s="8"/>
      <c r="N504" s="133"/>
      <c r="O504" s="58"/>
      <c r="P504" s="8"/>
      <c r="Q504" s="8"/>
    </row>
    <row r="505" spans="1:17" hidden="1" outlineLevel="1">
      <c r="A505" s="1">
        <v>1</v>
      </c>
      <c r="B505" s="11" t="s">
        <v>6955</v>
      </c>
      <c r="C505" s="160">
        <v>319</v>
      </c>
      <c r="E505" s="1" t="s">
        <v>3261</v>
      </c>
      <c r="F505" s="22">
        <v>20031732</v>
      </c>
      <c r="N505" s="54" t="s">
        <v>3823</v>
      </c>
      <c r="O505" s="18">
        <v>43951</v>
      </c>
    </row>
    <row r="506" spans="1:17" hidden="1" outlineLevel="1">
      <c r="A506" s="1">
        <v>2</v>
      </c>
      <c r="F506" s="22">
        <v>20031733</v>
      </c>
      <c r="N506" s="54" t="s">
        <v>3823</v>
      </c>
      <c r="O506" s="18">
        <v>43951</v>
      </c>
    </row>
    <row r="507" spans="1:17" hidden="1" outlineLevel="1">
      <c r="A507" s="1">
        <v>3</v>
      </c>
      <c r="F507" s="22">
        <v>20031734</v>
      </c>
      <c r="N507" s="54" t="s">
        <v>3823</v>
      </c>
      <c r="O507" s="18">
        <v>43951</v>
      </c>
    </row>
    <row r="508" spans="1:17" hidden="1" outlineLevel="1">
      <c r="A508" s="1">
        <v>4</v>
      </c>
      <c r="F508" s="22">
        <v>20031735</v>
      </c>
      <c r="N508" s="54" t="s">
        <v>3823</v>
      </c>
      <c r="O508" s="18">
        <v>43951</v>
      </c>
    </row>
    <row r="509" spans="1:17" hidden="1" outlineLevel="1">
      <c r="A509" s="1">
        <v>5</v>
      </c>
      <c r="F509" s="22">
        <v>20032835</v>
      </c>
      <c r="N509" s="54" t="s">
        <v>3780</v>
      </c>
      <c r="O509" s="18">
        <v>43971</v>
      </c>
    </row>
    <row r="510" spans="1:17" hidden="1" outlineLevel="1">
      <c r="A510" s="1">
        <v>6</v>
      </c>
      <c r="F510" s="22">
        <v>20032836</v>
      </c>
      <c r="M510" s="2" t="s">
        <v>3462</v>
      </c>
      <c r="N510" s="54" t="s">
        <v>160</v>
      </c>
      <c r="O510" s="18">
        <v>43964</v>
      </c>
    </row>
    <row r="511" spans="1:17" hidden="1" outlineLevel="1">
      <c r="A511" s="1">
        <v>7</v>
      </c>
      <c r="F511" s="22">
        <v>20031738</v>
      </c>
      <c r="N511" s="54" t="s">
        <v>3823</v>
      </c>
      <c r="O511" s="18">
        <v>43951</v>
      </c>
    </row>
    <row r="512" spans="1:17" hidden="1" outlineLevel="1">
      <c r="A512" s="1">
        <v>8</v>
      </c>
      <c r="F512" s="22">
        <v>20031739</v>
      </c>
      <c r="N512" s="54" t="s">
        <v>3823</v>
      </c>
      <c r="O512" s="18">
        <v>43951</v>
      </c>
    </row>
    <row r="513" spans="1:15" hidden="1" outlineLevel="1">
      <c r="A513" s="1">
        <v>9</v>
      </c>
      <c r="F513" s="22">
        <v>20031740</v>
      </c>
      <c r="M513" s="2" t="s">
        <v>3449</v>
      </c>
      <c r="N513" s="54" t="s">
        <v>3825</v>
      </c>
      <c r="O513" s="18">
        <v>43958</v>
      </c>
    </row>
    <row r="514" spans="1:15" hidden="1" outlineLevel="1">
      <c r="A514" s="1">
        <v>10</v>
      </c>
      <c r="F514" s="22">
        <v>20031195</v>
      </c>
      <c r="N514" s="54" t="s">
        <v>3823</v>
      </c>
      <c r="O514" s="18">
        <v>43951</v>
      </c>
    </row>
    <row r="515" spans="1:15" hidden="1" outlineLevel="1">
      <c r="A515" s="1">
        <v>11</v>
      </c>
      <c r="F515" s="22">
        <v>20031196</v>
      </c>
      <c r="N515" s="54" t="s">
        <v>3823</v>
      </c>
      <c r="O515" s="18">
        <v>43951</v>
      </c>
    </row>
    <row r="516" spans="1:15" hidden="1" outlineLevel="1">
      <c r="A516" s="1">
        <v>12</v>
      </c>
      <c r="F516" s="22">
        <v>20031197</v>
      </c>
      <c r="N516" s="54" t="s">
        <v>3780</v>
      </c>
      <c r="O516" s="18">
        <v>43966</v>
      </c>
    </row>
    <row r="517" spans="1:15" hidden="1" outlineLevel="1">
      <c r="A517" s="1">
        <v>13</v>
      </c>
      <c r="F517" s="22">
        <v>20031198</v>
      </c>
      <c r="N517" s="54" t="s">
        <v>3780</v>
      </c>
      <c r="O517" s="18">
        <v>43966</v>
      </c>
    </row>
    <row r="518" spans="1:15" hidden="1" outlineLevel="1">
      <c r="A518" s="1">
        <v>14</v>
      </c>
      <c r="F518" s="22">
        <v>20031199</v>
      </c>
      <c r="N518" s="54" t="s">
        <v>3823</v>
      </c>
      <c r="O518" s="18">
        <v>43951</v>
      </c>
    </row>
    <row r="519" spans="1:15" hidden="1" outlineLevel="1">
      <c r="A519" s="1">
        <v>15</v>
      </c>
      <c r="F519" s="22">
        <v>20031200</v>
      </c>
      <c r="N519" s="54" t="s">
        <v>3823</v>
      </c>
      <c r="O519" s="18">
        <v>43951</v>
      </c>
    </row>
    <row r="520" spans="1:15" hidden="1" outlineLevel="1">
      <c r="A520" s="1">
        <v>16</v>
      </c>
      <c r="F520" s="22">
        <v>20031201</v>
      </c>
      <c r="N520" s="54" t="s">
        <v>3808</v>
      </c>
      <c r="O520" s="18">
        <v>43957</v>
      </c>
    </row>
    <row r="521" spans="1:15" hidden="1" outlineLevel="1">
      <c r="A521" s="1">
        <v>17</v>
      </c>
      <c r="F521" s="22">
        <v>20031202</v>
      </c>
      <c r="N521" s="54" t="s">
        <v>3808</v>
      </c>
      <c r="O521" s="18">
        <v>43957</v>
      </c>
    </row>
    <row r="522" spans="1:15" hidden="1" outlineLevel="1">
      <c r="A522" s="1">
        <v>18</v>
      </c>
      <c r="F522" s="22">
        <v>20031203</v>
      </c>
      <c r="N522" s="54" t="s">
        <v>3823</v>
      </c>
      <c r="O522" s="18">
        <v>43949</v>
      </c>
    </row>
    <row r="523" spans="1:15" hidden="1" outlineLevel="1">
      <c r="A523" s="1">
        <v>19</v>
      </c>
      <c r="F523" s="22">
        <v>20031204</v>
      </c>
      <c r="N523" s="54" t="s">
        <v>3823</v>
      </c>
      <c r="O523" s="18">
        <v>43949</v>
      </c>
    </row>
    <row r="524" spans="1:15" hidden="1" outlineLevel="1">
      <c r="A524" s="1">
        <v>20</v>
      </c>
      <c r="F524" s="22">
        <v>20031205</v>
      </c>
      <c r="N524" s="54" t="s">
        <v>3823</v>
      </c>
      <c r="O524" s="18">
        <v>43949</v>
      </c>
    </row>
    <row r="525" spans="1:15" hidden="1" outlineLevel="1">
      <c r="A525" s="1">
        <v>21</v>
      </c>
      <c r="F525" s="22">
        <v>20031206</v>
      </c>
      <c r="N525" s="54" t="s">
        <v>335</v>
      </c>
      <c r="O525" s="18">
        <v>43959</v>
      </c>
    </row>
    <row r="526" spans="1:15" hidden="1" outlineLevel="1">
      <c r="A526" s="1">
        <v>22</v>
      </c>
      <c r="F526" s="22">
        <v>20031207</v>
      </c>
      <c r="N526" s="54" t="s">
        <v>3823</v>
      </c>
      <c r="O526" s="18">
        <v>43951</v>
      </c>
    </row>
    <row r="527" spans="1:15" hidden="1" outlineLevel="1">
      <c r="A527" s="1">
        <v>23</v>
      </c>
      <c r="F527" s="22">
        <v>20031208</v>
      </c>
      <c r="N527" s="54" t="s">
        <v>3823</v>
      </c>
      <c r="O527" s="18">
        <v>43951</v>
      </c>
    </row>
    <row r="528" spans="1:15" hidden="1" outlineLevel="1">
      <c r="A528" s="1">
        <v>24</v>
      </c>
      <c r="F528" s="22">
        <v>20031209</v>
      </c>
      <c r="N528" s="54" t="s">
        <v>3823</v>
      </c>
      <c r="O528" s="18">
        <v>43949</v>
      </c>
    </row>
    <row r="529" spans="1:17" hidden="1" outlineLevel="1">
      <c r="A529" s="1">
        <v>25</v>
      </c>
      <c r="F529" s="22">
        <v>20031210</v>
      </c>
      <c r="N529" s="54" t="s">
        <v>3823</v>
      </c>
      <c r="O529" s="18">
        <v>43949</v>
      </c>
    </row>
    <row r="530" spans="1:17" hidden="1" outlineLevel="1">
      <c r="A530" s="1">
        <v>26</v>
      </c>
      <c r="F530" s="22">
        <v>20032833</v>
      </c>
      <c r="N530" s="54" t="s">
        <v>3823</v>
      </c>
      <c r="O530" s="18">
        <v>43951</v>
      </c>
    </row>
    <row r="531" spans="1:17" hidden="1" outlineLevel="1">
      <c r="A531" s="1">
        <v>27</v>
      </c>
      <c r="F531" s="22">
        <v>20032834</v>
      </c>
      <c r="N531" s="54" t="s">
        <v>3823</v>
      </c>
      <c r="O531" s="18">
        <v>43951</v>
      </c>
    </row>
    <row r="532" spans="1:17" hidden="1" outlineLevel="1">
      <c r="A532" s="1">
        <v>28</v>
      </c>
      <c r="F532" s="22">
        <v>20031736</v>
      </c>
      <c r="N532" s="54" t="s">
        <v>3823</v>
      </c>
      <c r="O532" s="18">
        <v>43949</v>
      </c>
    </row>
    <row r="533" spans="1:17" hidden="1" outlineLevel="1">
      <c r="A533" s="1">
        <v>29</v>
      </c>
      <c r="F533" s="22">
        <v>20031737</v>
      </c>
      <c r="N533" s="54" t="s">
        <v>3823</v>
      </c>
      <c r="O533" s="18">
        <v>43949</v>
      </c>
    </row>
    <row r="534" spans="1:17" hidden="1" outlineLevel="1">
      <c r="A534" s="1">
        <v>30</v>
      </c>
      <c r="F534" s="22">
        <v>18042652</v>
      </c>
      <c r="M534" s="2" t="s">
        <v>3463</v>
      </c>
      <c r="N534" s="54" t="s">
        <v>3672</v>
      </c>
      <c r="O534" s="18">
        <v>43958</v>
      </c>
    </row>
    <row r="535" spans="1:17" hidden="1" outlineLevel="1">
      <c r="A535" s="8"/>
      <c r="B535" s="58"/>
      <c r="C535" s="159"/>
      <c r="D535" s="8"/>
      <c r="E535" s="8"/>
      <c r="F535" s="9"/>
      <c r="G535" s="8"/>
      <c r="H535" s="8"/>
      <c r="I535" s="8"/>
      <c r="J535" s="132"/>
      <c r="K535" s="8"/>
      <c r="L535" s="58"/>
      <c r="M535" s="8"/>
      <c r="N535" s="133"/>
      <c r="O535" s="58"/>
      <c r="P535" s="8"/>
      <c r="Q535" s="8"/>
    </row>
    <row r="536" spans="1:17" hidden="1" outlineLevel="1">
      <c r="A536" s="1">
        <v>1</v>
      </c>
      <c r="B536" s="11" t="s">
        <v>6956</v>
      </c>
      <c r="C536" s="160">
        <v>329</v>
      </c>
      <c r="E536" s="1" t="s">
        <v>3262</v>
      </c>
      <c r="F536" s="22">
        <v>20020725</v>
      </c>
      <c r="N536" s="54" t="s">
        <v>3826</v>
      </c>
      <c r="O536" s="18">
        <v>43957</v>
      </c>
    </row>
    <row r="537" spans="1:17" hidden="1" outlineLevel="1">
      <c r="A537" s="1">
        <v>2</v>
      </c>
      <c r="F537" s="22">
        <v>20020726</v>
      </c>
      <c r="N537" s="54" t="s">
        <v>3826</v>
      </c>
      <c r="O537" s="18">
        <v>43957</v>
      </c>
    </row>
    <row r="538" spans="1:17" hidden="1" outlineLevel="1">
      <c r="A538" s="8"/>
      <c r="B538" s="58"/>
      <c r="C538" s="159"/>
      <c r="D538" s="8"/>
      <c r="E538" s="8"/>
      <c r="F538" s="9"/>
      <c r="G538" s="8"/>
      <c r="H538" s="8"/>
      <c r="I538" s="8"/>
      <c r="J538" s="132"/>
      <c r="K538" s="8"/>
      <c r="L538" s="58"/>
      <c r="M538" s="8"/>
      <c r="N538" s="133"/>
      <c r="O538" s="58"/>
      <c r="P538" s="8"/>
      <c r="Q538" s="8"/>
    </row>
    <row r="539" spans="1:17" hidden="1" outlineLevel="1">
      <c r="A539" s="1">
        <v>1</v>
      </c>
      <c r="B539" s="11" t="s">
        <v>6957</v>
      </c>
      <c r="C539" s="160">
        <v>361</v>
      </c>
      <c r="E539" s="1" t="s">
        <v>323</v>
      </c>
      <c r="F539" s="22">
        <v>20050161</v>
      </c>
      <c r="N539" s="54" t="s">
        <v>3780</v>
      </c>
      <c r="O539" s="18">
        <v>43966</v>
      </c>
      <c r="P539" s="1" t="s">
        <v>4048</v>
      </c>
    </row>
    <row r="540" spans="1:17" hidden="1" outlineLevel="1">
      <c r="A540" s="1">
        <v>2</v>
      </c>
      <c r="F540" s="22">
        <v>20050162</v>
      </c>
      <c r="N540" s="54" t="s">
        <v>3780</v>
      </c>
      <c r="O540" s="18">
        <v>43966</v>
      </c>
      <c r="P540" s="1" t="s">
        <v>4048</v>
      </c>
    </row>
    <row r="541" spans="1:17" hidden="1" outlineLevel="1">
      <c r="A541" s="1">
        <v>3</v>
      </c>
      <c r="F541" s="22">
        <v>20050163</v>
      </c>
      <c r="M541" s="2" t="s">
        <v>3464</v>
      </c>
      <c r="N541" s="54" t="s">
        <v>3827</v>
      </c>
      <c r="O541" s="18">
        <v>43977</v>
      </c>
    </row>
    <row r="542" spans="1:17" hidden="1" outlineLevel="1">
      <c r="A542" s="1">
        <v>4</v>
      </c>
      <c r="F542" s="22">
        <v>20050164</v>
      </c>
      <c r="N542" s="54" t="s">
        <v>3780</v>
      </c>
      <c r="O542" s="18">
        <v>43966</v>
      </c>
    </row>
    <row r="543" spans="1:17" hidden="1" outlineLevel="1">
      <c r="A543" s="1">
        <v>5</v>
      </c>
      <c r="F543" s="22">
        <v>20050165</v>
      </c>
      <c r="G543" s="1" t="s">
        <v>3290</v>
      </c>
      <c r="O543" s="18">
        <v>43978</v>
      </c>
    </row>
    <row r="544" spans="1:17" hidden="1" outlineLevel="1">
      <c r="A544" s="1">
        <v>6</v>
      </c>
      <c r="F544" s="22">
        <v>20050166</v>
      </c>
      <c r="G544" s="1" t="s">
        <v>3290</v>
      </c>
      <c r="O544" s="18">
        <v>43978</v>
      </c>
    </row>
    <row r="545" spans="1:17" hidden="1" outlineLevel="1">
      <c r="A545" s="1">
        <v>7</v>
      </c>
      <c r="F545" s="22">
        <v>20050167</v>
      </c>
      <c r="G545" s="1" t="s">
        <v>3290</v>
      </c>
      <c r="I545" s="2" t="s">
        <v>6</v>
      </c>
      <c r="O545" s="18">
        <v>43973</v>
      </c>
    </row>
    <row r="546" spans="1:17" hidden="1" outlineLevel="1">
      <c r="A546" s="1">
        <v>8</v>
      </c>
      <c r="F546" s="22">
        <v>20050168</v>
      </c>
      <c r="G546" s="1" t="s">
        <v>3290</v>
      </c>
      <c r="O546" s="18">
        <v>43973</v>
      </c>
    </row>
    <row r="547" spans="1:17" hidden="1" outlineLevel="1">
      <c r="A547" s="1">
        <v>9</v>
      </c>
      <c r="F547" s="22">
        <v>20050169</v>
      </c>
      <c r="G547" s="1" t="s">
        <v>3290</v>
      </c>
      <c r="O547" s="18">
        <v>43978</v>
      </c>
    </row>
    <row r="548" spans="1:17" hidden="1" outlineLevel="1">
      <c r="A548" s="1">
        <v>10</v>
      </c>
      <c r="F548" s="22">
        <v>20050170</v>
      </c>
      <c r="G548" s="1" t="s">
        <v>3290</v>
      </c>
      <c r="O548" s="18">
        <v>43978</v>
      </c>
    </row>
    <row r="549" spans="1:17" hidden="1" outlineLevel="1">
      <c r="A549" s="8"/>
      <c r="B549" s="58"/>
      <c r="C549" s="159"/>
      <c r="D549" s="8"/>
      <c r="E549" s="8"/>
      <c r="F549" s="9"/>
      <c r="G549" s="8"/>
      <c r="H549" s="8"/>
      <c r="I549" s="8"/>
      <c r="J549" s="132"/>
      <c r="K549" s="8"/>
      <c r="L549" s="58"/>
      <c r="M549" s="8"/>
      <c r="N549" s="133"/>
      <c r="O549" s="58"/>
      <c r="P549" s="8"/>
      <c r="Q549" s="8"/>
    </row>
    <row r="550" spans="1:17" hidden="1" outlineLevel="1">
      <c r="A550" s="1">
        <v>1</v>
      </c>
      <c r="B550" s="11" t="s">
        <v>6958</v>
      </c>
      <c r="C550" s="160">
        <v>434</v>
      </c>
      <c r="E550" s="1" t="s">
        <v>3263</v>
      </c>
      <c r="F550" s="22">
        <v>20050940</v>
      </c>
      <c r="G550" s="1" t="s">
        <v>3291</v>
      </c>
      <c r="O550" s="18">
        <v>43986</v>
      </c>
      <c r="P550" s="1" t="s">
        <v>4049</v>
      </c>
    </row>
    <row r="551" spans="1:17" hidden="1" outlineLevel="1">
      <c r="A551" s="1">
        <v>2</v>
      </c>
      <c r="F551" s="22">
        <v>20050941</v>
      </c>
      <c r="G551" s="1" t="s">
        <v>3291</v>
      </c>
      <c r="O551" s="18">
        <v>43986</v>
      </c>
    </row>
    <row r="552" spans="1:17" hidden="1" outlineLevel="1">
      <c r="A552" s="1">
        <v>3</v>
      </c>
      <c r="F552" s="22">
        <v>20050942</v>
      </c>
      <c r="G552" s="1" t="s">
        <v>3291</v>
      </c>
      <c r="O552" s="18">
        <v>43986</v>
      </c>
    </row>
    <row r="553" spans="1:17" hidden="1" outlineLevel="1">
      <c r="A553" s="1">
        <v>4</v>
      </c>
      <c r="F553" s="22">
        <v>20050943</v>
      </c>
      <c r="G553" s="1" t="s">
        <v>3291</v>
      </c>
      <c r="O553" s="18">
        <v>43986</v>
      </c>
    </row>
    <row r="554" spans="1:17" hidden="1" outlineLevel="1">
      <c r="A554" s="1">
        <v>5</v>
      </c>
      <c r="F554" s="22">
        <v>20050944</v>
      </c>
      <c r="G554" s="1" t="s">
        <v>3291</v>
      </c>
      <c r="O554" s="18">
        <v>44001</v>
      </c>
    </row>
    <row r="555" spans="1:17" hidden="1" outlineLevel="1">
      <c r="A555" s="1">
        <v>6</v>
      </c>
      <c r="F555" s="22">
        <v>20050945</v>
      </c>
      <c r="M555" s="2" t="s">
        <v>3465</v>
      </c>
      <c r="N555" s="54" t="s">
        <v>3658</v>
      </c>
      <c r="O555" s="18">
        <v>43993</v>
      </c>
    </row>
    <row r="556" spans="1:17" hidden="1" outlineLevel="1">
      <c r="A556" s="1">
        <v>7</v>
      </c>
      <c r="F556" s="22">
        <v>20050946</v>
      </c>
      <c r="N556" s="54" t="s">
        <v>3828</v>
      </c>
      <c r="O556" s="18">
        <v>44000</v>
      </c>
    </row>
    <row r="557" spans="1:17" hidden="1" outlineLevel="1">
      <c r="A557" s="1">
        <v>8</v>
      </c>
      <c r="F557" s="22">
        <v>20050947</v>
      </c>
      <c r="N557" s="54" t="s">
        <v>3828</v>
      </c>
      <c r="O557" s="18">
        <v>44000</v>
      </c>
    </row>
    <row r="558" spans="1:17" hidden="1" outlineLevel="1">
      <c r="A558" s="1">
        <v>9</v>
      </c>
      <c r="F558" s="22">
        <v>20050948</v>
      </c>
      <c r="N558" s="54" t="s">
        <v>3829</v>
      </c>
      <c r="O558" s="18">
        <v>43998</v>
      </c>
    </row>
    <row r="559" spans="1:17" hidden="1" outlineLevel="1">
      <c r="A559" s="1">
        <v>10</v>
      </c>
      <c r="F559" s="22">
        <v>20050949</v>
      </c>
      <c r="N559" s="54" t="s">
        <v>3830</v>
      </c>
      <c r="O559" s="18">
        <v>43998</v>
      </c>
    </row>
    <row r="560" spans="1:17" hidden="1" outlineLevel="1">
      <c r="A560" s="8"/>
      <c r="B560" s="58"/>
      <c r="C560" s="159"/>
      <c r="D560" s="8"/>
      <c r="E560" s="8"/>
      <c r="F560" s="9"/>
      <c r="G560" s="8"/>
      <c r="H560" s="8"/>
      <c r="I560" s="8"/>
      <c r="J560" s="132"/>
      <c r="K560" s="8"/>
      <c r="L560" s="58"/>
      <c r="M560" s="8"/>
      <c r="N560" s="133"/>
      <c r="O560" s="58"/>
      <c r="P560" s="8"/>
      <c r="Q560" s="8"/>
    </row>
    <row r="561" spans="1:17" hidden="1" outlineLevel="1">
      <c r="A561" s="1">
        <v>1</v>
      </c>
      <c r="B561" s="11" t="s">
        <v>6959</v>
      </c>
      <c r="C561" s="160">
        <v>451</v>
      </c>
      <c r="E561" s="1" t="s">
        <v>3263</v>
      </c>
      <c r="F561" s="22">
        <v>20051799</v>
      </c>
      <c r="N561" s="54" t="s">
        <v>3631</v>
      </c>
      <c r="O561" s="18">
        <v>43987</v>
      </c>
    </row>
    <row r="562" spans="1:17" hidden="1" outlineLevel="1">
      <c r="A562" s="1">
        <v>2</v>
      </c>
      <c r="F562" s="22">
        <v>20051800</v>
      </c>
      <c r="N562" s="54" t="s">
        <v>3631</v>
      </c>
      <c r="O562" s="18">
        <v>43987</v>
      </c>
    </row>
    <row r="563" spans="1:17" hidden="1" outlineLevel="1">
      <c r="A563" s="1">
        <v>3</v>
      </c>
      <c r="F563" s="22">
        <v>20051801</v>
      </c>
      <c r="N563" s="54" t="s">
        <v>3631</v>
      </c>
      <c r="O563" s="18">
        <v>43987</v>
      </c>
    </row>
    <row r="564" spans="1:17" hidden="1" outlineLevel="1">
      <c r="A564" s="1">
        <v>4</v>
      </c>
      <c r="F564" s="22">
        <v>20051802</v>
      </c>
      <c r="N564" s="54" t="s">
        <v>3631</v>
      </c>
      <c r="O564" s="18">
        <v>43987</v>
      </c>
    </row>
    <row r="565" spans="1:17" hidden="1" outlineLevel="1">
      <c r="A565" s="1">
        <v>5</v>
      </c>
      <c r="F565" s="22">
        <v>20051807</v>
      </c>
      <c r="N565" s="54" t="s">
        <v>3774</v>
      </c>
      <c r="O565" s="18">
        <v>43998</v>
      </c>
    </row>
    <row r="566" spans="1:17" hidden="1" outlineLevel="1">
      <c r="A566" s="1">
        <v>6</v>
      </c>
      <c r="F566" s="22">
        <v>20051808</v>
      </c>
      <c r="N566" s="54" t="s">
        <v>3774</v>
      </c>
      <c r="O566" s="18">
        <v>43993</v>
      </c>
    </row>
    <row r="567" spans="1:17" hidden="1" outlineLevel="1">
      <c r="A567" s="1">
        <v>7</v>
      </c>
      <c r="F567" s="22">
        <v>20051809</v>
      </c>
      <c r="G567" s="1" t="s">
        <v>3290</v>
      </c>
      <c r="O567" s="18">
        <v>43999</v>
      </c>
    </row>
    <row r="568" spans="1:17" hidden="1" outlineLevel="1">
      <c r="A568" s="1">
        <v>8</v>
      </c>
      <c r="F568" s="22">
        <v>20051810</v>
      </c>
      <c r="G568" s="1" t="s">
        <v>3290</v>
      </c>
      <c r="O568" s="18">
        <v>43999</v>
      </c>
    </row>
    <row r="569" spans="1:17" hidden="1" outlineLevel="1">
      <c r="A569" s="1">
        <v>9</v>
      </c>
      <c r="F569" s="22">
        <v>20051811</v>
      </c>
      <c r="N569" s="54" t="s">
        <v>3641</v>
      </c>
      <c r="O569" s="18">
        <v>43998</v>
      </c>
    </row>
    <row r="570" spans="1:17" hidden="1" outlineLevel="1">
      <c r="A570" s="1">
        <v>10</v>
      </c>
      <c r="F570" s="22">
        <v>20051812</v>
      </c>
      <c r="G570" s="1" t="s">
        <v>3291</v>
      </c>
      <c r="O570" s="18">
        <v>44001</v>
      </c>
    </row>
    <row r="571" spans="1:17" hidden="1" outlineLevel="1">
      <c r="A571" s="8"/>
      <c r="B571" s="58"/>
      <c r="C571" s="159"/>
      <c r="D571" s="8"/>
      <c r="E571" s="8"/>
      <c r="F571" s="9"/>
      <c r="G571" s="8"/>
      <c r="H571" s="8"/>
      <c r="I571" s="8"/>
      <c r="J571" s="132"/>
      <c r="K571" s="8"/>
      <c r="L571" s="58"/>
      <c r="M571" s="8"/>
      <c r="N571" s="133"/>
      <c r="O571" s="58"/>
      <c r="P571" s="8"/>
      <c r="Q571" s="8"/>
    </row>
    <row r="572" spans="1:17" hidden="1" outlineLevel="1">
      <c r="A572" s="1">
        <v>1</v>
      </c>
      <c r="B572" s="11" t="s">
        <v>6960</v>
      </c>
      <c r="C572" s="160">
        <v>501</v>
      </c>
      <c r="E572" s="1" t="s">
        <v>3263</v>
      </c>
      <c r="F572" s="22">
        <v>20041418</v>
      </c>
      <c r="M572" s="2" t="s">
        <v>3466</v>
      </c>
      <c r="N572" s="54" t="s">
        <v>3831</v>
      </c>
      <c r="O572" s="18">
        <v>44007</v>
      </c>
    </row>
    <row r="573" spans="1:17" hidden="1" outlineLevel="1">
      <c r="A573" s="1">
        <v>2</v>
      </c>
      <c r="F573" s="22">
        <v>20060519</v>
      </c>
      <c r="M573" s="2" t="s">
        <v>3467</v>
      </c>
      <c r="N573" s="54" t="s">
        <v>3832</v>
      </c>
      <c r="O573" s="18">
        <v>44005</v>
      </c>
    </row>
    <row r="574" spans="1:17" hidden="1" outlineLevel="1">
      <c r="A574" s="1">
        <v>3</v>
      </c>
      <c r="F574" s="22">
        <v>20060520</v>
      </c>
      <c r="M574" s="2" t="s">
        <v>3467</v>
      </c>
      <c r="N574" s="54" t="s">
        <v>3832</v>
      </c>
      <c r="O574" s="18">
        <v>44005</v>
      </c>
    </row>
    <row r="575" spans="1:17" hidden="1" outlineLevel="1">
      <c r="A575" s="1">
        <v>4</v>
      </c>
      <c r="F575" s="22">
        <v>20060607</v>
      </c>
      <c r="N575" s="54" t="s">
        <v>3833</v>
      </c>
      <c r="O575" s="18">
        <v>44007</v>
      </c>
    </row>
    <row r="576" spans="1:17" hidden="1" outlineLevel="1">
      <c r="A576" s="1">
        <v>5</v>
      </c>
      <c r="F576" s="22">
        <v>20060608</v>
      </c>
      <c r="N576" s="54" t="s">
        <v>3833</v>
      </c>
      <c r="O576" s="18">
        <v>44007</v>
      </c>
    </row>
    <row r="577" spans="1:17" hidden="1" outlineLevel="1">
      <c r="A577" s="1">
        <v>6</v>
      </c>
      <c r="F577" s="22">
        <v>20060609</v>
      </c>
      <c r="N577" s="54" t="s">
        <v>3834</v>
      </c>
      <c r="O577" s="18">
        <v>44007</v>
      </c>
    </row>
    <row r="578" spans="1:17" hidden="1" outlineLevel="1">
      <c r="A578" s="1">
        <v>7</v>
      </c>
      <c r="F578" s="22">
        <v>20060610</v>
      </c>
      <c r="N578" s="54" t="s">
        <v>3834</v>
      </c>
      <c r="O578" s="18">
        <v>44007</v>
      </c>
    </row>
    <row r="579" spans="1:17" hidden="1" outlineLevel="1">
      <c r="A579" s="1">
        <v>8</v>
      </c>
      <c r="F579" s="22">
        <v>20060611</v>
      </c>
      <c r="N579" s="54" t="s">
        <v>3833</v>
      </c>
      <c r="O579" s="18">
        <v>44007</v>
      </c>
    </row>
    <row r="580" spans="1:17" hidden="1" outlineLevel="1">
      <c r="A580" s="1">
        <v>9</v>
      </c>
      <c r="F580" s="22">
        <v>20060612</v>
      </c>
      <c r="G580" s="1" t="s">
        <v>3290</v>
      </c>
      <c r="O580" s="18">
        <v>44008</v>
      </c>
    </row>
    <row r="581" spans="1:17" hidden="1" outlineLevel="1">
      <c r="A581" s="1">
        <v>10</v>
      </c>
      <c r="F581" s="22">
        <v>20050950</v>
      </c>
      <c r="N581" s="54" t="s">
        <v>3835</v>
      </c>
      <c r="O581" s="18">
        <v>44005</v>
      </c>
    </row>
    <row r="582" spans="1:17" hidden="1" outlineLevel="1">
      <c r="A582" s="8"/>
      <c r="B582" s="58"/>
      <c r="C582" s="159"/>
      <c r="D582" s="8"/>
      <c r="E582" s="8"/>
      <c r="F582" s="9"/>
      <c r="G582" s="8"/>
      <c r="H582" s="8"/>
      <c r="I582" s="8"/>
      <c r="J582" s="132"/>
      <c r="K582" s="8"/>
      <c r="L582" s="58"/>
      <c r="M582" s="8"/>
      <c r="N582" s="133"/>
      <c r="O582" s="58"/>
      <c r="P582" s="8"/>
      <c r="Q582" s="8"/>
    </row>
    <row r="583" spans="1:17" hidden="1" outlineLevel="1">
      <c r="A583" s="1">
        <v>1</v>
      </c>
      <c r="B583" s="11" t="s">
        <v>6961</v>
      </c>
      <c r="C583" s="160">
        <v>522</v>
      </c>
      <c r="E583" s="1" t="s">
        <v>3263</v>
      </c>
      <c r="F583" s="22">
        <v>20060672</v>
      </c>
      <c r="N583" s="54" t="s">
        <v>3834</v>
      </c>
      <c r="O583" s="18">
        <v>44011</v>
      </c>
      <c r="P583" s="1" t="s">
        <v>4050</v>
      </c>
    </row>
    <row r="584" spans="1:17" hidden="1" outlineLevel="1">
      <c r="A584" s="1">
        <v>2</v>
      </c>
      <c r="F584" s="22">
        <v>20060673</v>
      </c>
      <c r="N584" s="54" t="s">
        <v>3834</v>
      </c>
      <c r="O584" s="18">
        <v>44011</v>
      </c>
      <c r="P584" s="1" t="s">
        <v>4051</v>
      </c>
    </row>
    <row r="585" spans="1:17" hidden="1" outlineLevel="1">
      <c r="A585" s="1">
        <v>3</v>
      </c>
      <c r="F585" s="22">
        <v>20060674</v>
      </c>
      <c r="N585" s="54" t="s">
        <v>3834</v>
      </c>
      <c r="O585" s="18">
        <v>44011</v>
      </c>
      <c r="P585" s="1" t="s">
        <v>4052</v>
      </c>
    </row>
    <row r="586" spans="1:17" hidden="1" outlineLevel="1">
      <c r="A586" s="1">
        <v>4</v>
      </c>
      <c r="F586" s="22">
        <v>20060675</v>
      </c>
      <c r="N586" s="54" t="s">
        <v>3834</v>
      </c>
      <c r="O586" s="18">
        <v>44011</v>
      </c>
      <c r="P586" s="1" t="s">
        <v>4053</v>
      </c>
    </row>
    <row r="587" spans="1:17" hidden="1" outlineLevel="1">
      <c r="A587" s="1">
        <v>5</v>
      </c>
      <c r="F587" s="22">
        <v>20060676</v>
      </c>
      <c r="N587" s="54" t="s">
        <v>3834</v>
      </c>
      <c r="O587" s="18">
        <v>44011</v>
      </c>
    </row>
    <row r="588" spans="1:17" hidden="1" outlineLevel="1">
      <c r="A588" s="1">
        <v>6</v>
      </c>
      <c r="F588" s="22">
        <v>20060677</v>
      </c>
      <c r="N588" s="54" t="s">
        <v>3834</v>
      </c>
      <c r="O588" s="18">
        <v>44011</v>
      </c>
    </row>
    <row r="589" spans="1:17" hidden="1" outlineLevel="1">
      <c r="A589" s="1">
        <v>7</v>
      </c>
      <c r="F589" s="22">
        <v>20060678</v>
      </c>
      <c r="M589" s="2" t="s">
        <v>3468</v>
      </c>
      <c r="N589" s="54" t="s">
        <v>3836</v>
      </c>
      <c r="O589" s="18">
        <v>44011</v>
      </c>
    </row>
    <row r="590" spans="1:17" hidden="1" outlineLevel="1">
      <c r="A590" s="1">
        <v>8</v>
      </c>
      <c r="F590" s="22">
        <v>20060679</v>
      </c>
      <c r="N590" s="54" t="s">
        <v>3837</v>
      </c>
      <c r="O590" s="18">
        <v>44008</v>
      </c>
    </row>
    <row r="591" spans="1:17" hidden="1" outlineLevel="1">
      <c r="A591" s="1">
        <v>9</v>
      </c>
      <c r="F591" s="22">
        <v>20060527</v>
      </c>
      <c r="G591" s="1" t="s">
        <v>3290</v>
      </c>
      <c r="O591" s="18">
        <v>44008</v>
      </c>
    </row>
    <row r="592" spans="1:17" hidden="1" outlineLevel="1">
      <c r="A592" s="1">
        <v>10</v>
      </c>
      <c r="F592" s="22">
        <v>20060528</v>
      </c>
      <c r="G592" s="1" t="s">
        <v>3290</v>
      </c>
      <c r="O592" s="18">
        <v>44008</v>
      </c>
    </row>
    <row r="593" spans="1:17" hidden="1" outlineLevel="1">
      <c r="A593" s="8"/>
      <c r="B593" s="58"/>
      <c r="C593" s="159"/>
      <c r="D593" s="8"/>
      <c r="E593" s="8"/>
      <c r="F593" s="9"/>
      <c r="G593" s="8"/>
      <c r="H593" s="8"/>
      <c r="I593" s="8"/>
      <c r="J593" s="132"/>
      <c r="K593" s="8"/>
      <c r="L593" s="58"/>
      <c r="M593" s="8"/>
      <c r="N593" s="133"/>
      <c r="O593" s="58"/>
      <c r="P593" s="8"/>
      <c r="Q593" s="8"/>
    </row>
    <row r="594" spans="1:17" hidden="1" outlineLevel="1">
      <c r="A594" s="1">
        <v>1</v>
      </c>
      <c r="B594" s="11" t="s">
        <v>6962</v>
      </c>
      <c r="C594" s="160">
        <v>549</v>
      </c>
      <c r="E594" s="1" t="s">
        <v>3263</v>
      </c>
      <c r="F594" s="22">
        <v>20061047</v>
      </c>
      <c r="N594" s="54" t="s">
        <v>3774</v>
      </c>
      <c r="O594" s="18">
        <v>44018</v>
      </c>
    </row>
    <row r="595" spans="1:17" hidden="1" outlineLevel="1">
      <c r="A595" s="1">
        <v>2</v>
      </c>
      <c r="F595" s="22">
        <v>20061048</v>
      </c>
      <c r="M595" s="2" t="s">
        <v>3469</v>
      </c>
      <c r="N595" s="54" t="s">
        <v>3838</v>
      </c>
      <c r="O595" s="18">
        <v>44014</v>
      </c>
    </row>
    <row r="596" spans="1:17" hidden="1" outlineLevel="1">
      <c r="A596" s="1">
        <v>3</v>
      </c>
      <c r="F596" s="22">
        <v>20061049</v>
      </c>
      <c r="M596" s="2" t="s">
        <v>3470</v>
      </c>
      <c r="N596" s="54" t="s">
        <v>3839</v>
      </c>
      <c r="O596" s="18">
        <v>44019</v>
      </c>
    </row>
    <row r="597" spans="1:17" hidden="1" outlineLevel="1">
      <c r="A597" s="1">
        <v>4</v>
      </c>
      <c r="F597" s="22">
        <v>20061050</v>
      </c>
      <c r="M597" s="2" t="s">
        <v>3471</v>
      </c>
      <c r="N597" s="54" t="s">
        <v>3831</v>
      </c>
      <c r="O597" s="18">
        <v>44018</v>
      </c>
    </row>
    <row r="598" spans="1:17" hidden="1" outlineLevel="1">
      <c r="A598" s="1">
        <v>5</v>
      </c>
      <c r="F598" s="22">
        <v>20061051</v>
      </c>
      <c r="M598" s="2" t="s">
        <v>3472</v>
      </c>
      <c r="N598" s="54" t="s">
        <v>3839</v>
      </c>
      <c r="O598" s="18">
        <v>44020</v>
      </c>
    </row>
    <row r="599" spans="1:17" hidden="1" outlineLevel="1">
      <c r="A599" s="1">
        <v>6</v>
      </c>
      <c r="F599" s="22">
        <v>20061052</v>
      </c>
      <c r="N599" s="54" t="s">
        <v>3840</v>
      </c>
      <c r="O599" s="18">
        <v>44020</v>
      </c>
    </row>
    <row r="600" spans="1:17" hidden="1" outlineLevel="1">
      <c r="A600" s="1">
        <v>7</v>
      </c>
      <c r="F600" s="22">
        <v>20061053</v>
      </c>
      <c r="N600" s="54" t="s">
        <v>3841</v>
      </c>
      <c r="O600" s="18">
        <v>44014</v>
      </c>
    </row>
    <row r="601" spans="1:17" hidden="1" outlineLevel="1">
      <c r="A601" s="1">
        <v>8</v>
      </c>
      <c r="F601" s="22">
        <v>20061054</v>
      </c>
      <c r="N601" s="54" t="s">
        <v>3841</v>
      </c>
      <c r="O601" s="18">
        <v>44014</v>
      </c>
    </row>
    <row r="602" spans="1:17" hidden="1" outlineLevel="1">
      <c r="A602" s="1">
        <v>9</v>
      </c>
      <c r="F602" s="22">
        <v>20061055</v>
      </c>
      <c r="N602" s="54" t="s">
        <v>3841</v>
      </c>
      <c r="O602" s="18">
        <v>44014</v>
      </c>
    </row>
    <row r="603" spans="1:17" hidden="1" outlineLevel="1">
      <c r="A603" s="1">
        <v>10</v>
      </c>
      <c r="F603" s="22">
        <v>20061056</v>
      </c>
      <c r="N603" s="54" t="s">
        <v>3841</v>
      </c>
      <c r="O603" s="18">
        <v>44014</v>
      </c>
    </row>
    <row r="604" spans="1:17" hidden="1" outlineLevel="1">
      <c r="A604" s="8"/>
      <c r="B604" s="58"/>
      <c r="C604" s="159"/>
      <c r="D604" s="8"/>
      <c r="E604" s="8"/>
      <c r="F604" s="9"/>
      <c r="G604" s="8"/>
      <c r="H604" s="8"/>
      <c r="I604" s="8"/>
      <c r="J604" s="132"/>
      <c r="K604" s="8"/>
      <c r="L604" s="58"/>
      <c r="M604" s="8"/>
      <c r="N604" s="133"/>
      <c r="O604" s="58"/>
      <c r="P604" s="8"/>
      <c r="Q604" s="8"/>
    </row>
    <row r="605" spans="1:17" hidden="1" outlineLevel="1">
      <c r="A605" s="1">
        <v>1</v>
      </c>
      <c r="B605" s="11" t="s">
        <v>6963</v>
      </c>
      <c r="C605" s="160">
        <v>561</v>
      </c>
      <c r="E605" s="1" t="s">
        <v>3258</v>
      </c>
      <c r="F605" s="22">
        <v>20061141</v>
      </c>
      <c r="N605" s="54" t="s">
        <v>3839</v>
      </c>
      <c r="O605" s="18">
        <v>44021</v>
      </c>
      <c r="P605" s="1" t="s">
        <v>4054</v>
      </c>
    </row>
    <row r="606" spans="1:17" hidden="1" outlineLevel="1">
      <c r="A606" s="1">
        <v>2</v>
      </c>
      <c r="F606" s="22">
        <v>20061142</v>
      </c>
      <c r="N606" s="54" t="s">
        <v>3839</v>
      </c>
      <c r="O606" s="18">
        <v>44021</v>
      </c>
    </row>
    <row r="607" spans="1:17" hidden="1" outlineLevel="1">
      <c r="A607" s="1">
        <v>3</v>
      </c>
      <c r="F607" s="22">
        <v>20061143</v>
      </c>
      <c r="N607" s="54" t="s">
        <v>3842</v>
      </c>
      <c r="O607" s="18">
        <v>44021</v>
      </c>
    </row>
    <row r="608" spans="1:17" hidden="1" outlineLevel="1">
      <c r="A608" s="1">
        <v>4</v>
      </c>
      <c r="F608" s="22">
        <v>20061144</v>
      </c>
      <c r="N608" s="54" t="s">
        <v>3842</v>
      </c>
      <c r="O608" s="18">
        <v>44021</v>
      </c>
    </row>
    <row r="609" spans="1:17" hidden="1" outlineLevel="1">
      <c r="A609" s="1">
        <v>5</v>
      </c>
      <c r="F609" s="22">
        <v>20061145</v>
      </c>
      <c r="N609" s="54" t="s">
        <v>3842</v>
      </c>
      <c r="O609" s="18">
        <v>44021</v>
      </c>
    </row>
    <row r="610" spans="1:17" hidden="1" outlineLevel="1">
      <c r="A610" s="1">
        <v>6</v>
      </c>
      <c r="F610" s="22">
        <v>20061146</v>
      </c>
      <c r="N610" s="54" t="s">
        <v>3842</v>
      </c>
      <c r="O610" s="18">
        <v>44021</v>
      </c>
    </row>
    <row r="611" spans="1:17" hidden="1" outlineLevel="1">
      <c r="A611" s="1">
        <v>7</v>
      </c>
      <c r="F611" s="22">
        <v>20061147</v>
      </c>
      <c r="M611" s="2" t="s">
        <v>3473</v>
      </c>
      <c r="N611" s="54" t="s">
        <v>3839</v>
      </c>
      <c r="O611" s="18">
        <v>44022</v>
      </c>
    </row>
    <row r="612" spans="1:17" hidden="1" outlineLevel="1">
      <c r="A612" s="1">
        <v>8</v>
      </c>
      <c r="F612" s="22">
        <v>20061148</v>
      </c>
      <c r="N612" s="54" t="s">
        <v>3843</v>
      </c>
      <c r="O612" s="18">
        <v>44022</v>
      </c>
    </row>
    <row r="613" spans="1:17" hidden="1" outlineLevel="1">
      <c r="A613" s="1">
        <v>9</v>
      </c>
      <c r="F613" s="22">
        <v>20060553</v>
      </c>
      <c r="N613" s="54" t="s">
        <v>3839</v>
      </c>
      <c r="O613" s="18">
        <v>44022</v>
      </c>
    </row>
    <row r="614" spans="1:17" hidden="1" outlineLevel="1">
      <c r="A614" s="1">
        <v>10</v>
      </c>
      <c r="F614" s="22">
        <v>20060554</v>
      </c>
      <c r="N614" s="54" t="s">
        <v>3774</v>
      </c>
      <c r="O614" s="18">
        <v>44022</v>
      </c>
    </row>
    <row r="615" spans="1:17" hidden="1" outlineLevel="1">
      <c r="A615" s="8"/>
      <c r="B615" s="58"/>
      <c r="C615" s="159"/>
      <c r="D615" s="8"/>
      <c r="E615" s="8"/>
      <c r="F615" s="9"/>
      <c r="G615" s="8"/>
      <c r="H615" s="8"/>
      <c r="I615" s="8"/>
      <c r="J615" s="132"/>
      <c r="K615" s="8"/>
      <c r="L615" s="58"/>
      <c r="M615" s="8"/>
      <c r="N615" s="133"/>
      <c r="O615" s="58"/>
      <c r="P615" s="8"/>
      <c r="Q615" s="8"/>
    </row>
    <row r="616" spans="1:17" hidden="1" outlineLevel="1">
      <c r="A616" s="1">
        <v>1</v>
      </c>
      <c r="B616" s="11" t="s">
        <v>6964</v>
      </c>
      <c r="C616" s="160">
        <v>582</v>
      </c>
      <c r="E616" s="1" t="s">
        <v>3258</v>
      </c>
      <c r="F616" s="22">
        <v>20060561</v>
      </c>
      <c r="N616" s="54" t="s">
        <v>3844</v>
      </c>
      <c r="O616" s="18">
        <v>44022</v>
      </c>
    </row>
    <row r="617" spans="1:17" hidden="1" outlineLevel="1">
      <c r="A617" s="1">
        <v>2</v>
      </c>
      <c r="F617" s="22">
        <v>20060562</v>
      </c>
      <c r="N617" s="54" t="s">
        <v>3774</v>
      </c>
      <c r="O617" s="18">
        <v>44025</v>
      </c>
    </row>
    <row r="618" spans="1:17" hidden="1" outlineLevel="1">
      <c r="A618" s="1">
        <v>3</v>
      </c>
      <c r="F618" s="22">
        <v>20061963</v>
      </c>
      <c r="N618" s="54" t="s">
        <v>3842</v>
      </c>
      <c r="O618" s="18">
        <v>44026</v>
      </c>
    </row>
    <row r="619" spans="1:17" hidden="1" outlineLevel="1">
      <c r="A619" s="1">
        <v>4</v>
      </c>
      <c r="F619" s="22">
        <v>20061964</v>
      </c>
      <c r="M619" s="2" t="s">
        <v>3474</v>
      </c>
      <c r="N619" s="54" t="s">
        <v>3823</v>
      </c>
      <c r="O619" s="18">
        <v>44026</v>
      </c>
    </row>
    <row r="620" spans="1:17" hidden="1" outlineLevel="1">
      <c r="A620" s="1">
        <v>5</v>
      </c>
      <c r="F620" s="22">
        <v>20061965</v>
      </c>
      <c r="M620" s="2" t="s">
        <v>3475</v>
      </c>
      <c r="N620" s="54" t="s">
        <v>3845</v>
      </c>
      <c r="O620" s="18">
        <v>44026</v>
      </c>
    </row>
    <row r="621" spans="1:17" hidden="1" outlineLevel="1">
      <c r="A621" s="1">
        <v>6</v>
      </c>
      <c r="F621" s="22">
        <v>20061966</v>
      </c>
      <c r="M621" s="2" t="s">
        <v>3476</v>
      </c>
      <c r="N621" s="54" t="s">
        <v>3846</v>
      </c>
      <c r="O621" s="18">
        <v>44029</v>
      </c>
    </row>
    <row r="622" spans="1:17" hidden="1" outlineLevel="1">
      <c r="A622" s="1">
        <v>7</v>
      </c>
      <c r="F622" s="22">
        <v>20061967</v>
      </c>
      <c r="N622" s="54" t="s">
        <v>3842</v>
      </c>
      <c r="O622" s="18">
        <v>44026</v>
      </c>
    </row>
    <row r="623" spans="1:17" hidden="1" outlineLevel="1">
      <c r="A623" s="1">
        <v>8</v>
      </c>
      <c r="F623" s="22">
        <v>20061968</v>
      </c>
      <c r="N623" s="54" t="s">
        <v>3842</v>
      </c>
      <c r="O623" s="18">
        <v>44026</v>
      </c>
    </row>
    <row r="624" spans="1:17" hidden="1" outlineLevel="1">
      <c r="A624" s="1">
        <v>9</v>
      </c>
      <c r="F624" s="22">
        <v>20061969</v>
      </c>
      <c r="N624" s="54" t="s">
        <v>3842</v>
      </c>
      <c r="O624" s="18">
        <v>44026</v>
      </c>
    </row>
    <row r="625" spans="1:17" hidden="1" outlineLevel="1">
      <c r="A625" s="1">
        <v>10</v>
      </c>
      <c r="F625" s="22">
        <v>20061970</v>
      </c>
      <c r="N625" s="54" t="s">
        <v>3842</v>
      </c>
      <c r="O625" s="18">
        <v>44026</v>
      </c>
    </row>
    <row r="626" spans="1:17" hidden="1" outlineLevel="1">
      <c r="A626" s="8"/>
      <c r="B626" s="58"/>
      <c r="C626" s="159"/>
      <c r="D626" s="8"/>
      <c r="E626" s="8"/>
      <c r="F626" s="9"/>
      <c r="G626" s="8"/>
      <c r="H626" s="8"/>
      <c r="I626" s="8"/>
      <c r="J626" s="132"/>
      <c r="K626" s="8"/>
      <c r="L626" s="58"/>
      <c r="M626" s="8"/>
      <c r="N626" s="133"/>
      <c r="O626" s="58"/>
      <c r="P626" s="8"/>
      <c r="Q626" s="8"/>
    </row>
    <row r="627" spans="1:17" hidden="1" outlineLevel="1">
      <c r="A627" s="1">
        <v>1</v>
      </c>
      <c r="B627" s="11" t="s">
        <v>6965</v>
      </c>
      <c r="C627" s="160">
        <v>604</v>
      </c>
      <c r="E627" s="1" t="s">
        <v>3258</v>
      </c>
      <c r="F627" s="22">
        <v>20070177</v>
      </c>
      <c r="N627" s="54" t="s">
        <v>61</v>
      </c>
      <c r="O627" s="18">
        <v>44029</v>
      </c>
    </row>
    <row r="628" spans="1:17" hidden="1" outlineLevel="1">
      <c r="A628" s="1">
        <v>2</v>
      </c>
      <c r="F628" s="22">
        <v>20070178</v>
      </c>
      <c r="N628" s="54" t="s">
        <v>61</v>
      </c>
      <c r="O628" s="18">
        <v>44029</v>
      </c>
    </row>
    <row r="629" spans="1:17" hidden="1" outlineLevel="1">
      <c r="A629" s="1">
        <v>3</v>
      </c>
      <c r="F629" s="22">
        <v>20070179</v>
      </c>
    </row>
    <row r="630" spans="1:17" hidden="1" outlineLevel="1">
      <c r="A630" s="1">
        <v>4</v>
      </c>
      <c r="F630" s="22">
        <v>20070180</v>
      </c>
      <c r="N630" s="54" t="s">
        <v>3744</v>
      </c>
      <c r="O630" s="18">
        <v>44027</v>
      </c>
    </row>
    <row r="631" spans="1:17" hidden="1" outlineLevel="1">
      <c r="A631" s="1">
        <v>5</v>
      </c>
      <c r="F631" s="22">
        <v>20070181</v>
      </c>
      <c r="N631" s="54" t="s">
        <v>3842</v>
      </c>
      <c r="O631" s="18">
        <v>44032</v>
      </c>
    </row>
    <row r="632" spans="1:17" hidden="1" outlineLevel="1">
      <c r="A632" s="1">
        <v>6</v>
      </c>
      <c r="F632" s="22">
        <v>20070182</v>
      </c>
      <c r="N632" s="54" t="s">
        <v>3842</v>
      </c>
      <c r="O632" s="18">
        <v>44032</v>
      </c>
    </row>
    <row r="633" spans="1:17" hidden="1" outlineLevel="1">
      <c r="A633" s="1">
        <v>7</v>
      </c>
      <c r="F633" s="22">
        <v>20070183</v>
      </c>
      <c r="N633" s="54" t="s">
        <v>3842</v>
      </c>
      <c r="O633" s="18">
        <v>44034</v>
      </c>
    </row>
    <row r="634" spans="1:17" hidden="1" outlineLevel="1">
      <c r="A634" s="1">
        <v>8</v>
      </c>
      <c r="F634" s="22">
        <v>20070184</v>
      </c>
      <c r="N634" s="54" t="s">
        <v>3842</v>
      </c>
      <c r="O634" s="18">
        <v>44034</v>
      </c>
    </row>
    <row r="635" spans="1:17" hidden="1" outlineLevel="1">
      <c r="A635" s="1">
        <v>9</v>
      </c>
      <c r="F635" s="22">
        <v>20070185</v>
      </c>
      <c r="N635" s="54" t="s">
        <v>3842</v>
      </c>
      <c r="O635" s="18">
        <v>44034</v>
      </c>
    </row>
    <row r="636" spans="1:17" hidden="1" outlineLevel="1">
      <c r="A636" s="1">
        <v>10</v>
      </c>
      <c r="F636" s="22">
        <v>20070186</v>
      </c>
      <c r="N636" s="54" t="s">
        <v>3842</v>
      </c>
      <c r="O636" s="18">
        <v>44034</v>
      </c>
    </row>
    <row r="637" spans="1:17" hidden="1" outlineLevel="1">
      <c r="A637" s="1">
        <v>11</v>
      </c>
      <c r="F637" s="22">
        <v>20070187</v>
      </c>
      <c r="N637" s="54" t="s">
        <v>3842</v>
      </c>
      <c r="O637" s="18">
        <v>44033</v>
      </c>
    </row>
    <row r="638" spans="1:17" hidden="1" outlineLevel="1">
      <c r="A638" s="1">
        <v>12</v>
      </c>
      <c r="F638" s="22">
        <v>20070188</v>
      </c>
      <c r="N638" s="54" t="s">
        <v>3847</v>
      </c>
      <c r="O638" s="18">
        <v>44033</v>
      </c>
    </row>
    <row r="639" spans="1:17" hidden="1" outlineLevel="1">
      <c r="A639" s="1">
        <v>13</v>
      </c>
      <c r="F639" s="22">
        <v>20070189</v>
      </c>
      <c r="N639" s="54" t="s">
        <v>3842</v>
      </c>
      <c r="O639" s="18">
        <v>44033</v>
      </c>
    </row>
    <row r="640" spans="1:17" hidden="1" outlineLevel="1">
      <c r="A640" s="1">
        <v>14</v>
      </c>
      <c r="F640" s="22">
        <v>20070190</v>
      </c>
      <c r="N640" s="54" t="s">
        <v>3842</v>
      </c>
      <c r="O640" s="18">
        <v>44033</v>
      </c>
    </row>
    <row r="641" spans="1:17" hidden="1" outlineLevel="1">
      <c r="A641" s="1">
        <v>15</v>
      </c>
      <c r="F641" s="22">
        <v>20070191</v>
      </c>
      <c r="N641" s="54" t="s">
        <v>3842</v>
      </c>
      <c r="O641" s="18">
        <v>44032</v>
      </c>
    </row>
    <row r="642" spans="1:17" hidden="1" outlineLevel="1">
      <c r="A642" s="1">
        <v>16</v>
      </c>
      <c r="F642" s="22">
        <v>20070192</v>
      </c>
      <c r="N642" s="54" t="s">
        <v>3839</v>
      </c>
      <c r="O642" s="18">
        <v>44029</v>
      </c>
    </row>
    <row r="643" spans="1:17" hidden="1" outlineLevel="1">
      <c r="A643" s="8"/>
      <c r="B643" s="58"/>
      <c r="C643" s="159"/>
      <c r="D643" s="8"/>
      <c r="E643" s="8"/>
      <c r="F643" s="9"/>
      <c r="G643" s="8"/>
      <c r="H643" s="8"/>
      <c r="I643" s="8"/>
      <c r="J643" s="132"/>
      <c r="K643" s="8"/>
      <c r="L643" s="58"/>
      <c r="M643" s="8"/>
      <c r="N643" s="133"/>
      <c r="O643" s="58"/>
      <c r="P643" s="8"/>
      <c r="Q643" s="8"/>
    </row>
    <row r="644" spans="1:17" hidden="1" outlineLevel="1">
      <c r="A644" s="1">
        <v>1</v>
      </c>
      <c r="B644" s="11" t="s">
        <v>6966</v>
      </c>
      <c r="C644" s="160">
        <v>633</v>
      </c>
      <c r="E644" s="1" t="s">
        <v>3258</v>
      </c>
      <c r="F644" s="22">
        <v>20070707</v>
      </c>
      <c r="N644" s="54" t="s">
        <v>3842</v>
      </c>
      <c r="O644" s="18">
        <v>44034</v>
      </c>
    </row>
    <row r="645" spans="1:17" hidden="1" outlineLevel="1">
      <c r="A645" s="1">
        <v>2</v>
      </c>
      <c r="F645" s="22">
        <v>20070708</v>
      </c>
      <c r="N645" s="54" t="s">
        <v>3842</v>
      </c>
      <c r="O645" s="18">
        <v>44034</v>
      </c>
    </row>
    <row r="646" spans="1:17" hidden="1" outlineLevel="1">
      <c r="A646" s="1">
        <v>3</v>
      </c>
      <c r="F646" s="22">
        <v>20070709</v>
      </c>
      <c r="N646" s="54" t="s">
        <v>3842</v>
      </c>
      <c r="O646" s="18">
        <v>44034</v>
      </c>
    </row>
    <row r="647" spans="1:17" hidden="1" outlineLevel="1">
      <c r="A647" s="1">
        <v>4</v>
      </c>
      <c r="F647" s="22">
        <v>20070710</v>
      </c>
      <c r="N647" s="54" t="s">
        <v>3842</v>
      </c>
      <c r="O647" s="18">
        <v>44034</v>
      </c>
    </row>
    <row r="648" spans="1:17" hidden="1" outlineLevel="1">
      <c r="A648" s="1">
        <v>5</v>
      </c>
      <c r="F648" s="22">
        <v>20070711</v>
      </c>
      <c r="G648" s="1" t="s">
        <v>3291</v>
      </c>
      <c r="I648" s="2" t="s">
        <v>3299</v>
      </c>
      <c r="O648" s="18">
        <v>44036</v>
      </c>
    </row>
    <row r="649" spans="1:17" hidden="1" outlineLevel="1">
      <c r="A649" s="1">
        <v>6</v>
      </c>
      <c r="F649" s="22">
        <v>20070712</v>
      </c>
      <c r="G649" s="1" t="s">
        <v>3291</v>
      </c>
      <c r="I649" s="2" t="s">
        <v>3299</v>
      </c>
      <c r="O649" s="18">
        <v>44036</v>
      </c>
    </row>
    <row r="650" spans="1:17" hidden="1" outlineLevel="1">
      <c r="A650" s="1">
        <v>7</v>
      </c>
      <c r="F650" s="22">
        <v>20070713</v>
      </c>
      <c r="G650" s="1" t="s">
        <v>3291</v>
      </c>
      <c r="I650" s="2" t="s">
        <v>3299</v>
      </c>
      <c r="O650" s="18">
        <v>44036</v>
      </c>
    </row>
    <row r="651" spans="1:17" hidden="1" outlineLevel="1">
      <c r="A651" s="1">
        <v>8</v>
      </c>
      <c r="F651" s="22">
        <v>20070714</v>
      </c>
      <c r="G651" s="1" t="s">
        <v>3291</v>
      </c>
      <c r="I651" s="2" t="s">
        <v>3299</v>
      </c>
      <c r="O651" s="18">
        <v>44036</v>
      </c>
    </row>
    <row r="652" spans="1:17" hidden="1" outlineLevel="1">
      <c r="A652" s="1">
        <v>9</v>
      </c>
      <c r="F652" s="22">
        <v>20070715</v>
      </c>
      <c r="N652" s="54" t="s">
        <v>3842</v>
      </c>
      <c r="O652" s="18">
        <v>44036</v>
      </c>
    </row>
    <row r="653" spans="1:17" hidden="1" outlineLevel="1">
      <c r="A653" s="1">
        <v>10</v>
      </c>
      <c r="F653" s="22">
        <v>20070716</v>
      </c>
      <c r="N653" s="54" t="s">
        <v>3842</v>
      </c>
      <c r="O653" s="18">
        <v>44036</v>
      </c>
    </row>
    <row r="654" spans="1:17" hidden="1" outlineLevel="1">
      <c r="A654" s="1">
        <v>11</v>
      </c>
      <c r="F654" s="22">
        <v>20070717</v>
      </c>
      <c r="N654" s="54" t="s">
        <v>3842</v>
      </c>
      <c r="O654" s="18">
        <v>44039</v>
      </c>
    </row>
    <row r="655" spans="1:17" hidden="1" outlineLevel="1">
      <c r="A655" s="1">
        <v>12</v>
      </c>
      <c r="F655" s="22">
        <v>20070718</v>
      </c>
      <c r="N655" s="54" t="s">
        <v>3842</v>
      </c>
      <c r="O655" s="18">
        <v>44039</v>
      </c>
    </row>
    <row r="656" spans="1:17" hidden="1" outlineLevel="1">
      <c r="A656" s="1">
        <v>13</v>
      </c>
      <c r="F656" s="22">
        <v>20070719</v>
      </c>
      <c r="N656" s="54" t="s">
        <v>3842</v>
      </c>
      <c r="O656" s="18">
        <v>44039</v>
      </c>
    </row>
    <row r="657" spans="1:17" hidden="1" outlineLevel="1">
      <c r="A657" s="1">
        <v>14</v>
      </c>
      <c r="F657" s="22">
        <v>20070720</v>
      </c>
      <c r="N657" s="54" t="s">
        <v>3842</v>
      </c>
      <c r="O657" s="18">
        <v>44039</v>
      </c>
    </row>
    <row r="658" spans="1:17" hidden="1" outlineLevel="1">
      <c r="A658" s="1">
        <v>15</v>
      </c>
      <c r="F658" s="22">
        <v>20070721</v>
      </c>
      <c r="M658" s="2" t="s">
        <v>3477</v>
      </c>
      <c r="N658" s="54" t="s">
        <v>3848</v>
      </c>
      <c r="O658" s="18">
        <v>44035</v>
      </c>
    </row>
    <row r="659" spans="1:17" hidden="1" outlineLevel="1">
      <c r="A659" s="1">
        <v>16</v>
      </c>
      <c r="F659" s="22">
        <v>20070722</v>
      </c>
      <c r="M659" s="2" t="s">
        <v>3478</v>
      </c>
      <c r="N659" s="54" t="s">
        <v>3848</v>
      </c>
      <c r="O659" s="18">
        <v>44035</v>
      </c>
    </row>
    <row r="660" spans="1:17" hidden="1" outlineLevel="1">
      <c r="A660" s="8"/>
      <c r="B660" s="58"/>
      <c r="C660" s="159"/>
      <c r="D660" s="8"/>
      <c r="E660" s="8"/>
      <c r="F660" s="9"/>
      <c r="G660" s="8"/>
      <c r="H660" s="8"/>
      <c r="I660" s="8"/>
      <c r="J660" s="132"/>
      <c r="K660" s="8"/>
      <c r="L660" s="58"/>
      <c r="M660" s="8"/>
      <c r="N660" s="133"/>
      <c r="O660" s="58"/>
      <c r="P660" s="8"/>
      <c r="Q660" s="8"/>
    </row>
    <row r="661" spans="1:17" hidden="1" outlineLevel="1">
      <c r="A661" s="1">
        <v>1</v>
      </c>
      <c r="B661" s="11" t="s">
        <v>6967</v>
      </c>
      <c r="C661" s="160">
        <v>643</v>
      </c>
      <c r="E661" s="1" t="s">
        <v>3258</v>
      </c>
      <c r="F661" s="22">
        <v>20070855</v>
      </c>
      <c r="N661" s="54" t="s">
        <v>3842</v>
      </c>
      <c r="O661" s="18">
        <v>44040</v>
      </c>
      <c r="P661" s="1" t="s">
        <v>4055</v>
      </c>
    </row>
    <row r="662" spans="1:17" hidden="1" outlineLevel="1">
      <c r="A662" s="1">
        <v>2</v>
      </c>
      <c r="F662" s="22">
        <v>20070856</v>
      </c>
      <c r="N662" s="54" t="s">
        <v>3842</v>
      </c>
      <c r="O662" s="18">
        <v>44040</v>
      </c>
      <c r="P662" s="1" t="s">
        <v>4056</v>
      </c>
    </row>
    <row r="663" spans="1:17" hidden="1" outlineLevel="1">
      <c r="A663" s="1">
        <v>3</v>
      </c>
      <c r="F663" s="22">
        <v>20070857</v>
      </c>
      <c r="N663" s="54" t="s">
        <v>3842</v>
      </c>
      <c r="O663" s="18">
        <v>44040</v>
      </c>
    </row>
    <row r="664" spans="1:17" hidden="1" outlineLevel="1">
      <c r="A664" s="1">
        <v>4</v>
      </c>
      <c r="F664" s="22">
        <v>20070858</v>
      </c>
      <c r="N664" s="54" t="s">
        <v>3842</v>
      </c>
      <c r="O664" s="18">
        <v>44040</v>
      </c>
    </row>
    <row r="665" spans="1:17" hidden="1" outlineLevel="1">
      <c r="A665" s="1">
        <v>5</v>
      </c>
      <c r="F665" s="22">
        <v>20070859</v>
      </c>
      <c r="N665" s="54" t="s">
        <v>3842</v>
      </c>
      <c r="O665" s="18">
        <v>44040</v>
      </c>
    </row>
    <row r="666" spans="1:17" hidden="1" outlineLevel="1">
      <c r="A666" s="1">
        <v>6</v>
      </c>
      <c r="F666" s="22">
        <v>20070860</v>
      </c>
      <c r="N666" s="54" t="s">
        <v>3842</v>
      </c>
      <c r="O666" s="18">
        <v>44040</v>
      </c>
    </row>
    <row r="667" spans="1:17" hidden="1" outlineLevel="1">
      <c r="A667" s="1">
        <v>7</v>
      </c>
      <c r="F667" s="22">
        <v>20070861</v>
      </c>
      <c r="N667" s="54" t="s">
        <v>3842</v>
      </c>
      <c r="O667" s="18">
        <v>44041</v>
      </c>
    </row>
    <row r="668" spans="1:17" hidden="1" outlineLevel="1">
      <c r="A668" s="1">
        <v>8</v>
      </c>
      <c r="F668" s="22">
        <v>20070862</v>
      </c>
      <c r="N668" s="54" t="s">
        <v>3842</v>
      </c>
      <c r="O668" s="18">
        <v>44041</v>
      </c>
    </row>
    <row r="669" spans="1:17" hidden="1" outlineLevel="1">
      <c r="A669" s="1">
        <v>9</v>
      </c>
      <c r="F669" s="22">
        <v>20070863</v>
      </c>
      <c r="N669" s="54" t="s">
        <v>3703</v>
      </c>
      <c r="O669" s="18">
        <v>44062</v>
      </c>
    </row>
    <row r="670" spans="1:17" hidden="1" outlineLevel="1">
      <c r="A670" s="1">
        <v>10</v>
      </c>
      <c r="F670" s="22">
        <v>20070864</v>
      </c>
      <c r="N670" s="54" t="s">
        <v>335</v>
      </c>
      <c r="O670" s="18">
        <v>44061</v>
      </c>
    </row>
    <row r="671" spans="1:17" hidden="1" outlineLevel="1">
      <c r="A671" s="8"/>
      <c r="B671" s="58"/>
      <c r="C671" s="159"/>
      <c r="D671" s="8"/>
      <c r="E671" s="8"/>
      <c r="F671" s="9"/>
      <c r="G671" s="8"/>
      <c r="H671" s="8"/>
      <c r="I671" s="8"/>
      <c r="J671" s="132"/>
      <c r="K671" s="8"/>
      <c r="L671" s="58"/>
      <c r="M671" s="8"/>
      <c r="N671" s="133"/>
      <c r="O671" s="58"/>
      <c r="P671" s="8"/>
      <c r="Q671" s="8"/>
    </row>
    <row r="672" spans="1:17" hidden="1" outlineLevel="1">
      <c r="A672" s="1">
        <v>1</v>
      </c>
      <c r="B672" s="11" t="s">
        <v>6968</v>
      </c>
      <c r="C672" s="160">
        <v>651</v>
      </c>
      <c r="E672" s="1" t="s">
        <v>3258</v>
      </c>
      <c r="F672" s="22">
        <v>20070875</v>
      </c>
      <c r="G672" s="1" t="s">
        <v>3292</v>
      </c>
      <c r="I672" s="2" t="s">
        <v>3299</v>
      </c>
      <c r="O672" s="18">
        <v>44043</v>
      </c>
      <c r="P672" s="1" t="s">
        <v>4057</v>
      </c>
    </row>
    <row r="673" spans="1:17" hidden="1" outlineLevel="1">
      <c r="A673" s="1">
        <v>2</v>
      </c>
      <c r="F673" s="22">
        <v>20070876</v>
      </c>
      <c r="G673" s="1" t="s">
        <v>3292</v>
      </c>
      <c r="I673" s="2" t="s">
        <v>3299</v>
      </c>
      <c r="O673" s="18">
        <v>44043</v>
      </c>
      <c r="P673" s="1" t="s">
        <v>4058</v>
      </c>
    </row>
    <row r="674" spans="1:17" hidden="1" outlineLevel="1">
      <c r="A674" s="1">
        <v>3</v>
      </c>
      <c r="F674" s="22">
        <v>20070877</v>
      </c>
      <c r="N674" s="54" t="s">
        <v>104</v>
      </c>
      <c r="O674" s="18">
        <v>44042</v>
      </c>
      <c r="P674" s="1" t="s">
        <v>4059</v>
      </c>
    </row>
    <row r="675" spans="1:17" hidden="1" outlineLevel="1">
      <c r="A675" s="1">
        <v>4</v>
      </c>
      <c r="F675" s="22">
        <v>20070878</v>
      </c>
      <c r="N675" s="54" t="s">
        <v>104</v>
      </c>
      <c r="O675" s="18">
        <v>44042</v>
      </c>
    </row>
    <row r="676" spans="1:17" hidden="1" outlineLevel="1">
      <c r="A676" s="1">
        <v>5</v>
      </c>
      <c r="F676" s="22">
        <v>20070879</v>
      </c>
      <c r="M676" s="2" t="s">
        <v>3479</v>
      </c>
      <c r="N676" s="54" t="s">
        <v>3849</v>
      </c>
      <c r="O676" s="18">
        <v>44055</v>
      </c>
    </row>
    <row r="677" spans="1:17" hidden="1" outlineLevel="1">
      <c r="A677" s="1">
        <v>6</v>
      </c>
      <c r="F677" s="22">
        <v>20070880</v>
      </c>
      <c r="M677" s="2" t="s">
        <v>3480</v>
      </c>
      <c r="N677" s="54" t="s">
        <v>3849</v>
      </c>
      <c r="O677" s="18">
        <v>44055</v>
      </c>
    </row>
    <row r="678" spans="1:17" hidden="1" outlineLevel="1">
      <c r="A678" s="1">
        <v>7</v>
      </c>
      <c r="F678" s="22">
        <v>20070881</v>
      </c>
      <c r="G678" s="1" t="s">
        <v>3292</v>
      </c>
      <c r="I678" s="2" t="s">
        <v>3299</v>
      </c>
      <c r="O678" s="18">
        <v>44043</v>
      </c>
    </row>
    <row r="679" spans="1:17" hidden="1" outlineLevel="1">
      <c r="A679" s="1">
        <v>8</v>
      </c>
      <c r="F679" s="22">
        <v>20070882</v>
      </c>
      <c r="G679" s="1" t="s">
        <v>3292</v>
      </c>
      <c r="I679" s="2" t="s">
        <v>3299</v>
      </c>
      <c r="O679" s="18">
        <v>44043</v>
      </c>
    </row>
    <row r="680" spans="1:17" hidden="1" outlineLevel="1">
      <c r="A680" s="1">
        <v>9</v>
      </c>
      <c r="F680" s="22">
        <v>20070883</v>
      </c>
      <c r="M680" s="2" t="s">
        <v>3481</v>
      </c>
      <c r="N680" s="54" t="s">
        <v>3850</v>
      </c>
      <c r="O680" s="18">
        <v>44063</v>
      </c>
    </row>
    <row r="681" spans="1:17" hidden="1" outlineLevel="1">
      <c r="A681" s="1">
        <v>10</v>
      </c>
      <c r="F681" s="22">
        <v>20070884</v>
      </c>
      <c r="N681" s="54" t="s">
        <v>3851</v>
      </c>
      <c r="O681" s="18">
        <v>44055</v>
      </c>
    </row>
    <row r="682" spans="1:17" hidden="1" outlineLevel="1">
      <c r="A682" s="1">
        <v>11</v>
      </c>
      <c r="F682" s="22">
        <v>20070885</v>
      </c>
      <c r="M682" s="2" t="s">
        <v>3482</v>
      </c>
      <c r="N682" s="54" t="s">
        <v>347</v>
      </c>
      <c r="O682" s="18">
        <v>44064</v>
      </c>
    </row>
    <row r="683" spans="1:17" hidden="1" outlineLevel="1">
      <c r="A683" s="1">
        <v>12</v>
      </c>
      <c r="F683" s="22">
        <v>20070886</v>
      </c>
      <c r="M683" s="2" t="s">
        <v>3483</v>
      </c>
      <c r="N683" s="54" t="s">
        <v>347</v>
      </c>
      <c r="O683" s="18">
        <v>44064</v>
      </c>
    </row>
    <row r="684" spans="1:17" hidden="1" outlineLevel="1">
      <c r="A684" s="1">
        <v>13</v>
      </c>
      <c r="F684" s="22">
        <v>20070887</v>
      </c>
      <c r="N684" s="54" t="s">
        <v>104</v>
      </c>
      <c r="O684" s="18">
        <v>44042</v>
      </c>
    </row>
    <row r="685" spans="1:17" hidden="1" outlineLevel="1">
      <c r="A685" s="1">
        <v>14</v>
      </c>
      <c r="F685" s="22">
        <v>20070888</v>
      </c>
      <c r="M685" s="2" t="s">
        <v>3484</v>
      </c>
      <c r="N685" s="54" t="s">
        <v>3720</v>
      </c>
      <c r="O685" s="18">
        <v>44042</v>
      </c>
    </row>
    <row r="686" spans="1:17" hidden="1" outlineLevel="1">
      <c r="A686" s="1">
        <v>15</v>
      </c>
      <c r="F686" s="22">
        <v>20070889</v>
      </c>
      <c r="M686" s="2" t="s">
        <v>3485</v>
      </c>
      <c r="N686" s="54" t="s">
        <v>3849</v>
      </c>
      <c r="O686" s="18">
        <v>44057</v>
      </c>
    </row>
    <row r="687" spans="1:17" hidden="1" outlineLevel="1">
      <c r="A687" s="1">
        <v>16</v>
      </c>
      <c r="F687" s="22">
        <v>20070890</v>
      </c>
      <c r="N687" s="54" t="s">
        <v>3852</v>
      </c>
      <c r="O687" s="18">
        <v>44055</v>
      </c>
    </row>
    <row r="688" spans="1:17" hidden="1" outlineLevel="1">
      <c r="A688" s="8"/>
      <c r="B688" s="58"/>
      <c r="C688" s="159"/>
      <c r="D688" s="8"/>
      <c r="E688" s="8"/>
      <c r="F688" s="9"/>
      <c r="G688" s="8"/>
      <c r="H688" s="8"/>
      <c r="I688" s="8"/>
      <c r="J688" s="132"/>
      <c r="K688" s="8"/>
      <c r="L688" s="58"/>
      <c r="M688" s="8"/>
      <c r="N688" s="133"/>
      <c r="O688" s="58"/>
      <c r="P688" s="8"/>
      <c r="Q688" s="8"/>
    </row>
    <row r="689" spans="1:16" hidden="1" outlineLevel="1">
      <c r="A689" s="1">
        <v>1</v>
      </c>
      <c r="B689" s="11" t="s">
        <v>6969</v>
      </c>
      <c r="C689" s="160">
        <v>2862</v>
      </c>
      <c r="E689" s="1" t="s">
        <v>3264</v>
      </c>
      <c r="F689" s="22">
        <v>4016000131880</v>
      </c>
      <c r="N689" s="54" t="s">
        <v>3853</v>
      </c>
      <c r="P689" s="1" t="s">
        <v>4060</v>
      </c>
    </row>
    <row r="690" spans="1:16" hidden="1" outlineLevel="1">
      <c r="A690" s="1">
        <v>2</v>
      </c>
      <c r="F690" s="22">
        <v>4016000131875</v>
      </c>
      <c r="N690" s="54" t="s">
        <v>3853</v>
      </c>
    </row>
    <row r="691" spans="1:16" hidden="1" outlineLevel="1">
      <c r="A691" s="1">
        <v>3</v>
      </c>
      <c r="F691" s="22">
        <v>4016000131876</v>
      </c>
      <c r="N691" s="54" t="s">
        <v>3853</v>
      </c>
    </row>
    <row r="692" spans="1:16" hidden="1" outlineLevel="1">
      <c r="A692" s="1">
        <v>4</v>
      </c>
      <c r="F692" s="22">
        <v>4016000131781</v>
      </c>
      <c r="N692" s="54" t="s">
        <v>3853</v>
      </c>
    </row>
    <row r="693" spans="1:16" hidden="1" outlineLevel="1">
      <c r="A693" s="1">
        <v>5</v>
      </c>
      <c r="F693" s="22">
        <v>4016000131782</v>
      </c>
      <c r="N693" s="54" t="s">
        <v>3853</v>
      </c>
    </row>
    <row r="694" spans="1:16" hidden="1" outlineLevel="1">
      <c r="A694" s="1">
        <v>6</v>
      </c>
      <c r="F694" s="22">
        <v>4016000131697</v>
      </c>
      <c r="N694" s="54" t="s">
        <v>3853</v>
      </c>
    </row>
    <row r="695" spans="1:16" hidden="1" outlineLevel="1">
      <c r="A695" s="1">
        <v>7</v>
      </c>
      <c r="F695" s="22">
        <v>4016000131698</v>
      </c>
      <c r="N695" s="54" t="s">
        <v>3853</v>
      </c>
    </row>
    <row r="696" spans="1:16" hidden="1" outlineLevel="1">
      <c r="A696" s="1">
        <v>8</v>
      </c>
      <c r="F696" s="22">
        <v>4016000131783</v>
      </c>
      <c r="N696" s="54" t="s">
        <v>3853</v>
      </c>
    </row>
    <row r="697" spans="1:16" hidden="1" outlineLevel="1">
      <c r="A697" s="1">
        <v>9</v>
      </c>
      <c r="F697" s="22">
        <v>4016000131784</v>
      </c>
      <c r="N697" s="54" t="s">
        <v>3853</v>
      </c>
    </row>
    <row r="698" spans="1:16" hidden="1" outlineLevel="1">
      <c r="A698" s="1">
        <v>10</v>
      </c>
      <c r="F698" s="22">
        <v>4016000131713</v>
      </c>
      <c r="N698" s="54" t="s">
        <v>3853</v>
      </c>
    </row>
    <row r="699" spans="1:16" hidden="1" outlineLevel="1">
      <c r="A699" s="1">
        <v>11</v>
      </c>
      <c r="F699" s="22">
        <v>4016000131714</v>
      </c>
      <c r="N699" s="54" t="s">
        <v>3853</v>
      </c>
    </row>
    <row r="700" spans="1:16" hidden="1" outlineLevel="1">
      <c r="A700" s="1">
        <v>12</v>
      </c>
      <c r="F700" s="22">
        <v>4016000131701</v>
      </c>
      <c r="N700" s="54" t="s">
        <v>3853</v>
      </c>
    </row>
    <row r="701" spans="1:16" hidden="1" outlineLevel="1">
      <c r="A701" s="1">
        <v>13</v>
      </c>
      <c r="F701" s="22">
        <v>4016000131702</v>
      </c>
      <c r="N701" s="54" t="s">
        <v>3853</v>
      </c>
    </row>
    <row r="702" spans="1:16" hidden="1" outlineLevel="1">
      <c r="A702" s="1">
        <v>14</v>
      </c>
      <c r="F702" s="22">
        <v>4016000131727</v>
      </c>
      <c r="N702" s="54" t="s">
        <v>3853</v>
      </c>
    </row>
    <row r="703" spans="1:16" hidden="1" outlineLevel="1">
      <c r="A703" s="1">
        <v>15</v>
      </c>
      <c r="F703" s="22">
        <v>4016000131728</v>
      </c>
      <c r="N703" s="54" t="s">
        <v>3853</v>
      </c>
    </row>
    <row r="704" spans="1:16" hidden="1" outlineLevel="1">
      <c r="A704" s="1">
        <v>16</v>
      </c>
      <c r="F704" s="22">
        <v>4016000131779</v>
      </c>
      <c r="N704" s="54" t="s">
        <v>3853</v>
      </c>
    </row>
    <row r="705" spans="1:17" hidden="1" outlineLevel="1">
      <c r="A705" s="1">
        <v>17</v>
      </c>
      <c r="F705" s="22">
        <v>4016000131780</v>
      </c>
      <c r="N705" s="54" t="s">
        <v>3853</v>
      </c>
    </row>
    <row r="706" spans="1:17" hidden="1" outlineLevel="1">
      <c r="A706" s="1">
        <v>18</v>
      </c>
      <c r="F706" s="22">
        <v>4016000131873</v>
      </c>
      <c r="N706" s="54" t="s">
        <v>3853</v>
      </c>
    </row>
    <row r="707" spans="1:17" hidden="1" outlineLevel="1">
      <c r="A707" s="1">
        <v>19</v>
      </c>
      <c r="F707" s="22">
        <v>4016000131874</v>
      </c>
      <c r="N707" s="54" t="s">
        <v>3853</v>
      </c>
    </row>
    <row r="708" spans="1:17" hidden="1" outlineLevel="1">
      <c r="A708" s="1">
        <v>20</v>
      </c>
      <c r="F708" s="22">
        <v>4016000131699</v>
      </c>
      <c r="N708" s="54" t="s">
        <v>3853</v>
      </c>
    </row>
    <row r="709" spans="1:17" hidden="1" outlineLevel="1">
      <c r="A709" s="1">
        <v>21</v>
      </c>
      <c r="F709" s="22">
        <v>4016000131700</v>
      </c>
      <c r="N709" s="54" t="s">
        <v>3853</v>
      </c>
    </row>
    <row r="710" spans="1:17" hidden="1" outlineLevel="1">
      <c r="A710" s="1">
        <v>22</v>
      </c>
      <c r="F710" s="22">
        <v>4016000131787</v>
      </c>
      <c r="N710" s="54" t="s">
        <v>3853</v>
      </c>
    </row>
    <row r="711" spans="1:17" hidden="1" outlineLevel="1">
      <c r="A711" s="1">
        <v>23</v>
      </c>
      <c r="F711" s="22">
        <v>4016000131788</v>
      </c>
      <c r="N711" s="54" t="s">
        <v>3853</v>
      </c>
    </row>
    <row r="712" spans="1:17" hidden="1" outlineLevel="1">
      <c r="A712" s="8"/>
      <c r="B712" s="58"/>
      <c r="C712" s="159"/>
      <c r="D712" s="8"/>
      <c r="E712" s="8"/>
      <c r="F712" s="9"/>
      <c r="G712" s="8"/>
      <c r="H712" s="8"/>
      <c r="I712" s="8"/>
      <c r="J712" s="132"/>
      <c r="K712" s="8"/>
      <c r="L712" s="58"/>
      <c r="M712" s="8"/>
      <c r="N712" s="133"/>
      <c r="O712" s="58"/>
      <c r="P712" s="8"/>
      <c r="Q712" s="8"/>
    </row>
    <row r="713" spans="1:17" hidden="1" outlineLevel="1">
      <c r="A713" s="1">
        <v>1</v>
      </c>
      <c r="B713" s="11" t="s">
        <v>6970</v>
      </c>
      <c r="C713" s="160">
        <v>740</v>
      </c>
      <c r="E713" s="1" t="s">
        <v>3258</v>
      </c>
      <c r="F713" s="22">
        <v>20071891</v>
      </c>
      <c r="G713" s="1" t="s">
        <v>3293</v>
      </c>
      <c r="P713" s="1" t="s">
        <v>4061</v>
      </c>
    </row>
    <row r="714" spans="1:17" hidden="1" outlineLevel="1">
      <c r="A714" s="1">
        <v>2</v>
      </c>
      <c r="F714" s="22">
        <v>20071892</v>
      </c>
      <c r="G714" s="1" t="s">
        <v>3293</v>
      </c>
      <c r="P714" s="1" t="s">
        <v>4062</v>
      </c>
    </row>
    <row r="715" spans="1:17" hidden="1" outlineLevel="1">
      <c r="A715" s="1">
        <v>3</v>
      </c>
      <c r="F715" s="22">
        <v>20071893</v>
      </c>
      <c r="N715" s="54" t="s">
        <v>3232</v>
      </c>
      <c r="O715" s="18">
        <v>44064</v>
      </c>
    </row>
    <row r="716" spans="1:17" hidden="1" outlineLevel="1">
      <c r="A716" s="1">
        <v>4</v>
      </c>
      <c r="F716" s="22">
        <v>20071894</v>
      </c>
      <c r="N716" s="54" t="s">
        <v>3232</v>
      </c>
      <c r="O716" s="18">
        <v>44064</v>
      </c>
    </row>
    <row r="717" spans="1:17" hidden="1" outlineLevel="1">
      <c r="A717" s="1">
        <v>5</v>
      </c>
      <c r="F717" s="22">
        <v>20071895</v>
      </c>
      <c r="I717" s="2" t="s">
        <v>50</v>
      </c>
      <c r="J717" s="61">
        <v>44076</v>
      </c>
    </row>
    <row r="718" spans="1:17" hidden="1" outlineLevel="1">
      <c r="A718" s="1">
        <v>6</v>
      </c>
      <c r="F718" s="22">
        <v>20071896</v>
      </c>
      <c r="I718" s="2" t="s">
        <v>50</v>
      </c>
      <c r="J718" s="61">
        <v>44076</v>
      </c>
    </row>
    <row r="719" spans="1:17" hidden="1" outlineLevel="1">
      <c r="A719" s="1">
        <v>7</v>
      </c>
      <c r="F719" s="22">
        <v>20071897</v>
      </c>
      <c r="M719" s="2" t="s">
        <v>3486</v>
      </c>
      <c r="N719" s="54" t="s">
        <v>3679</v>
      </c>
      <c r="O719" s="18">
        <v>44077</v>
      </c>
    </row>
    <row r="720" spans="1:17" hidden="1" outlineLevel="1">
      <c r="A720" s="1">
        <v>8</v>
      </c>
      <c r="F720" s="22">
        <v>20071898</v>
      </c>
      <c r="M720" s="2" t="s">
        <v>3486</v>
      </c>
      <c r="N720" s="54" t="s">
        <v>3679</v>
      </c>
      <c r="O720" s="18">
        <v>44077</v>
      </c>
    </row>
    <row r="721" spans="1:17" hidden="1" outlineLevel="1">
      <c r="A721" s="1">
        <v>9</v>
      </c>
      <c r="F721" s="22">
        <v>20071899</v>
      </c>
      <c r="I721" s="2" t="s">
        <v>563</v>
      </c>
      <c r="J721" s="61">
        <v>44071</v>
      </c>
      <c r="M721" s="2" t="s">
        <v>3487</v>
      </c>
      <c r="N721" s="54" t="s">
        <v>3854</v>
      </c>
    </row>
    <row r="722" spans="1:17" hidden="1" outlineLevel="1">
      <c r="A722" s="1">
        <v>10</v>
      </c>
      <c r="F722" s="22">
        <v>20071900</v>
      </c>
      <c r="I722" s="2" t="s">
        <v>563</v>
      </c>
      <c r="J722" s="61">
        <v>44071</v>
      </c>
    </row>
    <row r="723" spans="1:17" hidden="1" outlineLevel="1">
      <c r="A723" s="1">
        <v>11</v>
      </c>
      <c r="F723" s="22">
        <v>20071901</v>
      </c>
      <c r="I723" s="2" t="s">
        <v>563</v>
      </c>
      <c r="J723" s="61">
        <v>44071</v>
      </c>
    </row>
    <row r="724" spans="1:17" hidden="1" outlineLevel="1">
      <c r="A724" s="1">
        <v>12</v>
      </c>
      <c r="F724" s="22">
        <v>20071902</v>
      </c>
      <c r="I724" s="2" t="s">
        <v>563</v>
      </c>
      <c r="J724" s="61">
        <v>44071</v>
      </c>
    </row>
    <row r="725" spans="1:17" hidden="1" outlineLevel="1">
      <c r="A725" s="1">
        <v>13</v>
      </c>
      <c r="F725" s="22">
        <v>20071903</v>
      </c>
      <c r="M725" s="2" t="s">
        <v>3488</v>
      </c>
      <c r="N725" s="54" t="s">
        <v>3855</v>
      </c>
      <c r="O725" s="18">
        <v>44075</v>
      </c>
    </row>
    <row r="726" spans="1:17" hidden="1" outlineLevel="1">
      <c r="A726" s="1">
        <v>14</v>
      </c>
      <c r="F726" s="22">
        <v>20071904</v>
      </c>
      <c r="M726" s="2" t="s">
        <v>3489</v>
      </c>
      <c r="N726" s="54" t="s">
        <v>1415</v>
      </c>
      <c r="O726" s="18">
        <v>44084</v>
      </c>
    </row>
    <row r="727" spans="1:17" hidden="1" outlineLevel="1">
      <c r="A727" s="1">
        <v>15</v>
      </c>
      <c r="F727" s="22">
        <v>20071905</v>
      </c>
      <c r="I727" s="2" t="s">
        <v>50</v>
      </c>
      <c r="J727" s="61">
        <v>44076</v>
      </c>
    </row>
    <row r="728" spans="1:17" hidden="1" outlineLevel="1">
      <c r="A728" s="1">
        <v>16</v>
      </c>
      <c r="F728" s="22">
        <v>20071906</v>
      </c>
      <c r="I728" s="2" t="s">
        <v>50</v>
      </c>
      <c r="J728" s="61">
        <v>44076</v>
      </c>
    </row>
    <row r="729" spans="1:17" hidden="1" outlineLevel="1">
      <c r="A729" s="8"/>
      <c r="B729" s="58"/>
      <c r="C729" s="159"/>
      <c r="D729" s="8"/>
      <c r="E729" s="8"/>
      <c r="F729" s="9"/>
      <c r="G729" s="8"/>
      <c r="H729" s="8"/>
      <c r="I729" s="8"/>
      <c r="J729" s="132"/>
      <c r="K729" s="8"/>
      <c r="L729" s="58"/>
      <c r="M729" s="8"/>
      <c r="N729" s="133"/>
      <c r="O729" s="58"/>
      <c r="P729" s="8"/>
      <c r="Q729" s="8"/>
    </row>
    <row r="730" spans="1:17" hidden="1" outlineLevel="1">
      <c r="A730" s="1">
        <v>1</v>
      </c>
      <c r="B730" s="11" t="s">
        <v>6971</v>
      </c>
      <c r="C730" s="160">
        <v>785</v>
      </c>
      <c r="E730" s="1" t="s">
        <v>3254</v>
      </c>
      <c r="F730" s="22">
        <v>20081065</v>
      </c>
      <c r="N730" s="54" t="s">
        <v>3856</v>
      </c>
      <c r="O730" s="18">
        <v>44106</v>
      </c>
      <c r="P730" s="1" t="s">
        <v>4063</v>
      </c>
    </row>
    <row r="731" spans="1:17" hidden="1" outlineLevel="1">
      <c r="A731" s="1">
        <v>2</v>
      </c>
      <c r="F731" s="22">
        <v>20081066</v>
      </c>
      <c r="N731" s="54" t="s">
        <v>3857</v>
      </c>
      <c r="O731" s="18">
        <v>44090</v>
      </c>
      <c r="P731" s="1" t="s">
        <v>4064</v>
      </c>
    </row>
    <row r="732" spans="1:17" hidden="1" outlineLevel="1">
      <c r="A732" s="1">
        <v>3</v>
      </c>
      <c r="F732" s="22">
        <v>20081073</v>
      </c>
      <c r="N732" s="54" t="s">
        <v>83</v>
      </c>
      <c r="O732" s="18">
        <v>44084</v>
      </c>
    </row>
    <row r="733" spans="1:17" hidden="1" outlineLevel="1">
      <c r="A733" s="1">
        <v>4</v>
      </c>
      <c r="F733" s="22">
        <v>20081074</v>
      </c>
      <c r="N733" s="54" t="s">
        <v>3858</v>
      </c>
      <c r="O733" s="18">
        <v>44083</v>
      </c>
    </row>
    <row r="734" spans="1:17" hidden="1" outlineLevel="1">
      <c r="A734" s="1">
        <v>5</v>
      </c>
      <c r="F734" s="22">
        <v>20081075</v>
      </c>
      <c r="N734" s="54" t="s">
        <v>83</v>
      </c>
      <c r="O734" s="18">
        <v>44084</v>
      </c>
    </row>
    <row r="735" spans="1:17" hidden="1" outlineLevel="1">
      <c r="A735" s="1">
        <v>6</v>
      </c>
      <c r="F735" s="22">
        <v>20081076</v>
      </c>
      <c r="N735" s="54" t="s">
        <v>83</v>
      </c>
      <c r="O735" s="18">
        <v>44084</v>
      </c>
    </row>
    <row r="736" spans="1:17" hidden="1" outlineLevel="1">
      <c r="A736" s="1">
        <v>7</v>
      </c>
      <c r="F736" s="22">
        <v>20081077</v>
      </c>
      <c r="M736" s="2" t="s">
        <v>3490</v>
      </c>
      <c r="N736" s="54" t="s">
        <v>3859</v>
      </c>
      <c r="O736" s="18">
        <v>44098</v>
      </c>
    </row>
    <row r="737" spans="1:17" hidden="1" outlineLevel="1">
      <c r="A737" s="1">
        <v>8</v>
      </c>
      <c r="F737" s="22">
        <v>20081078</v>
      </c>
      <c r="M737" s="2" t="s">
        <v>3491</v>
      </c>
      <c r="N737" s="54" t="s">
        <v>382</v>
      </c>
      <c r="O737" s="18">
        <v>44105</v>
      </c>
    </row>
    <row r="738" spans="1:17" hidden="1" outlineLevel="1">
      <c r="A738" s="1">
        <v>9</v>
      </c>
      <c r="F738" s="22">
        <v>20081079</v>
      </c>
      <c r="N738" s="54" t="s">
        <v>3860</v>
      </c>
      <c r="O738" s="18">
        <v>44111</v>
      </c>
    </row>
    <row r="739" spans="1:17" hidden="1" outlineLevel="1">
      <c r="A739" s="1">
        <v>10</v>
      </c>
      <c r="F739" s="22">
        <v>20081080</v>
      </c>
      <c r="N739" s="54" t="s">
        <v>3860</v>
      </c>
      <c r="O739" s="18">
        <v>44109</v>
      </c>
    </row>
    <row r="740" spans="1:17" hidden="1" outlineLevel="1">
      <c r="A740" s="1">
        <v>11</v>
      </c>
      <c r="F740" s="22">
        <v>20081083</v>
      </c>
      <c r="M740" s="2" t="s">
        <v>3492</v>
      </c>
      <c r="N740" s="54" t="s">
        <v>3861</v>
      </c>
      <c r="O740" s="18">
        <v>44089</v>
      </c>
    </row>
    <row r="741" spans="1:17" hidden="1" outlineLevel="1">
      <c r="A741" s="1">
        <v>12</v>
      </c>
      <c r="F741" s="22">
        <v>20081084</v>
      </c>
      <c r="M741" s="2" t="s">
        <v>3493</v>
      </c>
      <c r="N741" s="54" t="s">
        <v>3862</v>
      </c>
      <c r="O741" s="18">
        <v>44090</v>
      </c>
    </row>
    <row r="742" spans="1:17" hidden="1" outlineLevel="1">
      <c r="A742" s="1">
        <v>13</v>
      </c>
      <c r="F742" s="22">
        <v>20081088</v>
      </c>
      <c r="I742" s="2" t="s">
        <v>563</v>
      </c>
      <c r="J742" s="61">
        <v>44099</v>
      </c>
      <c r="O742" s="18">
        <v>44099</v>
      </c>
    </row>
    <row r="743" spans="1:17" hidden="1" outlineLevel="1">
      <c r="A743" s="1">
        <v>14</v>
      </c>
      <c r="F743" s="22">
        <v>20081089</v>
      </c>
      <c r="I743" s="2" t="s">
        <v>563</v>
      </c>
      <c r="J743" s="61">
        <v>44099</v>
      </c>
      <c r="O743" s="18">
        <v>44099</v>
      </c>
    </row>
    <row r="744" spans="1:17" hidden="1" outlineLevel="1">
      <c r="A744" s="1">
        <v>15</v>
      </c>
      <c r="F744" s="22">
        <v>20081090</v>
      </c>
      <c r="N744" s="54" t="s">
        <v>3863</v>
      </c>
      <c r="O744" s="18">
        <v>44340</v>
      </c>
    </row>
    <row r="745" spans="1:17" hidden="1" outlineLevel="1">
      <c r="A745" s="1">
        <v>16</v>
      </c>
      <c r="F745" s="22">
        <v>20081091</v>
      </c>
      <c r="I745" s="2" t="s">
        <v>563</v>
      </c>
      <c r="J745" s="61">
        <v>44099</v>
      </c>
      <c r="O745" s="18">
        <v>44099</v>
      </c>
    </row>
    <row r="746" spans="1:17" hidden="1" outlineLevel="1">
      <c r="A746" s="8"/>
      <c r="B746" s="58"/>
      <c r="C746" s="159"/>
      <c r="D746" s="8"/>
      <c r="E746" s="8"/>
      <c r="F746" s="9"/>
      <c r="G746" s="8"/>
      <c r="H746" s="8"/>
      <c r="I746" s="8"/>
      <c r="J746" s="132"/>
      <c r="K746" s="8"/>
      <c r="L746" s="58"/>
      <c r="M746" s="8"/>
      <c r="N746" s="133"/>
      <c r="O746" s="58"/>
      <c r="P746" s="8"/>
      <c r="Q746" s="8"/>
    </row>
    <row r="747" spans="1:17" hidden="1" outlineLevel="1">
      <c r="A747" s="1">
        <v>1</v>
      </c>
      <c r="B747" s="11" t="s">
        <v>6972</v>
      </c>
      <c r="C747" s="160">
        <v>892</v>
      </c>
      <c r="E747" s="1" t="s">
        <v>323</v>
      </c>
      <c r="F747" s="22">
        <v>20090642</v>
      </c>
      <c r="M747" s="2" t="s">
        <v>3494</v>
      </c>
      <c r="N747" s="54" t="s">
        <v>3864</v>
      </c>
      <c r="O747" s="18">
        <v>44120</v>
      </c>
      <c r="P747" s="1" t="s">
        <v>4065</v>
      </c>
    </row>
    <row r="748" spans="1:17" hidden="1" outlineLevel="1">
      <c r="A748" s="1">
        <v>2</v>
      </c>
      <c r="F748" s="22">
        <v>20090643</v>
      </c>
      <c r="N748" s="54" t="s">
        <v>3865</v>
      </c>
      <c r="O748" s="18">
        <v>44120</v>
      </c>
      <c r="P748" s="1" t="s">
        <v>4066</v>
      </c>
    </row>
    <row r="749" spans="1:17" hidden="1" outlineLevel="1">
      <c r="A749" s="1">
        <v>3</v>
      </c>
      <c r="F749" s="22">
        <v>20090644</v>
      </c>
      <c r="N749" s="54" t="s">
        <v>3866</v>
      </c>
      <c r="O749" s="18">
        <v>44109</v>
      </c>
    </row>
    <row r="750" spans="1:17" hidden="1" outlineLevel="1">
      <c r="A750" s="1">
        <v>4</v>
      </c>
      <c r="F750" s="22">
        <v>20090645</v>
      </c>
      <c r="N750" s="54" t="s">
        <v>3860</v>
      </c>
      <c r="O750" s="18">
        <v>44109</v>
      </c>
    </row>
    <row r="751" spans="1:17" hidden="1" outlineLevel="1">
      <c r="A751" s="1">
        <v>5</v>
      </c>
      <c r="F751" s="22">
        <v>20090646</v>
      </c>
      <c r="M751" s="2" t="s">
        <v>3495</v>
      </c>
      <c r="N751" s="54" t="s">
        <v>3823</v>
      </c>
      <c r="O751" s="18">
        <v>44116</v>
      </c>
    </row>
    <row r="752" spans="1:17" hidden="1" outlineLevel="1">
      <c r="A752" s="1">
        <v>6</v>
      </c>
      <c r="F752" s="22">
        <v>20090647</v>
      </c>
      <c r="N752" s="54" t="s">
        <v>3674</v>
      </c>
      <c r="O752" s="18">
        <v>44113</v>
      </c>
    </row>
    <row r="753" spans="1:17" hidden="1" outlineLevel="1">
      <c r="A753" s="1">
        <v>7</v>
      </c>
      <c r="F753" s="22">
        <v>20090648</v>
      </c>
      <c r="M753" s="2" t="s">
        <v>3496</v>
      </c>
      <c r="N753" s="54" t="s">
        <v>3867</v>
      </c>
      <c r="O753" s="18">
        <v>44123</v>
      </c>
    </row>
    <row r="754" spans="1:17" hidden="1" outlineLevel="1">
      <c r="A754" s="1">
        <v>8</v>
      </c>
      <c r="F754" s="22">
        <v>20090649</v>
      </c>
      <c r="M754" s="2" t="s">
        <v>3497</v>
      </c>
      <c r="N754" s="54" t="s">
        <v>3868</v>
      </c>
      <c r="O754" s="18">
        <v>44125</v>
      </c>
    </row>
    <row r="755" spans="1:17" hidden="1" outlineLevel="1">
      <c r="A755" s="1">
        <v>9</v>
      </c>
      <c r="F755" s="22">
        <v>20090650</v>
      </c>
      <c r="N755" s="54" t="s">
        <v>3641</v>
      </c>
      <c r="O755" s="18">
        <v>44117</v>
      </c>
    </row>
    <row r="756" spans="1:17" hidden="1" outlineLevel="1">
      <c r="A756" s="1">
        <v>10</v>
      </c>
      <c r="F756" s="22">
        <v>20090651</v>
      </c>
      <c r="N756" s="54" t="s">
        <v>3869</v>
      </c>
      <c r="O756" s="18">
        <v>44116</v>
      </c>
    </row>
    <row r="757" spans="1:17" hidden="1" outlineLevel="1">
      <c r="A757" s="8"/>
      <c r="B757" s="58"/>
      <c r="C757" s="159"/>
      <c r="D757" s="8"/>
      <c r="E757" s="8"/>
      <c r="F757" s="9"/>
      <c r="G757" s="8"/>
      <c r="H757" s="8"/>
      <c r="I757" s="8"/>
      <c r="J757" s="132"/>
      <c r="K757" s="8"/>
      <c r="L757" s="58"/>
      <c r="M757" s="8"/>
      <c r="N757" s="133"/>
      <c r="O757" s="58"/>
      <c r="P757" s="8"/>
      <c r="Q757" s="8"/>
    </row>
    <row r="758" spans="1:17" hidden="1" outlineLevel="1">
      <c r="A758" s="1">
        <v>1</v>
      </c>
      <c r="B758" s="11" t="s">
        <v>6973</v>
      </c>
      <c r="C758" s="160">
        <v>946</v>
      </c>
      <c r="E758" s="1" t="s">
        <v>323</v>
      </c>
      <c r="F758" s="22">
        <v>20091200</v>
      </c>
      <c r="N758" s="54" t="s">
        <v>3870</v>
      </c>
      <c r="O758" s="18">
        <v>44146</v>
      </c>
    </row>
    <row r="759" spans="1:17" hidden="1" outlineLevel="1">
      <c r="A759" s="1">
        <v>2</v>
      </c>
      <c r="F759" s="22">
        <v>20091201</v>
      </c>
      <c r="N759" s="54" t="s">
        <v>3870</v>
      </c>
      <c r="O759" s="18">
        <v>44146</v>
      </c>
    </row>
    <row r="760" spans="1:17" hidden="1" outlineLevel="1">
      <c r="A760" s="1">
        <v>3</v>
      </c>
      <c r="F760" s="22">
        <v>20091238</v>
      </c>
      <c r="M760" s="2" t="s">
        <v>3498</v>
      </c>
      <c r="N760" s="54" t="s">
        <v>3871</v>
      </c>
      <c r="O760" s="18">
        <v>44134</v>
      </c>
    </row>
    <row r="761" spans="1:17" hidden="1" outlineLevel="1">
      <c r="A761" s="1">
        <v>4</v>
      </c>
      <c r="F761" s="22">
        <v>20091239</v>
      </c>
      <c r="M761" s="2" t="s">
        <v>3498</v>
      </c>
      <c r="N761" s="54" t="s">
        <v>3871</v>
      </c>
      <c r="O761" s="18">
        <v>44134</v>
      </c>
    </row>
    <row r="762" spans="1:17" hidden="1" outlineLevel="1">
      <c r="A762" s="1">
        <v>5</v>
      </c>
      <c r="F762" s="22">
        <v>20091240</v>
      </c>
      <c r="M762" s="2" t="s">
        <v>3469</v>
      </c>
      <c r="N762" s="54" t="s">
        <v>3735</v>
      </c>
      <c r="O762" s="18">
        <v>44136</v>
      </c>
    </row>
    <row r="763" spans="1:17" hidden="1" outlineLevel="1">
      <c r="A763" s="1">
        <v>6</v>
      </c>
      <c r="F763" s="22">
        <v>20091241</v>
      </c>
      <c r="N763" s="54" t="s">
        <v>3869</v>
      </c>
      <c r="O763" s="18">
        <v>44133</v>
      </c>
    </row>
    <row r="764" spans="1:17" hidden="1" outlineLevel="1">
      <c r="A764" s="1">
        <v>7</v>
      </c>
      <c r="F764" s="22">
        <v>20091242</v>
      </c>
      <c r="N764" s="54" t="s">
        <v>3872</v>
      </c>
      <c r="O764" s="18">
        <v>44141</v>
      </c>
    </row>
    <row r="765" spans="1:17" hidden="1" outlineLevel="1">
      <c r="A765" s="1">
        <v>8</v>
      </c>
      <c r="F765" s="22">
        <v>20091243</v>
      </c>
      <c r="N765" s="54" t="s">
        <v>3873</v>
      </c>
      <c r="O765" s="18">
        <v>44154</v>
      </c>
    </row>
    <row r="766" spans="1:17" hidden="1" outlineLevel="1">
      <c r="A766" s="1">
        <v>9</v>
      </c>
      <c r="F766" s="22">
        <v>20091244</v>
      </c>
      <c r="N766" s="54" t="s">
        <v>3874</v>
      </c>
      <c r="O766" s="18">
        <v>44141</v>
      </c>
    </row>
    <row r="767" spans="1:17" hidden="1" outlineLevel="1">
      <c r="A767" s="1">
        <v>10</v>
      </c>
      <c r="F767" s="22">
        <v>20091245</v>
      </c>
      <c r="M767" s="2" t="s">
        <v>3499</v>
      </c>
      <c r="N767" s="54" t="s">
        <v>3658</v>
      </c>
      <c r="O767" s="18">
        <v>44147</v>
      </c>
    </row>
    <row r="768" spans="1:17" hidden="1" outlineLevel="1">
      <c r="A768" s="8"/>
      <c r="B768" s="58"/>
      <c r="C768" s="159"/>
      <c r="D768" s="8"/>
      <c r="E768" s="8"/>
      <c r="F768" s="9"/>
      <c r="G768" s="8"/>
      <c r="H768" s="8"/>
      <c r="I768" s="8"/>
      <c r="J768" s="132"/>
      <c r="K768" s="8"/>
      <c r="L768" s="58"/>
      <c r="M768" s="8"/>
      <c r="N768" s="133"/>
      <c r="O768" s="58"/>
      <c r="P768" s="8"/>
      <c r="Q768" s="8"/>
    </row>
    <row r="769" spans="1:17" hidden="1" outlineLevel="1">
      <c r="A769" s="1">
        <v>1</v>
      </c>
      <c r="B769" s="11">
        <v>44132</v>
      </c>
      <c r="C769" s="160">
        <v>4067</v>
      </c>
      <c r="E769" s="1" t="s">
        <v>3265</v>
      </c>
      <c r="F769" s="22">
        <v>4016000137398</v>
      </c>
      <c r="M769" s="2" t="s">
        <v>3316</v>
      </c>
      <c r="N769" s="54" t="s">
        <v>382</v>
      </c>
      <c r="O769" s="18">
        <v>44132</v>
      </c>
    </row>
    <row r="770" spans="1:17" hidden="1" outlineLevel="1">
      <c r="A770" s="1">
        <v>2</v>
      </c>
      <c r="F770" s="22">
        <v>4016000137399</v>
      </c>
      <c r="M770" s="2" t="s">
        <v>3316</v>
      </c>
      <c r="N770" s="54" t="s">
        <v>382</v>
      </c>
      <c r="O770" s="18">
        <v>44132</v>
      </c>
    </row>
    <row r="771" spans="1:17" hidden="1" outlineLevel="1">
      <c r="A771" s="8"/>
      <c r="B771" s="58"/>
      <c r="C771" s="159"/>
      <c r="D771" s="8"/>
      <c r="E771" s="8"/>
      <c r="F771" s="9"/>
      <c r="G771" s="8"/>
      <c r="H771" s="8"/>
      <c r="I771" s="8"/>
      <c r="J771" s="132"/>
      <c r="K771" s="8"/>
      <c r="L771" s="58"/>
      <c r="M771" s="8"/>
      <c r="N771" s="133"/>
      <c r="O771" s="58"/>
      <c r="P771" s="8"/>
      <c r="Q771" s="8"/>
    </row>
    <row r="772" spans="1:17" hidden="1" outlineLevel="1">
      <c r="A772" s="1">
        <v>1</v>
      </c>
      <c r="B772" s="11" t="s">
        <v>6974</v>
      </c>
      <c r="C772" s="160">
        <v>933</v>
      </c>
      <c r="E772" s="1" t="s">
        <v>323</v>
      </c>
      <c r="F772" s="22">
        <v>20091012</v>
      </c>
      <c r="I772" s="2" t="s">
        <v>50</v>
      </c>
      <c r="J772" s="61">
        <v>44126</v>
      </c>
      <c r="O772" s="18">
        <v>44126</v>
      </c>
      <c r="P772" s="1" t="s">
        <v>4067</v>
      </c>
    </row>
    <row r="773" spans="1:17" hidden="1" outlineLevel="1">
      <c r="A773" s="1">
        <v>2</v>
      </c>
      <c r="F773" s="22">
        <v>20091013</v>
      </c>
      <c r="I773" s="2" t="s">
        <v>50</v>
      </c>
      <c r="J773" s="61">
        <v>44126</v>
      </c>
      <c r="O773" s="18">
        <v>44126</v>
      </c>
    </row>
    <row r="774" spans="1:17" hidden="1" outlineLevel="1">
      <c r="A774" s="1">
        <v>3</v>
      </c>
      <c r="F774" s="22">
        <v>20091014</v>
      </c>
      <c r="I774" s="2" t="s">
        <v>50</v>
      </c>
      <c r="J774" s="61">
        <v>44126</v>
      </c>
      <c r="O774" s="18">
        <v>44126</v>
      </c>
    </row>
    <row r="775" spans="1:17" hidden="1" outlineLevel="1">
      <c r="A775" s="1">
        <v>4</v>
      </c>
      <c r="F775" s="22">
        <v>20091015</v>
      </c>
      <c r="I775" s="2" t="s">
        <v>50</v>
      </c>
      <c r="J775" s="61">
        <v>44126</v>
      </c>
      <c r="O775" s="18">
        <v>44126</v>
      </c>
    </row>
    <row r="776" spans="1:17" hidden="1" outlineLevel="1">
      <c r="A776" s="1">
        <v>5</v>
      </c>
      <c r="F776" s="22">
        <v>20091016</v>
      </c>
      <c r="I776" s="2" t="s">
        <v>50</v>
      </c>
      <c r="J776" s="61">
        <v>44126</v>
      </c>
      <c r="O776" s="18">
        <v>44126</v>
      </c>
    </row>
    <row r="777" spans="1:17" hidden="1" outlineLevel="1">
      <c r="A777" s="1">
        <v>6</v>
      </c>
      <c r="F777" s="22">
        <v>20091017</v>
      </c>
      <c r="I777" s="2" t="s">
        <v>50</v>
      </c>
      <c r="J777" s="61">
        <v>44126</v>
      </c>
      <c r="O777" s="18">
        <v>44126</v>
      </c>
    </row>
    <row r="778" spans="1:17" hidden="1" outlineLevel="1">
      <c r="A778" s="1">
        <v>7</v>
      </c>
      <c r="F778" s="22">
        <v>20091024</v>
      </c>
      <c r="I778" s="2" t="s">
        <v>563</v>
      </c>
      <c r="J778" s="61">
        <v>44126</v>
      </c>
      <c r="O778" s="18">
        <v>44126</v>
      </c>
    </row>
    <row r="779" spans="1:17" hidden="1" outlineLevel="1">
      <c r="A779" s="1">
        <v>8</v>
      </c>
      <c r="F779" s="22">
        <v>20091025</v>
      </c>
      <c r="I779" s="2" t="s">
        <v>563</v>
      </c>
      <c r="J779" s="61">
        <v>44126</v>
      </c>
      <c r="O779" s="18">
        <v>44126</v>
      </c>
    </row>
    <row r="780" spans="1:17" hidden="1" outlineLevel="1">
      <c r="A780" s="1">
        <v>9</v>
      </c>
      <c r="F780" s="22">
        <v>20091026</v>
      </c>
      <c r="N780" s="54" t="s">
        <v>3875</v>
      </c>
      <c r="O780" s="18">
        <v>44127</v>
      </c>
    </row>
    <row r="781" spans="1:17" hidden="1" outlineLevel="1">
      <c r="A781" s="1">
        <v>10</v>
      </c>
      <c r="F781" s="22">
        <v>20091027</v>
      </c>
      <c r="N781" s="54" t="s">
        <v>3875</v>
      </c>
      <c r="O781" s="18">
        <v>44127</v>
      </c>
    </row>
    <row r="782" spans="1:17" hidden="1" outlineLevel="1">
      <c r="A782" s="8"/>
      <c r="B782" s="58"/>
      <c r="C782" s="159"/>
      <c r="D782" s="8"/>
      <c r="E782" s="8"/>
      <c r="F782" s="9"/>
      <c r="G782" s="8"/>
      <c r="H782" s="8"/>
      <c r="I782" s="8"/>
      <c r="J782" s="132"/>
      <c r="K782" s="8"/>
      <c r="L782" s="58"/>
      <c r="M782" s="8"/>
      <c r="N782" s="133"/>
      <c r="O782" s="58"/>
      <c r="P782" s="8"/>
      <c r="Q782" s="8"/>
    </row>
    <row r="783" spans="1:17" hidden="1" outlineLevel="1">
      <c r="A783" s="1">
        <v>1</v>
      </c>
      <c r="B783" s="11" t="s">
        <v>6975</v>
      </c>
      <c r="C783" s="160">
        <v>1003</v>
      </c>
      <c r="E783" s="1" t="s">
        <v>3266</v>
      </c>
      <c r="F783" s="22">
        <v>20090132</v>
      </c>
      <c r="M783" s="2" t="s">
        <v>3500</v>
      </c>
      <c r="N783" s="54" t="s">
        <v>3876</v>
      </c>
      <c r="O783" s="18">
        <v>44159</v>
      </c>
    </row>
    <row r="784" spans="1:17" hidden="1" outlineLevel="1">
      <c r="A784" s="1">
        <v>2</v>
      </c>
      <c r="F784" s="22">
        <v>20090133</v>
      </c>
      <c r="M784" s="2" t="s">
        <v>3501</v>
      </c>
      <c r="N784" s="54" t="s">
        <v>3658</v>
      </c>
      <c r="O784" s="18">
        <v>44147</v>
      </c>
    </row>
    <row r="785" spans="1:17" hidden="1" outlineLevel="1">
      <c r="A785" s="1">
        <v>3</v>
      </c>
      <c r="F785" s="22">
        <v>20090134</v>
      </c>
      <c r="I785" s="2" t="s">
        <v>50</v>
      </c>
      <c r="J785" s="61">
        <v>44161</v>
      </c>
    </row>
    <row r="786" spans="1:17" hidden="1" outlineLevel="1">
      <c r="A786" s="1">
        <v>4</v>
      </c>
      <c r="F786" s="22">
        <v>20090135</v>
      </c>
      <c r="I786" s="2" t="s">
        <v>50</v>
      </c>
      <c r="J786" s="61">
        <v>44161</v>
      </c>
    </row>
    <row r="787" spans="1:17" hidden="1" outlineLevel="1">
      <c r="A787" s="1">
        <v>5</v>
      </c>
      <c r="F787" s="22">
        <v>20090136</v>
      </c>
      <c r="I787" s="2" t="s">
        <v>50</v>
      </c>
      <c r="J787" s="61">
        <v>44161</v>
      </c>
    </row>
    <row r="788" spans="1:17" hidden="1" outlineLevel="1">
      <c r="A788" s="1">
        <v>6</v>
      </c>
      <c r="F788" s="22">
        <v>20090137</v>
      </c>
      <c r="I788" s="2" t="s">
        <v>50</v>
      </c>
      <c r="J788" s="61">
        <v>44161</v>
      </c>
    </row>
    <row r="789" spans="1:17" hidden="1" outlineLevel="1">
      <c r="A789" s="1">
        <v>7</v>
      </c>
      <c r="F789" s="22">
        <v>20090138</v>
      </c>
      <c r="I789" s="2" t="s">
        <v>50</v>
      </c>
      <c r="J789" s="61">
        <v>44161</v>
      </c>
    </row>
    <row r="790" spans="1:17" hidden="1" outlineLevel="1">
      <c r="A790" s="1">
        <v>8</v>
      </c>
      <c r="F790" s="22">
        <v>20090139</v>
      </c>
      <c r="I790" s="2" t="s">
        <v>50</v>
      </c>
      <c r="J790" s="61">
        <v>44161</v>
      </c>
    </row>
    <row r="791" spans="1:17" hidden="1" outlineLevel="1">
      <c r="A791" s="1">
        <v>9</v>
      </c>
      <c r="F791" s="22">
        <v>20090140</v>
      </c>
      <c r="N791" s="54" t="s">
        <v>3848</v>
      </c>
      <c r="O791" s="18">
        <v>44159</v>
      </c>
    </row>
    <row r="792" spans="1:17" hidden="1" outlineLevel="1">
      <c r="A792" s="1">
        <v>10</v>
      </c>
      <c r="F792" s="22">
        <v>20090141</v>
      </c>
      <c r="M792" s="2" t="s">
        <v>3502</v>
      </c>
      <c r="N792" s="54" t="s">
        <v>3877</v>
      </c>
      <c r="O792" s="18">
        <v>44161</v>
      </c>
    </row>
    <row r="793" spans="1:17" hidden="1" outlineLevel="1">
      <c r="A793" s="8"/>
      <c r="B793" s="58"/>
      <c r="C793" s="159"/>
      <c r="D793" s="8"/>
      <c r="E793" s="8"/>
      <c r="F793" s="9"/>
      <c r="G793" s="8"/>
      <c r="H793" s="8"/>
      <c r="I793" s="8"/>
      <c r="J793" s="132"/>
      <c r="K793" s="8"/>
      <c r="L793" s="58"/>
      <c r="M793" s="8"/>
      <c r="N793" s="133"/>
      <c r="O793" s="58"/>
      <c r="P793" s="8"/>
      <c r="Q793" s="8"/>
    </row>
    <row r="794" spans="1:17" hidden="1" outlineLevel="1">
      <c r="A794" s="1">
        <v>1</v>
      </c>
      <c r="B794" s="11" t="s">
        <v>6976</v>
      </c>
      <c r="C794" s="160">
        <v>1062</v>
      </c>
      <c r="E794" s="1" t="s">
        <v>3258</v>
      </c>
      <c r="F794" s="22">
        <v>20100587</v>
      </c>
      <c r="M794" s="2" t="s">
        <v>3503</v>
      </c>
      <c r="N794" s="54" t="s">
        <v>3689</v>
      </c>
      <c r="O794" s="18">
        <v>44167</v>
      </c>
    </row>
    <row r="795" spans="1:17" hidden="1" outlineLevel="1">
      <c r="A795" s="1">
        <v>2</v>
      </c>
      <c r="F795" s="22">
        <v>20100588</v>
      </c>
      <c r="N795" s="54" t="s">
        <v>3878</v>
      </c>
      <c r="O795" s="18">
        <v>44165</v>
      </c>
    </row>
    <row r="796" spans="1:17" hidden="1" outlineLevel="1">
      <c r="A796" s="1">
        <v>3</v>
      </c>
      <c r="F796" s="22">
        <v>20100589</v>
      </c>
      <c r="N796" s="54" t="s">
        <v>3879</v>
      </c>
      <c r="O796" s="18">
        <v>44168</v>
      </c>
    </row>
    <row r="797" spans="1:17" hidden="1" outlineLevel="1">
      <c r="A797" s="1">
        <v>4</v>
      </c>
      <c r="F797" s="22">
        <v>20100590</v>
      </c>
      <c r="N797" s="54" t="s">
        <v>3880</v>
      </c>
      <c r="O797" s="18">
        <v>44168</v>
      </c>
    </row>
    <row r="798" spans="1:17" hidden="1" outlineLevel="1">
      <c r="A798" s="1">
        <v>5</v>
      </c>
      <c r="F798" s="22">
        <v>20100591</v>
      </c>
      <c r="N798" s="54" t="s">
        <v>3881</v>
      </c>
      <c r="O798" s="18">
        <v>44190</v>
      </c>
    </row>
    <row r="799" spans="1:17" hidden="1" outlineLevel="1">
      <c r="A799" s="1">
        <v>6</v>
      </c>
      <c r="F799" s="22">
        <v>20100592</v>
      </c>
      <c r="N799" s="54" t="s">
        <v>3882</v>
      </c>
      <c r="O799" s="18">
        <v>44183</v>
      </c>
    </row>
    <row r="800" spans="1:17" hidden="1" outlineLevel="1">
      <c r="A800" s="1">
        <v>7</v>
      </c>
      <c r="F800" s="22">
        <v>20100593</v>
      </c>
      <c r="M800" s="2" t="s">
        <v>3504</v>
      </c>
      <c r="N800" s="54" t="s">
        <v>3883</v>
      </c>
      <c r="O800" s="18">
        <v>44193</v>
      </c>
    </row>
    <row r="801" spans="1:17" hidden="1" outlineLevel="1">
      <c r="A801" s="1">
        <v>8</v>
      </c>
      <c r="F801" s="22">
        <v>20100594</v>
      </c>
      <c r="N801" s="54" t="s">
        <v>3884</v>
      </c>
      <c r="O801" s="18">
        <v>44193</v>
      </c>
    </row>
    <row r="802" spans="1:17" hidden="1" outlineLevel="1">
      <c r="A802" s="1">
        <v>9</v>
      </c>
      <c r="F802" s="22">
        <v>20100595</v>
      </c>
      <c r="N802" s="54" t="s">
        <v>3885</v>
      </c>
      <c r="O802" s="18">
        <v>44182</v>
      </c>
    </row>
    <row r="803" spans="1:17" hidden="1" outlineLevel="1">
      <c r="A803" s="1">
        <v>10</v>
      </c>
      <c r="F803" s="22">
        <v>20100596</v>
      </c>
      <c r="N803" s="54" t="s">
        <v>3772</v>
      </c>
      <c r="O803" s="18">
        <v>44172</v>
      </c>
    </row>
    <row r="804" spans="1:17" hidden="1" outlineLevel="1">
      <c r="A804" s="8"/>
      <c r="B804" s="58"/>
      <c r="C804" s="159"/>
      <c r="D804" s="8"/>
      <c r="E804" s="8"/>
      <c r="F804" s="9"/>
      <c r="G804" s="8"/>
      <c r="H804" s="8"/>
      <c r="I804" s="8"/>
      <c r="J804" s="132"/>
      <c r="K804" s="8"/>
      <c r="L804" s="58"/>
      <c r="M804" s="8"/>
      <c r="N804" s="133"/>
      <c r="O804" s="58"/>
      <c r="P804" s="8"/>
      <c r="Q804" s="8"/>
    </row>
    <row r="805" spans="1:17" hidden="1" outlineLevel="1">
      <c r="A805" s="1">
        <v>1</v>
      </c>
      <c r="B805" s="11">
        <v>44168</v>
      </c>
      <c r="C805" s="160">
        <v>4502</v>
      </c>
      <c r="E805" s="1" t="s">
        <v>3267</v>
      </c>
      <c r="F805" s="22">
        <v>143752</v>
      </c>
      <c r="N805" s="54" t="s">
        <v>3880</v>
      </c>
      <c r="O805" s="18">
        <v>44168</v>
      </c>
      <c r="P805" s="1" t="s">
        <v>4068</v>
      </c>
    </row>
    <row r="806" spans="1:17" hidden="1" outlineLevel="1">
      <c r="A806" s="8"/>
      <c r="B806" s="58"/>
      <c r="C806" s="159"/>
      <c r="D806" s="8"/>
      <c r="E806" s="8"/>
      <c r="F806" s="9"/>
      <c r="G806" s="8"/>
      <c r="H806" s="8"/>
      <c r="I806" s="8"/>
      <c r="J806" s="132"/>
      <c r="K806" s="8"/>
      <c r="L806" s="58"/>
      <c r="M806" s="8"/>
      <c r="N806" s="133"/>
      <c r="O806" s="58"/>
      <c r="P806" s="8"/>
      <c r="Q806" s="8"/>
    </row>
    <row r="807" spans="1:17" hidden="1" outlineLevel="1">
      <c r="A807" s="1">
        <v>1</v>
      </c>
      <c r="B807" s="11" t="s">
        <v>6977</v>
      </c>
      <c r="C807" s="160">
        <v>4820</v>
      </c>
      <c r="E807" s="1" t="s">
        <v>3268</v>
      </c>
      <c r="F807" s="22">
        <v>5016000010818</v>
      </c>
      <c r="N807" s="54" t="s">
        <v>3886</v>
      </c>
      <c r="O807" s="18">
        <v>44274</v>
      </c>
    </row>
    <row r="808" spans="1:17" hidden="1" outlineLevel="1">
      <c r="A808" s="1">
        <v>2</v>
      </c>
      <c r="E808" s="1" t="s">
        <v>3269</v>
      </c>
      <c r="F808" s="22">
        <v>5023002000275</v>
      </c>
      <c r="N808" s="54" t="s">
        <v>3886</v>
      </c>
      <c r="O808" s="18">
        <v>44274</v>
      </c>
    </row>
    <row r="809" spans="1:17" hidden="1" outlineLevel="1">
      <c r="A809" s="1">
        <v>3</v>
      </c>
      <c r="F809" s="22">
        <v>5023002000276</v>
      </c>
      <c r="N809" s="54" t="s">
        <v>3886</v>
      </c>
      <c r="O809" s="18">
        <v>44274</v>
      </c>
    </row>
    <row r="810" spans="1:17" collapsed="1">
      <c r="A810" s="8">
        <v>2021</v>
      </c>
      <c r="B810" s="58"/>
      <c r="C810" s="159"/>
      <c r="D810" s="8"/>
      <c r="E810" s="8"/>
      <c r="F810" s="9"/>
      <c r="G810" s="8"/>
      <c r="H810" s="8"/>
      <c r="I810" s="8"/>
      <c r="J810" s="132"/>
      <c r="K810" s="8"/>
      <c r="L810" s="58"/>
      <c r="M810" s="8"/>
      <c r="N810" s="133"/>
      <c r="O810" s="58"/>
      <c r="P810" s="8"/>
      <c r="Q810" s="8"/>
    </row>
    <row r="811" spans="1:17" hidden="1" outlineLevel="1">
      <c r="A811" s="1">
        <v>1</v>
      </c>
      <c r="B811" s="11" t="s">
        <v>6978</v>
      </c>
      <c r="C811" s="160">
        <v>5</v>
      </c>
      <c r="E811" s="1" t="s">
        <v>3258</v>
      </c>
      <c r="F811" s="22">
        <v>20121109</v>
      </c>
      <c r="N811" s="54" t="s">
        <v>3848</v>
      </c>
      <c r="O811" s="18">
        <v>44222</v>
      </c>
      <c r="P811" s="1" t="s">
        <v>4069</v>
      </c>
    </row>
    <row r="812" spans="1:17" hidden="1" outlineLevel="1">
      <c r="A812" s="1">
        <v>2</v>
      </c>
      <c r="F812" s="22">
        <v>20121110</v>
      </c>
      <c r="N812" s="54" t="s">
        <v>3848</v>
      </c>
      <c r="O812" s="18">
        <v>44222</v>
      </c>
    </row>
    <row r="813" spans="1:17" hidden="1" outlineLevel="1">
      <c r="A813" s="1">
        <v>3</v>
      </c>
      <c r="F813" s="22">
        <v>20121111</v>
      </c>
      <c r="N813" s="54" t="s">
        <v>3887</v>
      </c>
      <c r="O813" s="18">
        <v>44223</v>
      </c>
    </row>
    <row r="814" spans="1:17" hidden="1" outlineLevel="1">
      <c r="A814" s="1">
        <v>4</v>
      </c>
      <c r="F814" s="22">
        <v>20121112</v>
      </c>
      <c r="N814" s="54" t="s">
        <v>3772</v>
      </c>
      <c r="O814" s="18">
        <v>44222</v>
      </c>
    </row>
    <row r="815" spans="1:17" hidden="1" outlineLevel="1">
      <c r="A815" s="1">
        <v>5</v>
      </c>
      <c r="F815" s="22">
        <v>20121124</v>
      </c>
      <c r="N815" s="54" t="s">
        <v>3848</v>
      </c>
      <c r="O815" s="18">
        <v>44222</v>
      </c>
    </row>
    <row r="816" spans="1:17" hidden="1" outlineLevel="1">
      <c r="A816" s="1">
        <v>6</v>
      </c>
      <c r="F816" s="22">
        <v>20121125</v>
      </c>
      <c r="N816" s="54" t="s">
        <v>3848</v>
      </c>
      <c r="O816" s="18">
        <v>44222</v>
      </c>
    </row>
    <row r="817" spans="1:17" hidden="1" outlineLevel="1">
      <c r="A817" s="1">
        <v>7</v>
      </c>
      <c r="F817" s="22">
        <v>20121126</v>
      </c>
      <c r="M817" s="2" t="s">
        <v>3505</v>
      </c>
      <c r="N817" s="54" t="s">
        <v>3625</v>
      </c>
      <c r="O817" s="18">
        <v>44222</v>
      </c>
    </row>
    <row r="818" spans="1:17" hidden="1" outlineLevel="1">
      <c r="A818" s="1">
        <v>8</v>
      </c>
      <c r="F818" s="22">
        <v>20121127</v>
      </c>
      <c r="M818" s="2" t="s">
        <v>3505</v>
      </c>
      <c r="N818" s="54" t="s">
        <v>3625</v>
      </c>
      <c r="O818" s="18">
        <v>44222</v>
      </c>
    </row>
    <row r="819" spans="1:17" hidden="1" outlineLevel="1">
      <c r="A819" s="1">
        <v>9</v>
      </c>
      <c r="F819" s="22">
        <v>20121128</v>
      </c>
      <c r="N819" s="54" t="s">
        <v>3888</v>
      </c>
      <c r="O819" s="18">
        <v>44217</v>
      </c>
    </row>
    <row r="820" spans="1:17" hidden="1" outlineLevel="1">
      <c r="A820" s="1">
        <v>10</v>
      </c>
      <c r="F820" s="22">
        <v>20121129</v>
      </c>
      <c r="M820" s="2" t="s">
        <v>3506</v>
      </c>
      <c r="N820" s="54" t="s">
        <v>333</v>
      </c>
      <c r="O820" s="18">
        <v>44218</v>
      </c>
    </row>
    <row r="821" spans="1:17" hidden="1" outlineLevel="1">
      <c r="A821" s="8"/>
      <c r="B821" s="58"/>
      <c r="C821" s="159"/>
      <c r="D821" s="8"/>
      <c r="E821" s="8"/>
      <c r="F821" s="9"/>
      <c r="G821" s="8"/>
      <c r="H821" s="8"/>
      <c r="I821" s="8"/>
      <c r="J821" s="132"/>
      <c r="K821" s="8"/>
      <c r="L821" s="58"/>
      <c r="M821" s="8"/>
      <c r="N821" s="133"/>
      <c r="O821" s="58"/>
      <c r="P821" s="8"/>
      <c r="Q821" s="8"/>
    </row>
    <row r="822" spans="1:17" hidden="1" outlineLevel="1">
      <c r="A822" s="1">
        <v>1</v>
      </c>
      <c r="B822" s="11" t="s">
        <v>6979</v>
      </c>
      <c r="C822" s="160">
        <v>36</v>
      </c>
      <c r="E822" s="1" t="s">
        <v>3263</v>
      </c>
      <c r="F822" s="22">
        <v>20121204</v>
      </c>
      <c r="N822" s="54" t="s">
        <v>3848</v>
      </c>
      <c r="O822" s="18">
        <v>44222</v>
      </c>
    </row>
    <row r="823" spans="1:17" hidden="1" outlineLevel="1">
      <c r="A823" s="1">
        <v>2</v>
      </c>
      <c r="F823" s="22">
        <v>20121205</v>
      </c>
      <c r="N823" s="54" t="s">
        <v>3848</v>
      </c>
      <c r="O823" s="18">
        <v>44222</v>
      </c>
    </row>
    <row r="824" spans="1:17" hidden="1" outlineLevel="1">
      <c r="A824" s="1">
        <v>3</v>
      </c>
      <c r="F824" s="22">
        <v>20121206</v>
      </c>
      <c r="N824" s="54" t="s">
        <v>3848</v>
      </c>
      <c r="O824" s="18">
        <v>44222</v>
      </c>
    </row>
    <row r="825" spans="1:17" hidden="1" outlineLevel="1">
      <c r="A825" s="1">
        <v>4</v>
      </c>
      <c r="F825" s="22">
        <v>20121207</v>
      </c>
      <c r="N825" s="54" t="s">
        <v>3848</v>
      </c>
      <c r="O825" s="18">
        <v>44222</v>
      </c>
    </row>
    <row r="826" spans="1:17" hidden="1" outlineLevel="1">
      <c r="A826" s="1">
        <v>5</v>
      </c>
      <c r="F826" s="22">
        <v>20121208</v>
      </c>
      <c r="N826" s="54" t="s">
        <v>3848</v>
      </c>
      <c r="O826" s="18">
        <v>44222</v>
      </c>
    </row>
    <row r="827" spans="1:17" hidden="1" outlineLevel="1">
      <c r="A827" s="1">
        <v>6</v>
      </c>
      <c r="F827" s="22">
        <v>20121209</v>
      </c>
      <c r="N827" s="54" t="s">
        <v>3848</v>
      </c>
      <c r="O827" s="18">
        <v>44222</v>
      </c>
    </row>
    <row r="828" spans="1:17" hidden="1" outlineLevel="1">
      <c r="A828" s="1">
        <v>7</v>
      </c>
      <c r="F828" s="22">
        <v>20121210</v>
      </c>
      <c r="N828" s="54" t="s">
        <v>3889</v>
      </c>
      <c r="O828" s="18">
        <v>44222</v>
      </c>
    </row>
    <row r="829" spans="1:17" hidden="1" outlineLevel="1">
      <c r="A829" s="1">
        <v>8</v>
      </c>
      <c r="F829" s="22">
        <v>20121211</v>
      </c>
      <c r="N829" s="54" t="s">
        <v>3889</v>
      </c>
      <c r="O829" s="18">
        <v>44222</v>
      </c>
    </row>
    <row r="830" spans="1:17" hidden="1" outlineLevel="1">
      <c r="A830" s="1">
        <v>9</v>
      </c>
      <c r="F830" s="22">
        <v>20121218</v>
      </c>
      <c r="N830" s="54" t="s">
        <v>3890</v>
      </c>
      <c r="O830" s="18">
        <v>44218</v>
      </c>
    </row>
    <row r="831" spans="1:17" hidden="1" outlineLevel="1">
      <c r="A831" s="1">
        <v>10</v>
      </c>
      <c r="F831" s="22">
        <v>20121219</v>
      </c>
      <c r="N831" s="54" t="s">
        <v>3890</v>
      </c>
      <c r="O831" s="18">
        <v>44218</v>
      </c>
    </row>
    <row r="832" spans="1:17" hidden="1" outlineLevel="1">
      <c r="A832" s="8"/>
      <c r="B832" s="58"/>
      <c r="C832" s="159"/>
      <c r="D832" s="8"/>
      <c r="E832" s="8"/>
      <c r="F832" s="9"/>
      <c r="G832" s="8"/>
      <c r="H832" s="8"/>
      <c r="I832" s="8"/>
      <c r="J832" s="132"/>
      <c r="K832" s="8"/>
      <c r="L832" s="58"/>
      <c r="M832" s="8"/>
      <c r="N832" s="133"/>
      <c r="O832" s="58"/>
      <c r="P832" s="8"/>
      <c r="Q832" s="8"/>
    </row>
    <row r="833" spans="1:17" hidden="1" outlineLevel="1">
      <c r="A833" s="1">
        <v>1</v>
      </c>
      <c r="B833" s="11" t="s">
        <v>6980</v>
      </c>
      <c r="C833" s="160">
        <v>82</v>
      </c>
      <c r="E833" s="1" t="s">
        <v>3263</v>
      </c>
      <c r="F833" s="22">
        <v>21010892</v>
      </c>
      <c r="N833" s="54" t="s">
        <v>3891</v>
      </c>
      <c r="O833" s="18">
        <v>44229</v>
      </c>
    </row>
    <row r="834" spans="1:17" hidden="1" outlineLevel="1">
      <c r="A834" s="1">
        <v>2</v>
      </c>
      <c r="F834" s="22">
        <v>21010893</v>
      </c>
      <c r="M834" s="2" t="s">
        <v>3507</v>
      </c>
      <c r="N834" s="54" t="s">
        <v>3692</v>
      </c>
      <c r="O834" s="18">
        <v>44232</v>
      </c>
    </row>
    <row r="835" spans="1:17" hidden="1" outlineLevel="1">
      <c r="A835" s="1">
        <v>3</v>
      </c>
      <c r="F835" s="22">
        <v>21010894</v>
      </c>
      <c r="M835" s="2" t="s">
        <v>3508</v>
      </c>
      <c r="N835" s="54" t="s">
        <v>3892</v>
      </c>
      <c r="O835" s="18">
        <v>44238</v>
      </c>
    </row>
    <row r="836" spans="1:17" hidden="1" outlineLevel="1">
      <c r="A836" s="1">
        <v>4</v>
      </c>
      <c r="F836" s="22">
        <v>21010895</v>
      </c>
      <c r="N836" s="54" t="s">
        <v>3797</v>
      </c>
      <c r="O836" s="18">
        <v>44237</v>
      </c>
    </row>
    <row r="837" spans="1:17" hidden="1" outlineLevel="1">
      <c r="A837" s="1">
        <v>5</v>
      </c>
      <c r="F837" s="22">
        <v>21010896</v>
      </c>
      <c r="N837" s="54" t="s">
        <v>3893</v>
      </c>
      <c r="O837" s="18">
        <v>44244</v>
      </c>
    </row>
    <row r="838" spans="1:17" hidden="1" outlineLevel="1">
      <c r="A838" s="1">
        <v>6</v>
      </c>
      <c r="F838" s="22">
        <v>21010897</v>
      </c>
      <c r="M838" s="2" t="s">
        <v>3509</v>
      </c>
      <c r="N838" s="54" t="s">
        <v>335</v>
      </c>
      <c r="O838" s="18">
        <v>44243</v>
      </c>
    </row>
    <row r="839" spans="1:17" hidden="1" outlineLevel="1">
      <c r="A839" s="1">
        <v>7</v>
      </c>
      <c r="F839" s="22">
        <v>21010902</v>
      </c>
      <c r="M839" s="2" t="s">
        <v>3510</v>
      </c>
      <c r="N839" s="54" t="s">
        <v>3894</v>
      </c>
      <c r="O839" s="18">
        <v>44244</v>
      </c>
    </row>
    <row r="840" spans="1:17" hidden="1" outlineLevel="1">
      <c r="A840" s="1">
        <v>8</v>
      </c>
      <c r="F840" s="22">
        <v>21010903</v>
      </c>
      <c r="M840" s="2" t="s">
        <v>3511</v>
      </c>
      <c r="N840" s="54" t="s">
        <v>3895</v>
      </c>
      <c r="O840" s="18">
        <v>44239</v>
      </c>
    </row>
    <row r="841" spans="1:17" hidden="1" outlineLevel="1">
      <c r="A841" s="1">
        <v>9</v>
      </c>
      <c r="F841" s="22">
        <v>21010906</v>
      </c>
      <c r="M841" s="2" t="s">
        <v>3512</v>
      </c>
      <c r="N841" s="54" t="s">
        <v>3896</v>
      </c>
      <c r="O841" s="18">
        <v>44235</v>
      </c>
    </row>
    <row r="842" spans="1:17" hidden="1" outlineLevel="1">
      <c r="A842" s="1">
        <v>10</v>
      </c>
      <c r="F842" s="22">
        <v>21010907</v>
      </c>
      <c r="M842" s="2" t="s">
        <v>3512</v>
      </c>
      <c r="N842" s="54" t="s">
        <v>3896</v>
      </c>
      <c r="O842" s="18">
        <v>44235</v>
      </c>
    </row>
    <row r="843" spans="1:17" hidden="1" outlineLevel="1">
      <c r="A843" s="8"/>
      <c r="B843" s="58"/>
      <c r="C843" s="159"/>
      <c r="D843" s="8"/>
      <c r="E843" s="8"/>
      <c r="F843" s="9"/>
      <c r="G843" s="8"/>
      <c r="H843" s="8"/>
      <c r="I843" s="8"/>
      <c r="J843" s="132"/>
      <c r="K843" s="8"/>
      <c r="L843" s="58"/>
      <c r="M843" s="8"/>
      <c r="N843" s="133"/>
      <c r="O843" s="58"/>
      <c r="P843" s="8"/>
      <c r="Q843" s="8"/>
    </row>
    <row r="844" spans="1:17" hidden="1" outlineLevel="1">
      <c r="A844" s="1">
        <v>1</v>
      </c>
      <c r="B844" s="11" t="s">
        <v>6981</v>
      </c>
      <c r="C844" s="160">
        <v>342</v>
      </c>
      <c r="E844" s="1" t="s">
        <v>3270</v>
      </c>
      <c r="F844" s="22">
        <v>4016000102965</v>
      </c>
    </row>
    <row r="845" spans="1:17" hidden="1" outlineLevel="1">
      <c r="A845" s="8"/>
      <c r="B845" s="58"/>
      <c r="C845" s="159"/>
      <c r="D845" s="8"/>
      <c r="E845" s="8"/>
      <c r="F845" s="9"/>
      <c r="G845" s="8"/>
      <c r="H845" s="8"/>
      <c r="I845" s="8"/>
      <c r="J845" s="132"/>
      <c r="K845" s="8"/>
      <c r="L845" s="58"/>
      <c r="M845" s="8"/>
      <c r="N845" s="133"/>
      <c r="O845" s="58"/>
      <c r="P845" s="8"/>
      <c r="Q845" s="8"/>
    </row>
    <row r="846" spans="1:17" hidden="1" outlineLevel="1">
      <c r="A846" s="1">
        <v>1</v>
      </c>
      <c r="B846" s="11" t="s">
        <v>6982</v>
      </c>
      <c r="C846" s="160">
        <v>106</v>
      </c>
      <c r="E846" s="1" t="s">
        <v>3263</v>
      </c>
      <c r="F846" s="22">
        <v>21011112</v>
      </c>
      <c r="M846" s="2" t="s">
        <v>3513</v>
      </c>
      <c r="N846" s="54" t="s">
        <v>3854</v>
      </c>
      <c r="O846" s="18">
        <v>44265</v>
      </c>
    </row>
    <row r="847" spans="1:17" hidden="1" outlineLevel="1">
      <c r="A847" s="1">
        <v>2</v>
      </c>
      <c r="F847" s="22">
        <v>21011113</v>
      </c>
      <c r="M847" s="2" t="s">
        <v>3513</v>
      </c>
      <c r="N847" s="54" t="s">
        <v>3854</v>
      </c>
      <c r="O847" s="18">
        <v>44265</v>
      </c>
    </row>
    <row r="848" spans="1:17" hidden="1" outlineLevel="1">
      <c r="A848" s="1">
        <v>3</v>
      </c>
      <c r="F848" s="22">
        <v>21011114</v>
      </c>
      <c r="N848" s="54" t="s">
        <v>3897</v>
      </c>
      <c r="O848" s="18">
        <v>44246</v>
      </c>
    </row>
    <row r="849" spans="1:17" hidden="1" outlineLevel="1">
      <c r="A849" s="1">
        <v>4</v>
      </c>
      <c r="F849" s="22">
        <v>21011115</v>
      </c>
      <c r="N849" s="54" t="s">
        <v>3242</v>
      </c>
      <c r="O849" s="18">
        <v>44246</v>
      </c>
    </row>
    <row r="850" spans="1:17" hidden="1" outlineLevel="1">
      <c r="A850" s="1">
        <v>5</v>
      </c>
      <c r="F850" s="22">
        <v>21011116</v>
      </c>
      <c r="M850" s="2" t="s">
        <v>2395</v>
      </c>
      <c r="N850" s="54" t="s">
        <v>3854</v>
      </c>
      <c r="O850" s="18">
        <v>44265</v>
      </c>
    </row>
    <row r="851" spans="1:17" hidden="1" outlineLevel="1">
      <c r="A851" s="1">
        <v>6</v>
      </c>
      <c r="F851" s="22">
        <v>21011117</v>
      </c>
      <c r="M851" s="2" t="s">
        <v>3514</v>
      </c>
      <c r="N851" s="54" t="s">
        <v>3898</v>
      </c>
      <c r="O851" s="18">
        <v>44266</v>
      </c>
    </row>
    <row r="852" spans="1:17" hidden="1" outlineLevel="1">
      <c r="A852" s="1">
        <v>7</v>
      </c>
      <c r="F852" s="22">
        <v>21011118</v>
      </c>
      <c r="N852" s="54" t="s">
        <v>3650</v>
      </c>
      <c r="O852" s="18">
        <v>44243</v>
      </c>
    </row>
    <row r="853" spans="1:17" hidden="1" outlineLevel="1">
      <c r="A853" s="1">
        <v>8</v>
      </c>
      <c r="F853" s="22">
        <v>21011119</v>
      </c>
      <c r="N853" s="54" t="s">
        <v>335</v>
      </c>
      <c r="O853" s="18">
        <v>44239</v>
      </c>
    </row>
    <row r="854" spans="1:17" hidden="1" outlineLevel="1">
      <c r="A854" s="1">
        <v>9</v>
      </c>
      <c r="F854" s="22">
        <v>21011120</v>
      </c>
      <c r="N854" s="54" t="s">
        <v>3899</v>
      </c>
      <c r="O854" s="18">
        <v>44257</v>
      </c>
    </row>
    <row r="855" spans="1:17" hidden="1" outlineLevel="1">
      <c r="A855" s="1">
        <v>10</v>
      </c>
      <c r="F855" s="22">
        <v>21011191</v>
      </c>
      <c r="N855" s="54" t="s">
        <v>3900</v>
      </c>
      <c r="O855" s="18">
        <v>44253</v>
      </c>
    </row>
    <row r="856" spans="1:17" hidden="1" outlineLevel="1">
      <c r="A856" s="8"/>
      <c r="B856" s="58"/>
      <c r="C856" s="159"/>
      <c r="D856" s="8"/>
      <c r="E856" s="8"/>
      <c r="F856" s="9"/>
      <c r="G856" s="8"/>
      <c r="H856" s="8"/>
      <c r="I856" s="8"/>
      <c r="J856" s="132"/>
      <c r="K856" s="8"/>
      <c r="L856" s="58"/>
      <c r="M856" s="8"/>
      <c r="N856" s="133"/>
      <c r="O856" s="58"/>
      <c r="P856" s="8"/>
      <c r="Q856" s="8"/>
    </row>
    <row r="857" spans="1:17" hidden="1" outlineLevel="1">
      <c r="A857" s="1">
        <v>1</v>
      </c>
      <c r="B857" s="11" t="s">
        <v>6983</v>
      </c>
      <c r="C857" s="160">
        <v>52</v>
      </c>
      <c r="E857" s="1" t="s">
        <v>3258</v>
      </c>
      <c r="F857" s="22">
        <v>21010221</v>
      </c>
      <c r="M857" s="2" t="s">
        <v>3515</v>
      </c>
      <c r="N857" s="54" t="s">
        <v>3901</v>
      </c>
      <c r="O857" s="18">
        <v>44228</v>
      </c>
    </row>
    <row r="858" spans="1:17" hidden="1" outlineLevel="1">
      <c r="A858" s="1">
        <v>2</v>
      </c>
      <c r="F858" s="22">
        <v>21010222</v>
      </c>
      <c r="M858" s="2" t="s">
        <v>3515</v>
      </c>
      <c r="N858" s="54" t="s">
        <v>3670</v>
      </c>
      <c r="O858" s="18">
        <v>44228</v>
      </c>
    </row>
    <row r="859" spans="1:17" hidden="1" outlineLevel="1">
      <c r="A859" s="1">
        <v>3</v>
      </c>
      <c r="F859" s="22">
        <v>21010223</v>
      </c>
      <c r="M859" s="2" t="s">
        <v>3516</v>
      </c>
      <c r="N859" s="54" t="s">
        <v>3831</v>
      </c>
      <c r="O859" s="18">
        <v>44236</v>
      </c>
    </row>
    <row r="860" spans="1:17" hidden="1" outlineLevel="1">
      <c r="A860" s="1">
        <v>4</v>
      </c>
      <c r="F860" s="22">
        <v>21010224</v>
      </c>
      <c r="N860" s="54" t="s">
        <v>3881</v>
      </c>
      <c r="O860" s="18">
        <v>44232</v>
      </c>
    </row>
    <row r="861" spans="1:17" hidden="1" outlineLevel="1">
      <c r="A861" s="1">
        <v>5</v>
      </c>
      <c r="F861" s="22">
        <v>21010225</v>
      </c>
      <c r="N861" s="54" t="s">
        <v>3891</v>
      </c>
      <c r="O861" s="18">
        <v>44229</v>
      </c>
    </row>
    <row r="862" spans="1:17" hidden="1" outlineLevel="1">
      <c r="A862" s="1">
        <v>6</v>
      </c>
      <c r="F862" s="22">
        <v>21010226</v>
      </c>
      <c r="N862" s="54" t="s">
        <v>3902</v>
      </c>
      <c r="O862" s="18">
        <v>44228</v>
      </c>
    </row>
    <row r="863" spans="1:17" hidden="1" outlineLevel="1">
      <c r="A863" s="1">
        <v>7</v>
      </c>
      <c r="F863" s="22">
        <v>21010227</v>
      </c>
      <c r="N863" s="54" t="s">
        <v>3903</v>
      </c>
      <c r="O863" s="18">
        <v>44228</v>
      </c>
    </row>
    <row r="864" spans="1:17" hidden="1" outlineLevel="1">
      <c r="A864" s="1">
        <v>8</v>
      </c>
      <c r="F864" s="22">
        <v>21010228</v>
      </c>
      <c r="N864" s="54" t="s">
        <v>3903</v>
      </c>
      <c r="O864" s="18">
        <v>44228</v>
      </c>
    </row>
    <row r="865" spans="1:17" hidden="1" outlineLevel="1">
      <c r="A865" s="1">
        <v>9</v>
      </c>
      <c r="F865" s="22">
        <v>21010217</v>
      </c>
      <c r="N865" s="54" t="s">
        <v>3903</v>
      </c>
      <c r="O865" s="18">
        <v>44228</v>
      </c>
    </row>
    <row r="866" spans="1:17" hidden="1" outlineLevel="1">
      <c r="A866" s="1">
        <v>10</v>
      </c>
      <c r="F866" s="22">
        <v>21010218</v>
      </c>
      <c r="N866" s="54" t="s">
        <v>3903</v>
      </c>
      <c r="O866" s="18">
        <v>44228</v>
      </c>
    </row>
    <row r="867" spans="1:17" hidden="1" outlineLevel="1">
      <c r="A867" s="8"/>
      <c r="B867" s="58"/>
      <c r="C867" s="159"/>
      <c r="D867" s="8"/>
      <c r="E867" s="8"/>
      <c r="F867" s="9"/>
      <c r="G867" s="8"/>
      <c r="H867" s="8"/>
      <c r="I867" s="8"/>
      <c r="J867" s="132"/>
      <c r="K867" s="8"/>
      <c r="L867" s="58"/>
      <c r="M867" s="8"/>
      <c r="N867" s="133"/>
      <c r="O867" s="58"/>
      <c r="P867" s="8"/>
      <c r="Q867" s="8"/>
    </row>
    <row r="868" spans="1:17" hidden="1" outlineLevel="1">
      <c r="A868" s="1">
        <v>1</v>
      </c>
      <c r="B868" s="11" t="s">
        <v>6984</v>
      </c>
      <c r="C868" s="160">
        <v>164</v>
      </c>
      <c r="E868" s="1" t="s">
        <v>3258</v>
      </c>
      <c r="F868" s="22">
        <v>21020533</v>
      </c>
      <c r="G868" s="1" t="s">
        <v>3294</v>
      </c>
      <c r="I868" s="2" t="s">
        <v>50</v>
      </c>
      <c r="J868" s="61">
        <v>44267</v>
      </c>
      <c r="P868" s="1" t="s">
        <v>4070</v>
      </c>
    </row>
    <row r="869" spans="1:17" hidden="1" outlineLevel="1">
      <c r="A869" s="1">
        <v>2</v>
      </c>
      <c r="F869" s="22">
        <v>21020534</v>
      </c>
      <c r="M869" s="2" t="s">
        <v>3517</v>
      </c>
      <c r="N869" s="54" t="s">
        <v>3904</v>
      </c>
      <c r="O869" s="18">
        <v>44406</v>
      </c>
      <c r="P869" s="1" t="s">
        <v>4071</v>
      </c>
    </row>
    <row r="870" spans="1:17" hidden="1" outlineLevel="1">
      <c r="A870" s="1">
        <v>3</v>
      </c>
      <c r="F870" s="22">
        <v>21020535</v>
      </c>
      <c r="M870" s="2" t="s">
        <v>3518</v>
      </c>
      <c r="N870" s="54" t="s">
        <v>3905</v>
      </c>
      <c r="O870" s="18">
        <v>44291</v>
      </c>
      <c r="P870" s="1" t="s">
        <v>4072</v>
      </c>
    </row>
    <row r="871" spans="1:17" hidden="1" outlineLevel="1">
      <c r="A871" s="1">
        <v>4</v>
      </c>
      <c r="F871" s="22">
        <v>21020536</v>
      </c>
      <c r="M871" s="2" t="s">
        <v>3519</v>
      </c>
      <c r="N871" s="54" t="s">
        <v>3906</v>
      </c>
      <c r="O871" s="18">
        <v>44298</v>
      </c>
      <c r="P871" s="1" t="s">
        <v>4073</v>
      </c>
    </row>
    <row r="872" spans="1:17" hidden="1" outlineLevel="1">
      <c r="A872" s="1">
        <v>5</v>
      </c>
      <c r="F872" s="22">
        <v>21020539</v>
      </c>
      <c r="N872" s="54" t="s">
        <v>3674</v>
      </c>
      <c r="O872" s="18">
        <v>44264</v>
      </c>
    </row>
    <row r="873" spans="1:17" hidden="1" outlineLevel="1">
      <c r="A873" s="1">
        <v>6</v>
      </c>
      <c r="F873" s="22">
        <v>21020540</v>
      </c>
      <c r="N873" s="54" t="s">
        <v>3674</v>
      </c>
      <c r="O873" s="18">
        <v>44264</v>
      </c>
    </row>
    <row r="874" spans="1:17" hidden="1" outlineLevel="1">
      <c r="A874" s="1">
        <v>7</v>
      </c>
      <c r="F874" s="22">
        <v>21020541</v>
      </c>
      <c r="N874" s="54" t="s">
        <v>3674</v>
      </c>
      <c r="O874" s="18">
        <v>44258</v>
      </c>
    </row>
    <row r="875" spans="1:17" hidden="1" outlineLevel="1">
      <c r="A875" s="1">
        <v>8</v>
      </c>
      <c r="F875" s="22">
        <v>21020542</v>
      </c>
      <c r="N875" s="54" t="s">
        <v>3907</v>
      </c>
      <c r="O875" s="18">
        <v>44266</v>
      </c>
    </row>
    <row r="876" spans="1:17" hidden="1" outlineLevel="1">
      <c r="A876" s="1">
        <v>9</v>
      </c>
      <c r="F876" s="22">
        <v>21020543</v>
      </c>
      <c r="N876" s="54" t="s">
        <v>3908</v>
      </c>
      <c r="O876" s="18">
        <v>44259</v>
      </c>
    </row>
    <row r="877" spans="1:17" hidden="1" outlineLevel="1">
      <c r="A877" s="1">
        <v>10</v>
      </c>
      <c r="F877" s="22">
        <v>21020544</v>
      </c>
      <c r="N877" s="54" t="s">
        <v>3908</v>
      </c>
      <c r="O877" s="18">
        <v>44259</v>
      </c>
    </row>
    <row r="878" spans="1:17" hidden="1" outlineLevel="1">
      <c r="A878" s="8"/>
      <c r="B878" s="58"/>
      <c r="C878" s="159"/>
      <c r="D878" s="8"/>
      <c r="E878" s="8"/>
      <c r="F878" s="9"/>
      <c r="G878" s="8"/>
      <c r="H878" s="8"/>
      <c r="I878" s="8"/>
      <c r="J878" s="132"/>
      <c r="K878" s="8"/>
      <c r="L878" s="58"/>
      <c r="M878" s="8"/>
      <c r="N878" s="133"/>
      <c r="O878" s="58"/>
      <c r="P878" s="8"/>
      <c r="Q878" s="8"/>
    </row>
    <row r="879" spans="1:17" hidden="1" outlineLevel="1">
      <c r="A879" s="1">
        <v>1</v>
      </c>
      <c r="B879" s="11" t="s">
        <v>6985</v>
      </c>
      <c r="C879" s="160">
        <v>206</v>
      </c>
      <c r="E879" s="1" t="s">
        <v>3258</v>
      </c>
      <c r="F879" s="22">
        <v>21030312</v>
      </c>
      <c r="N879" s="54" t="s">
        <v>3908</v>
      </c>
      <c r="O879" s="18">
        <v>44272</v>
      </c>
      <c r="P879" s="1" t="s">
        <v>4074</v>
      </c>
    </row>
    <row r="880" spans="1:17" hidden="1" outlineLevel="1">
      <c r="A880" s="1">
        <v>2</v>
      </c>
      <c r="F880" s="22">
        <v>21030313</v>
      </c>
      <c r="N880" s="54" t="s">
        <v>3908</v>
      </c>
      <c r="O880" s="18">
        <v>44272</v>
      </c>
    </row>
    <row r="881" spans="1:17" hidden="1" outlineLevel="1">
      <c r="A881" s="1">
        <v>3</v>
      </c>
      <c r="F881" s="22">
        <v>21030314</v>
      </c>
      <c r="N881" s="54" t="s">
        <v>3674</v>
      </c>
      <c r="O881" s="18">
        <v>44272</v>
      </c>
    </row>
    <row r="882" spans="1:17" hidden="1" outlineLevel="1">
      <c r="A882" s="1">
        <v>4</v>
      </c>
      <c r="F882" s="22">
        <v>21030315</v>
      </c>
      <c r="N882" s="54" t="s">
        <v>3674</v>
      </c>
      <c r="O882" s="18">
        <v>44272</v>
      </c>
    </row>
    <row r="883" spans="1:17" hidden="1" outlineLevel="1">
      <c r="A883" s="1">
        <v>5</v>
      </c>
      <c r="F883" s="22">
        <v>21030316</v>
      </c>
      <c r="N883" s="54" t="s">
        <v>3232</v>
      </c>
      <c r="O883" s="18">
        <v>44274</v>
      </c>
    </row>
    <row r="884" spans="1:17" hidden="1" outlineLevel="1">
      <c r="A884" s="1">
        <v>6</v>
      </c>
      <c r="F884" s="22">
        <v>21030317</v>
      </c>
      <c r="M884" s="2" t="s">
        <v>3520</v>
      </c>
      <c r="N884" s="54" t="s">
        <v>3650</v>
      </c>
      <c r="O884" s="18">
        <v>44281</v>
      </c>
    </row>
    <row r="885" spans="1:17" hidden="1" outlineLevel="1">
      <c r="A885" s="1">
        <v>7</v>
      </c>
      <c r="F885" s="22">
        <v>21030318</v>
      </c>
      <c r="N885" s="54" t="s">
        <v>3837</v>
      </c>
      <c r="O885" s="18">
        <v>44274</v>
      </c>
    </row>
    <row r="886" spans="1:17" hidden="1" outlineLevel="1">
      <c r="A886" s="1">
        <v>8</v>
      </c>
      <c r="F886" s="22">
        <v>21030319</v>
      </c>
      <c r="N886" s="54" t="s">
        <v>3837</v>
      </c>
      <c r="O886" s="18">
        <v>44274</v>
      </c>
    </row>
    <row r="887" spans="1:17" hidden="1" outlineLevel="1">
      <c r="A887" s="1">
        <v>9</v>
      </c>
      <c r="F887" s="22">
        <v>21030320</v>
      </c>
      <c r="N887" s="54" t="s">
        <v>3908</v>
      </c>
      <c r="O887" s="18">
        <v>44272</v>
      </c>
    </row>
    <row r="888" spans="1:17" hidden="1" outlineLevel="1">
      <c r="A888" s="1">
        <v>10</v>
      </c>
      <c r="F888" s="22">
        <v>21030321</v>
      </c>
      <c r="N888" s="54" t="s">
        <v>3908</v>
      </c>
      <c r="O888" s="18">
        <v>44272</v>
      </c>
    </row>
    <row r="889" spans="1:17" hidden="1" outlineLevel="1">
      <c r="A889" s="1">
        <v>11</v>
      </c>
      <c r="F889" s="22">
        <v>21030324</v>
      </c>
      <c r="N889" s="54" t="s">
        <v>3682</v>
      </c>
      <c r="O889" s="18">
        <v>44329</v>
      </c>
    </row>
    <row r="890" spans="1:17" hidden="1" outlineLevel="1">
      <c r="A890" s="1">
        <v>12</v>
      </c>
      <c r="F890" s="22">
        <v>21030325</v>
      </c>
      <c r="N890" s="54" t="s">
        <v>3682</v>
      </c>
      <c r="O890" s="18">
        <v>44329</v>
      </c>
    </row>
    <row r="891" spans="1:17" hidden="1" outlineLevel="1">
      <c r="A891" s="1">
        <v>13</v>
      </c>
      <c r="F891" s="22">
        <v>21030326</v>
      </c>
      <c r="N891" s="54" t="s">
        <v>3826</v>
      </c>
      <c r="O891" s="18">
        <v>44334</v>
      </c>
    </row>
    <row r="892" spans="1:17" hidden="1" outlineLevel="1">
      <c r="A892" s="1">
        <v>14</v>
      </c>
      <c r="F892" s="22">
        <v>21030327</v>
      </c>
      <c r="N892" s="54" t="s">
        <v>3909</v>
      </c>
      <c r="O892" s="18">
        <v>44342</v>
      </c>
    </row>
    <row r="893" spans="1:17" hidden="1" outlineLevel="1">
      <c r="A893" s="8"/>
      <c r="B893" s="58"/>
      <c r="C893" s="159"/>
      <c r="D893" s="8"/>
      <c r="E893" s="8"/>
      <c r="F893" s="9"/>
      <c r="G893" s="8"/>
      <c r="H893" s="8"/>
      <c r="I893" s="8"/>
      <c r="J893" s="132"/>
      <c r="K893" s="8"/>
      <c r="L893" s="58"/>
      <c r="M893" s="8"/>
      <c r="N893" s="133"/>
      <c r="O893" s="58"/>
      <c r="P893" s="8"/>
      <c r="Q893" s="8"/>
    </row>
    <row r="894" spans="1:17" hidden="1" outlineLevel="1">
      <c r="A894" s="1">
        <v>1</v>
      </c>
      <c r="B894" s="11" t="s">
        <v>6986</v>
      </c>
      <c r="C894" s="160">
        <v>242</v>
      </c>
      <c r="E894" s="1" t="s">
        <v>3258</v>
      </c>
      <c r="F894" s="22">
        <v>21031407</v>
      </c>
      <c r="N894" s="54" t="s">
        <v>3910</v>
      </c>
      <c r="O894" s="18">
        <v>44288</v>
      </c>
      <c r="P894" s="1" t="s">
        <v>4075</v>
      </c>
    </row>
    <row r="895" spans="1:17" hidden="1" outlineLevel="1">
      <c r="A895" s="1">
        <v>2</v>
      </c>
      <c r="F895" s="22">
        <v>21031408</v>
      </c>
      <c r="N895" s="54" t="s">
        <v>3911</v>
      </c>
      <c r="O895" s="18">
        <v>44287</v>
      </c>
    </row>
    <row r="896" spans="1:17" hidden="1" outlineLevel="1">
      <c r="A896" s="1">
        <v>3</v>
      </c>
      <c r="F896" s="22">
        <v>21031409</v>
      </c>
      <c r="N896" s="54" t="s">
        <v>3241</v>
      </c>
      <c r="O896" s="18">
        <v>30.03</v>
      </c>
    </row>
    <row r="897" spans="1:17" hidden="1" outlineLevel="1">
      <c r="A897" s="1">
        <v>4</v>
      </c>
      <c r="F897" s="22">
        <v>21031410</v>
      </c>
      <c r="N897" s="54" t="s">
        <v>3241</v>
      </c>
      <c r="O897" s="18">
        <v>30.03</v>
      </c>
    </row>
    <row r="898" spans="1:17" hidden="1" outlineLevel="1">
      <c r="A898" s="1">
        <v>5</v>
      </c>
      <c r="F898" s="22">
        <v>21031411</v>
      </c>
      <c r="N898" s="54" t="s">
        <v>3910</v>
      </c>
      <c r="O898" s="18">
        <v>44293</v>
      </c>
    </row>
    <row r="899" spans="1:17" hidden="1" outlineLevel="1">
      <c r="A899" s="1">
        <v>6</v>
      </c>
      <c r="F899" s="22">
        <v>21031412</v>
      </c>
      <c r="N899" s="54" t="s">
        <v>3910</v>
      </c>
      <c r="O899" s="18">
        <v>44293</v>
      </c>
    </row>
    <row r="900" spans="1:17" hidden="1" outlineLevel="1">
      <c r="A900" s="1">
        <v>7</v>
      </c>
      <c r="F900" s="22">
        <v>21031413</v>
      </c>
      <c r="N900" s="54" t="s">
        <v>3241</v>
      </c>
      <c r="O900" s="18">
        <v>44285</v>
      </c>
    </row>
    <row r="901" spans="1:17" hidden="1" outlineLevel="1">
      <c r="A901" s="1">
        <v>8</v>
      </c>
      <c r="F901" s="22">
        <v>21031414</v>
      </c>
      <c r="N901" s="54" t="s">
        <v>3241</v>
      </c>
      <c r="O901" s="18">
        <v>44285</v>
      </c>
    </row>
    <row r="902" spans="1:17" hidden="1" outlineLevel="1">
      <c r="A902" s="1">
        <v>9</v>
      </c>
      <c r="F902" s="22">
        <v>21031415</v>
      </c>
      <c r="N902" s="54" t="s">
        <v>3758</v>
      </c>
      <c r="O902" s="18">
        <v>44279</v>
      </c>
    </row>
    <row r="903" spans="1:17" hidden="1" outlineLevel="1">
      <c r="A903" s="1">
        <v>10</v>
      </c>
      <c r="F903" s="22">
        <v>21031416</v>
      </c>
      <c r="N903" s="54" t="s">
        <v>3758</v>
      </c>
      <c r="O903" s="18">
        <v>44279</v>
      </c>
    </row>
    <row r="904" spans="1:17" hidden="1" outlineLevel="1">
      <c r="A904" s="1">
        <v>11</v>
      </c>
      <c r="F904" s="22">
        <v>21031417</v>
      </c>
      <c r="N904" s="54" t="s">
        <v>3912</v>
      </c>
      <c r="O904" s="18">
        <v>44284</v>
      </c>
    </row>
    <row r="905" spans="1:17" hidden="1" outlineLevel="1">
      <c r="A905" s="1">
        <v>12</v>
      </c>
      <c r="F905" s="22">
        <v>21031418</v>
      </c>
      <c r="N905" s="54" t="s">
        <v>3913</v>
      </c>
      <c r="O905" s="18">
        <v>44279</v>
      </c>
    </row>
    <row r="906" spans="1:17" hidden="1" outlineLevel="1">
      <c r="A906" s="1">
        <v>13</v>
      </c>
      <c r="F906" s="22">
        <v>21031419</v>
      </c>
      <c r="N906" s="54" t="s">
        <v>3910</v>
      </c>
      <c r="O906" s="18">
        <v>44293</v>
      </c>
    </row>
    <row r="907" spans="1:17" hidden="1" outlineLevel="1">
      <c r="A907" s="1">
        <v>14</v>
      </c>
      <c r="F907" s="22">
        <v>21031420</v>
      </c>
      <c r="N907" s="54" t="s">
        <v>3910</v>
      </c>
      <c r="O907" s="18">
        <v>44293</v>
      </c>
    </row>
    <row r="908" spans="1:17" hidden="1" outlineLevel="1">
      <c r="A908" s="1">
        <v>15</v>
      </c>
      <c r="F908" s="22">
        <v>21031421</v>
      </c>
      <c r="N908" s="54" t="s">
        <v>3910</v>
      </c>
      <c r="O908" s="18">
        <v>44293</v>
      </c>
    </row>
    <row r="909" spans="1:17" hidden="1" outlineLevel="1">
      <c r="A909" s="1">
        <v>16</v>
      </c>
      <c r="F909" s="22">
        <v>21031422</v>
      </c>
      <c r="N909" s="54" t="s">
        <v>3910</v>
      </c>
      <c r="O909" s="18">
        <v>44293</v>
      </c>
    </row>
    <row r="910" spans="1:17" hidden="1" outlineLevel="1">
      <c r="A910" s="8"/>
      <c r="B910" s="58"/>
      <c r="C910" s="159"/>
      <c r="D910" s="8"/>
      <c r="E910" s="8"/>
      <c r="F910" s="9"/>
      <c r="G910" s="8"/>
      <c r="H910" s="8"/>
      <c r="I910" s="8"/>
      <c r="J910" s="132"/>
      <c r="K910" s="8"/>
      <c r="L910" s="58"/>
      <c r="M910" s="8"/>
      <c r="N910" s="133"/>
      <c r="O910" s="58"/>
      <c r="P910" s="8"/>
      <c r="Q910" s="8"/>
    </row>
    <row r="911" spans="1:17" hidden="1" outlineLevel="1">
      <c r="A911" s="1">
        <v>1</v>
      </c>
      <c r="B911" s="11" t="s">
        <v>6987</v>
      </c>
      <c r="C911" s="160">
        <v>1152</v>
      </c>
      <c r="E911" s="1" t="s">
        <v>3271</v>
      </c>
      <c r="F911" s="22">
        <v>50160000010818</v>
      </c>
      <c r="N911" s="54" t="s">
        <v>3235</v>
      </c>
      <c r="O911" s="18">
        <v>31.03</v>
      </c>
    </row>
    <row r="912" spans="1:17" hidden="1" outlineLevel="1">
      <c r="A912" s="8"/>
      <c r="B912" s="58"/>
      <c r="C912" s="159"/>
      <c r="D912" s="8"/>
      <c r="E912" s="8"/>
      <c r="F912" s="9"/>
      <c r="G912" s="8"/>
      <c r="H912" s="8"/>
      <c r="I912" s="8"/>
      <c r="J912" s="132"/>
      <c r="K912" s="8"/>
      <c r="L912" s="58"/>
      <c r="M912" s="8"/>
      <c r="N912" s="133"/>
      <c r="O912" s="58"/>
      <c r="P912" s="8"/>
      <c r="Q912" s="8"/>
    </row>
    <row r="913" spans="1:15" hidden="1" outlineLevel="1">
      <c r="A913" s="1">
        <v>1</v>
      </c>
      <c r="B913" s="11" t="s">
        <v>6988</v>
      </c>
      <c r="C913" s="160">
        <v>282</v>
      </c>
      <c r="E913" s="1" t="s">
        <v>3254</v>
      </c>
      <c r="F913" s="22">
        <v>21032526</v>
      </c>
      <c r="N913" s="54" t="s">
        <v>3910</v>
      </c>
      <c r="O913" s="18">
        <v>44288</v>
      </c>
    </row>
    <row r="914" spans="1:15" hidden="1" outlineLevel="1">
      <c r="A914" s="1">
        <v>2</v>
      </c>
      <c r="F914" s="22">
        <v>21032527</v>
      </c>
      <c r="N914" s="54" t="s">
        <v>3910</v>
      </c>
      <c r="O914" s="18">
        <v>44288</v>
      </c>
    </row>
    <row r="915" spans="1:15" hidden="1" outlineLevel="1">
      <c r="A915" s="1">
        <v>3</v>
      </c>
      <c r="F915" s="22">
        <v>21032528</v>
      </c>
      <c r="N915" s="54" t="s">
        <v>3910</v>
      </c>
      <c r="O915" s="18">
        <v>44288</v>
      </c>
    </row>
    <row r="916" spans="1:15" hidden="1" outlineLevel="1">
      <c r="A916" s="1">
        <v>4</v>
      </c>
      <c r="F916" s="22">
        <v>21032529</v>
      </c>
      <c r="N916" s="54" t="s">
        <v>3910</v>
      </c>
      <c r="O916" s="18">
        <v>44288</v>
      </c>
    </row>
    <row r="917" spans="1:15" hidden="1" outlineLevel="1">
      <c r="A917" s="1">
        <v>5</v>
      </c>
      <c r="F917" s="22">
        <v>21032530</v>
      </c>
      <c r="N917" s="54" t="s">
        <v>3910</v>
      </c>
      <c r="O917" s="18">
        <v>44293</v>
      </c>
    </row>
    <row r="918" spans="1:15" hidden="1" outlineLevel="1">
      <c r="A918" s="1">
        <v>6</v>
      </c>
      <c r="F918" s="22">
        <v>21032531</v>
      </c>
      <c r="N918" s="54" t="s">
        <v>3910</v>
      </c>
      <c r="O918" s="18">
        <v>44293</v>
      </c>
    </row>
    <row r="919" spans="1:15" hidden="1" outlineLevel="1">
      <c r="A919" s="1">
        <v>7</v>
      </c>
      <c r="F919" s="22">
        <v>21032532</v>
      </c>
      <c r="M919" s="2" t="s">
        <v>3521</v>
      </c>
      <c r="N919" s="54" t="s">
        <v>3905</v>
      </c>
      <c r="O919" s="18">
        <v>44293</v>
      </c>
    </row>
    <row r="920" spans="1:15" hidden="1" outlineLevel="1">
      <c r="A920" s="1">
        <v>8</v>
      </c>
      <c r="F920" s="22">
        <v>21032533</v>
      </c>
      <c r="M920" s="2" t="s">
        <v>3521</v>
      </c>
      <c r="N920" s="54" t="s">
        <v>3905</v>
      </c>
      <c r="O920" s="18">
        <v>44293</v>
      </c>
    </row>
    <row r="921" spans="1:15" hidden="1" outlineLevel="1">
      <c r="A921" s="1">
        <v>9</v>
      </c>
      <c r="F921" s="22">
        <v>21032534</v>
      </c>
      <c r="M921" s="2" t="s">
        <v>2228</v>
      </c>
      <c r="N921" s="54" t="s">
        <v>3905</v>
      </c>
      <c r="O921" s="18">
        <v>44292</v>
      </c>
    </row>
    <row r="922" spans="1:15" hidden="1" outlineLevel="1">
      <c r="A922" s="1">
        <v>10</v>
      </c>
      <c r="F922" s="22">
        <v>21032535</v>
      </c>
      <c r="M922" s="2" t="s">
        <v>2228</v>
      </c>
      <c r="N922" s="54" t="s">
        <v>3905</v>
      </c>
      <c r="O922" s="18">
        <v>44292</v>
      </c>
    </row>
    <row r="923" spans="1:15" hidden="1" outlineLevel="1">
      <c r="A923" s="1">
        <v>11</v>
      </c>
      <c r="F923" s="22">
        <v>21032536</v>
      </c>
      <c r="M923" s="2" t="s">
        <v>3522</v>
      </c>
      <c r="N923" s="54" t="s">
        <v>3908</v>
      </c>
      <c r="O923" s="18">
        <v>44293</v>
      </c>
    </row>
    <row r="924" spans="1:15" hidden="1" outlineLevel="1">
      <c r="A924" s="1">
        <v>12</v>
      </c>
      <c r="F924" s="22">
        <v>21032537</v>
      </c>
      <c r="M924" s="2" t="s">
        <v>3523</v>
      </c>
      <c r="N924" s="54" t="s">
        <v>3787</v>
      </c>
      <c r="O924" s="18">
        <v>44291</v>
      </c>
    </row>
    <row r="925" spans="1:15" hidden="1" outlineLevel="1">
      <c r="A925" s="1">
        <v>13</v>
      </c>
      <c r="F925" s="22">
        <v>21032538</v>
      </c>
      <c r="N925" s="54" t="s">
        <v>3910</v>
      </c>
      <c r="O925" s="18">
        <v>44293</v>
      </c>
    </row>
    <row r="926" spans="1:15" hidden="1" outlineLevel="1">
      <c r="A926" s="1">
        <v>14</v>
      </c>
      <c r="F926" s="22">
        <v>21032539</v>
      </c>
      <c r="N926" s="54" t="s">
        <v>3910</v>
      </c>
      <c r="O926" s="18">
        <v>44293</v>
      </c>
    </row>
    <row r="927" spans="1:15" hidden="1" outlineLevel="1">
      <c r="A927" s="1">
        <v>15</v>
      </c>
      <c r="F927" s="22">
        <v>21030109</v>
      </c>
      <c r="M927" s="2" t="s">
        <v>3524</v>
      </c>
      <c r="N927" s="54" t="s">
        <v>3680</v>
      </c>
      <c r="O927" s="18">
        <v>44293</v>
      </c>
    </row>
    <row r="928" spans="1:15" hidden="1" outlineLevel="1">
      <c r="A928" s="1">
        <v>16</v>
      </c>
      <c r="F928" s="22">
        <v>21030121</v>
      </c>
      <c r="M928" s="2" t="s">
        <v>3524</v>
      </c>
      <c r="N928" s="54" t="s">
        <v>3680</v>
      </c>
      <c r="O928" s="18">
        <v>44293</v>
      </c>
    </row>
    <row r="929" spans="1:17" hidden="1" outlineLevel="1">
      <c r="A929" s="8"/>
      <c r="B929" s="58"/>
      <c r="C929" s="159"/>
      <c r="D929" s="8"/>
      <c r="E929" s="8"/>
      <c r="F929" s="9"/>
      <c r="G929" s="8"/>
      <c r="H929" s="8"/>
      <c r="I929" s="8"/>
      <c r="J929" s="132"/>
      <c r="K929" s="8"/>
      <c r="L929" s="58"/>
      <c r="M929" s="8"/>
      <c r="N929" s="133"/>
      <c r="O929" s="58"/>
      <c r="P929" s="8"/>
      <c r="Q929" s="8"/>
    </row>
    <row r="930" spans="1:17" hidden="1" outlineLevel="1">
      <c r="A930" s="1">
        <v>1</v>
      </c>
      <c r="B930" s="11" t="s">
        <v>6989</v>
      </c>
      <c r="C930" s="160">
        <v>292</v>
      </c>
      <c r="E930" s="1" t="s">
        <v>3258</v>
      </c>
      <c r="F930" s="22">
        <v>21032664</v>
      </c>
      <c r="N930" s="54" t="s">
        <v>3914</v>
      </c>
      <c r="O930" s="18">
        <v>44304</v>
      </c>
    </row>
    <row r="931" spans="1:17" hidden="1" outlineLevel="1">
      <c r="A931" s="1">
        <v>2</v>
      </c>
      <c r="F931" s="22">
        <v>21032665</v>
      </c>
      <c r="N931" s="54" t="s">
        <v>3914</v>
      </c>
      <c r="O931" s="18">
        <v>44304</v>
      </c>
    </row>
    <row r="932" spans="1:17" hidden="1" outlineLevel="1">
      <c r="A932" s="1">
        <v>3</v>
      </c>
      <c r="F932" s="22">
        <v>21032666</v>
      </c>
      <c r="N932" s="54" t="s">
        <v>3914</v>
      </c>
      <c r="O932" s="18">
        <v>44304</v>
      </c>
    </row>
    <row r="933" spans="1:17" hidden="1" outlineLevel="1">
      <c r="A933" s="1">
        <v>4</v>
      </c>
      <c r="F933" s="22">
        <v>21032667</v>
      </c>
      <c r="N933" s="54" t="s">
        <v>3914</v>
      </c>
      <c r="O933" s="18">
        <v>44304</v>
      </c>
    </row>
    <row r="934" spans="1:17" hidden="1" outlineLevel="1">
      <c r="A934" s="1">
        <v>5</v>
      </c>
      <c r="F934" s="22">
        <v>21032668</v>
      </c>
      <c r="N934" s="54" t="s">
        <v>3910</v>
      </c>
      <c r="O934" s="18">
        <v>44294</v>
      </c>
    </row>
    <row r="935" spans="1:17" hidden="1" outlineLevel="1">
      <c r="A935" s="1">
        <v>6</v>
      </c>
      <c r="F935" s="22">
        <v>21032669</v>
      </c>
      <c r="N935" s="54" t="s">
        <v>3915</v>
      </c>
      <c r="O935" s="18">
        <v>44300</v>
      </c>
    </row>
    <row r="936" spans="1:17" hidden="1" outlineLevel="1">
      <c r="A936" s="1">
        <v>7</v>
      </c>
      <c r="F936" s="22">
        <v>21032670</v>
      </c>
      <c r="M936" s="2" t="s">
        <v>3525</v>
      </c>
      <c r="N936" s="54" t="s">
        <v>3916</v>
      </c>
      <c r="O936" s="18">
        <v>44300</v>
      </c>
    </row>
    <row r="937" spans="1:17" hidden="1" outlineLevel="1">
      <c r="A937" s="1">
        <v>8</v>
      </c>
      <c r="F937" s="22">
        <v>21032671</v>
      </c>
      <c r="N937" s="54" t="s">
        <v>3917</v>
      </c>
      <c r="O937" s="18">
        <v>44304</v>
      </c>
    </row>
    <row r="938" spans="1:17" hidden="1" outlineLevel="1">
      <c r="A938" s="1">
        <v>9</v>
      </c>
      <c r="F938" s="22">
        <v>21032672</v>
      </c>
      <c r="N938" s="54" t="s">
        <v>3910</v>
      </c>
      <c r="O938" s="18">
        <v>44293</v>
      </c>
    </row>
    <row r="939" spans="1:17" hidden="1" outlineLevel="1">
      <c r="A939" s="1">
        <v>10</v>
      </c>
      <c r="F939" s="22">
        <v>21032673</v>
      </c>
      <c r="N939" s="54" t="s">
        <v>3910</v>
      </c>
      <c r="O939" s="18">
        <v>44293</v>
      </c>
    </row>
    <row r="940" spans="1:17" hidden="1" outlineLevel="1">
      <c r="A940" s="1">
        <v>11</v>
      </c>
      <c r="F940" s="22">
        <v>21032674</v>
      </c>
      <c r="N940" s="54" t="s">
        <v>3910</v>
      </c>
      <c r="O940" s="18">
        <v>44293</v>
      </c>
    </row>
    <row r="941" spans="1:17" hidden="1" outlineLevel="1">
      <c r="A941" s="1">
        <v>12</v>
      </c>
      <c r="F941" s="22">
        <v>21032675</v>
      </c>
      <c r="N941" s="54" t="s">
        <v>3910</v>
      </c>
      <c r="O941" s="18">
        <v>44293</v>
      </c>
    </row>
    <row r="942" spans="1:17" hidden="1" outlineLevel="1">
      <c r="A942" s="1">
        <v>13</v>
      </c>
      <c r="F942" s="22">
        <v>21032676</v>
      </c>
      <c r="M942" s="2" t="s">
        <v>3526</v>
      </c>
      <c r="N942" s="54" t="s">
        <v>3640</v>
      </c>
      <c r="O942" s="18">
        <v>44301</v>
      </c>
    </row>
    <row r="943" spans="1:17" hidden="1" outlineLevel="1">
      <c r="A943" s="1">
        <v>14</v>
      </c>
      <c r="F943" s="22">
        <v>21032677</v>
      </c>
      <c r="M943" s="2" t="s">
        <v>3526</v>
      </c>
      <c r="N943" s="54" t="s">
        <v>3640</v>
      </c>
      <c r="O943" s="18">
        <v>44301</v>
      </c>
    </row>
    <row r="944" spans="1:17" hidden="1" outlineLevel="1">
      <c r="A944" s="1">
        <v>15</v>
      </c>
      <c r="F944" s="22">
        <v>21032678</v>
      </c>
      <c r="N944" s="54" t="s">
        <v>3910</v>
      </c>
      <c r="O944" s="18">
        <v>44293</v>
      </c>
    </row>
    <row r="945" spans="1:17" hidden="1" outlineLevel="1">
      <c r="A945" s="1">
        <v>16</v>
      </c>
      <c r="F945" s="22">
        <v>21032679</v>
      </c>
      <c r="N945" s="54" t="s">
        <v>3910</v>
      </c>
      <c r="O945" s="18">
        <v>44293</v>
      </c>
    </row>
    <row r="946" spans="1:17" hidden="1" outlineLevel="1">
      <c r="A946" s="8"/>
      <c r="B946" s="58"/>
      <c r="C946" s="159"/>
      <c r="D946" s="8"/>
      <c r="E946" s="8"/>
      <c r="F946" s="9"/>
      <c r="G946" s="8"/>
      <c r="H946" s="8"/>
      <c r="I946" s="8"/>
      <c r="J946" s="132"/>
      <c r="K946" s="8"/>
      <c r="L946" s="58"/>
      <c r="M946" s="8"/>
      <c r="N946" s="133"/>
      <c r="O946" s="58"/>
      <c r="P946" s="8"/>
      <c r="Q946" s="8"/>
    </row>
    <row r="947" spans="1:17" hidden="1" outlineLevel="1">
      <c r="A947" s="1">
        <v>1</v>
      </c>
      <c r="B947" s="11" t="s">
        <v>6990</v>
      </c>
      <c r="C947" s="160">
        <v>324</v>
      </c>
      <c r="E947" s="1" t="s">
        <v>3258</v>
      </c>
      <c r="F947" s="22">
        <v>21040617</v>
      </c>
      <c r="N947" s="54" t="s">
        <v>3823</v>
      </c>
      <c r="O947" s="18">
        <v>44308</v>
      </c>
      <c r="P947" s="1" t="s">
        <v>4076</v>
      </c>
    </row>
    <row r="948" spans="1:17" hidden="1" outlineLevel="1">
      <c r="A948" s="1">
        <v>2</v>
      </c>
      <c r="F948" s="22">
        <v>21040618</v>
      </c>
      <c r="N948" s="54" t="s">
        <v>3823</v>
      </c>
      <c r="O948" s="18">
        <v>44308</v>
      </c>
    </row>
    <row r="949" spans="1:17" hidden="1" outlineLevel="1">
      <c r="A949" s="1">
        <v>3</v>
      </c>
      <c r="F949" s="22">
        <v>21040619</v>
      </c>
      <c r="N949" s="54" t="s">
        <v>3876</v>
      </c>
      <c r="O949" s="18">
        <v>44313</v>
      </c>
    </row>
    <row r="950" spans="1:17" hidden="1" outlineLevel="1">
      <c r="A950" s="1">
        <v>4</v>
      </c>
      <c r="F950" s="22">
        <v>21040620</v>
      </c>
      <c r="N950" s="54" t="s">
        <v>3823</v>
      </c>
      <c r="O950" s="18">
        <v>44308</v>
      </c>
    </row>
    <row r="951" spans="1:17" hidden="1" outlineLevel="1">
      <c r="A951" s="1">
        <v>5</v>
      </c>
      <c r="F951" s="22">
        <v>21040621</v>
      </c>
      <c r="M951" s="2" t="s">
        <v>3527</v>
      </c>
      <c r="N951" s="54" t="s">
        <v>171</v>
      </c>
      <c r="O951" s="18">
        <v>44340</v>
      </c>
    </row>
    <row r="952" spans="1:17" hidden="1" outlineLevel="1">
      <c r="A952" s="1">
        <v>6</v>
      </c>
      <c r="F952" s="22">
        <v>21040622</v>
      </c>
      <c r="N952" s="54" t="s">
        <v>3916</v>
      </c>
      <c r="O952" s="18">
        <v>44309</v>
      </c>
    </row>
    <row r="953" spans="1:17" hidden="1" outlineLevel="1">
      <c r="A953" s="1">
        <v>7</v>
      </c>
      <c r="F953" s="22">
        <v>21040623</v>
      </c>
      <c r="N953" s="54" t="s">
        <v>3914</v>
      </c>
      <c r="O953" s="18">
        <v>44304</v>
      </c>
    </row>
    <row r="954" spans="1:17" hidden="1" outlineLevel="1">
      <c r="A954" s="1">
        <v>8</v>
      </c>
      <c r="F954" s="22">
        <v>21040624</v>
      </c>
      <c r="N954" s="54" t="s">
        <v>3914</v>
      </c>
      <c r="O954" s="18">
        <v>44304</v>
      </c>
    </row>
    <row r="955" spans="1:17" hidden="1" outlineLevel="1">
      <c r="A955" s="1">
        <v>9</v>
      </c>
      <c r="F955" s="22">
        <v>21040625</v>
      </c>
      <c r="N955" s="54" t="s">
        <v>3823</v>
      </c>
      <c r="O955" s="18">
        <v>44308</v>
      </c>
    </row>
    <row r="956" spans="1:17" hidden="1" outlineLevel="1">
      <c r="A956" s="1">
        <v>10</v>
      </c>
      <c r="F956" s="22">
        <v>21040626</v>
      </c>
      <c r="N956" s="54" t="s">
        <v>3823</v>
      </c>
      <c r="O956" s="18">
        <v>44308</v>
      </c>
    </row>
    <row r="957" spans="1:17" hidden="1" outlineLevel="1">
      <c r="A957" s="1">
        <v>11</v>
      </c>
      <c r="F957" s="22">
        <v>21040627</v>
      </c>
      <c r="N957" s="54" t="s">
        <v>3918</v>
      </c>
      <c r="O957" s="18">
        <v>44316</v>
      </c>
    </row>
    <row r="958" spans="1:17" hidden="1" outlineLevel="1">
      <c r="A958" s="1">
        <v>12</v>
      </c>
      <c r="F958" s="22">
        <v>21040628</v>
      </c>
      <c r="N958" s="54" t="s">
        <v>3919</v>
      </c>
      <c r="O958" s="18">
        <v>44316</v>
      </c>
    </row>
    <row r="959" spans="1:17" hidden="1" outlineLevel="1">
      <c r="A959" s="1">
        <v>13</v>
      </c>
      <c r="F959" s="22">
        <v>21040629</v>
      </c>
      <c r="N959" s="54" t="s">
        <v>3850</v>
      </c>
      <c r="O959" s="18">
        <v>44309</v>
      </c>
    </row>
    <row r="960" spans="1:17" hidden="1" outlineLevel="1">
      <c r="A960" s="1">
        <v>14</v>
      </c>
      <c r="F960" s="22">
        <v>21040630</v>
      </c>
      <c r="N960" s="54" t="s">
        <v>3920</v>
      </c>
      <c r="O960" s="18">
        <v>44308</v>
      </c>
    </row>
    <row r="961" spans="1:17" hidden="1" outlineLevel="1">
      <c r="A961" s="1">
        <v>15</v>
      </c>
      <c r="F961" s="22">
        <v>21040600</v>
      </c>
      <c r="N961" s="54" t="s">
        <v>3921</v>
      </c>
      <c r="O961" s="18">
        <v>44307</v>
      </c>
    </row>
    <row r="962" spans="1:17" hidden="1" outlineLevel="1">
      <c r="A962" s="1">
        <v>16</v>
      </c>
      <c r="F962" s="22">
        <v>21040616</v>
      </c>
      <c r="N962" s="54" t="s">
        <v>3922</v>
      </c>
      <c r="O962" s="18">
        <v>44313</v>
      </c>
    </row>
    <row r="963" spans="1:17" hidden="1" outlineLevel="1">
      <c r="A963" s="8"/>
      <c r="B963" s="58"/>
      <c r="C963" s="159"/>
      <c r="D963" s="8"/>
      <c r="E963" s="8"/>
      <c r="F963" s="9"/>
      <c r="G963" s="8"/>
      <c r="H963" s="8"/>
      <c r="I963" s="8"/>
      <c r="J963" s="132"/>
      <c r="K963" s="8"/>
      <c r="L963" s="58"/>
      <c r="M963" s="8"/>
      <c r="N963" s="133"/>
      <c r="O963" s="58"/>
      <c r="P963" s="8"/>
      <c r="Q963" s="8"/>
    </row>
    <row r="964" spans="1:17" hidden="1" outlineLevel="1">
      <c r="A964" s="1">
        <v>1</v>
      </c>
      <c r="B964" s="11" t="s">
        <v>6991</v>
      </c>
      <c r="C964" s="160">
        <v>360</v>
      </c>
      <c r="E964" s="1" t="s">
        <v>3258</v>
      </c>
      <c r="F964" s="22">
        <v>21041305</v>
      </c>
      <c r="N964" s="54" t="s">
        <v>3923</v>
      </c>
      <c r="O964" s="18">
        <v>44316</v>
      </c>
    </row>
    <row r="965" spans="1:17" hidden="1" outlineLevel="1">
      <c r="A965" s="1">
        <v>2</v>
      </c>
      <c r="F965" s="22">
        <v>21041306</v>
      </c>
      <c r="N965" s="54" t="s">
        <v>3923</v>
      </c>
      <c r="O965" s="18">
        <v>44316</v>
      </c>
    </row>
    <row r="966" spans="1:17" hidden="1" outlineLevel="1">
      <c r="A966" s="1">
        <v>3</v>
      </c>
      <c r="F966" s="22">
        <v>21041307</v>
      </c>
      <c r="N966" s="54" t="s">
        <v>3923</v>
      </c>
      <c r="O966" s="18">
        <v>44316</v>
      </c>
    </row>
    <row r="967" spans="1:17" hidden="1" outlineLevel="1">
      <c r="A967" s="1">
        <v>4</v>
      </c>
      <c r="F967" s="22">
        <v>21041308</v>
      </c>
      <c r="N967" s="54" t="s">
        <v>3923</v>
      </c>
      <c r="O967" s="18">
        <v>44316</v>
      </c>
    </row>
    <row r="968" spans="1:17" hidden="1" outlineLevel="1">
      <c r="A968" s="1">
        <v>5</v>
      </c>
      <c r="F968" s="22">
        <v>21041309</v>
      </c>
      <c r="N968" s="54" t="s">
        <v>3923</v>
      </c>
      <c r="O968" s="18">
        <v>44316</v>
      </c>
    </row>
    <row r="969" spans="1:17" hidden="1" outlineLevel="1">
      <c r="A969" s="1">
        <v>6</v>
      </c>
      <c r="F969" s="22">
        <v>21041310</v>
      </c>
      <c r="N969" s="54" t="s">
        <v>3923</v>
      </c>
      <c r="O969" s="18">
        <v>44316</v>
      </c>
    </row>
    <row r="970" spans="1:17" hidden="1" outlineLevel="1">
      <c r="A970" s="1">
        <v>7</v>
      </c>
      <c r="F970" s="22">
        <v>21041311</v>
      </c>
      <c r="N970" s="54" t="s">
        <v>3823</v>
      </c>
      <c r="O970" s="18">
        <v>44313</v>
      </c>
    </row>
    <row r="971" spans="1:17" hidden="1" outlineLevel="1">
      <c r="A971" s="1">
        <v>8</v>
      </c>
      <c r="F971" s="22">
        <v>21041312</v>
      </c>
      <c r="N971" s="54" t="s">
        <v>3823</v>
      </c>
      <c r="O971" s="18">
        <v>44313</v>
      </c>
    </row>
    <row r="972" spans="1:17" hidden="1" outlineLevel="1">
      <c r="A972" s="1">
        <v>9</v>
      </c>
      <c r="F972" s="22">
        <v>21041313</v>
      </c>
      <c r="N972" s="54" t="s">
        <v>3924</v>
      </c>
      <c r="O972" s="18">
        <v>44315</v>
      </c>
    </row>
    <row r="973" spans="1:17" hidden="1" outlineLevel="1">
      <c r="A973" s="1">
        <v>10</v>
      </c>
      <c r="F973" s="22">
        <v>21041314</v>
      </c>
      <c r="N973" s="54" t="s">
        <v>3842</v>
      </c>
      <c r="O973" s="18">
        <v>44314</v>
      </c>
    </row>
    <row r="974" spans="1:17" hidden="1" outlineLevel="1">
      <c r="A974" s="1">
        <v>11</v>
      </c>
      <c r="F974" s="22">
        <v>21041315</v>
      </c>
      <c r="N974" s="54" t="s">
        <v>3923</v>
      </c>
      <c r="O974" s="18">
        <v>44316</v>
      </c>
    </row>
    <row r="975" spans="1:17" hidden="1" outlineLevel="1">
      <c r="A975" s="1">
        <v>12</v>
      </c>
      <c r="F975" s="22">
        <v>21041316</v>
      </c>
      <c r="N975" s="54" t="s">
        <v>3923</v>
      </c>
      <c r="O975" s="18">
        <v>44316</v>
      </c>
    </row>
    <row r="976" spans="1:17" hidden="1" outlineLevel="1">
      <c r="A976" s="1">
        <v>13</v>
      </c>
      <c r="F976" s="22">
        <v>21041317</v>
      </c>
      <c r="N976" s="54" t="s">
        <v>3923</v>
      </c>
      <c r="O976" s="18">
        <v>44316</v>
      </c>
    </row>
    <row r="977" spans="1:17" hidden="1" outlineLevel="1">
      <c r="A977" s="1">
        <v>14</v>
      </c>
      <c r="F977" s="22">
        <v>21041318</v>
      </c>
      <c r="N977" s="54" t="s">
        <v>3923</v>
      </c>
      <c r="O977" s="18">
        <v>44316</v>
      </c>
    </row>
    <row r="978" spans="1:17" hidden="1" outlineLevel="1">
      <c r="A978" s="1">
        <v>15</v>
      </c>
      <c r="F978" s="22">
        <v>21041319</v>
      </c>
      <c r="N978" s="54" t="s">
        <v>3842</v>
      </c>
      <c r="O978" s="18">
        <v>44322</v>
      </c>
    </row>
    <row r="979" spans="1:17" hidden="1" outlineLevel="1">
      <c r="A979" s="1">
        <v>16</v>
      </c>
      <c r="F979" s="22">
        <v>21041320</v>
      </c>
      <c r="N979" s="54" t="s">
        <v>3842</v>
      </c>
      <c r="O979" s="18">
        <v>44322</v>
      </c>
    </row>
    <row r="980" spans="1:17" hidden="1" outlineLevel="1">
      <c r="A980" s="8"/>
      <c r="B980" s="58"/>
      <c r="C980" s="159"/>
      <c r="D980" s="8"/>
      <c r="E980" s="8"/>
      <c r="F980" s="9"/>
      <c r="G980" s="8"/>
      <c r="H980" s="8"/>
      <c r="I980" s="8"/>
      <c r="J980" s="132"/>
      <c r="K980" s="8"/>
      <c r="L980" s="58"/>
      <c r="M980" s="8"/>
      <c r="N980" s="133"/>
      <c r="O980" s="58"/>
      <c r="P980" s="8"/>
      <c r="Q980" s="8"/>
    </row>
    <row r="981" spans="1:17" hidden="1" outlineLevel="1">
      <c r="A981" s="1">
        <v>1</v>
      </c>
      <c r="B981" s="11" t="s">
        <v>6992</v>
      </c>
      <c r="C981" s="160">
        <v>406</v>
      </c>
      <c r="E981" s="1" t="s">
        <v>3258</v>
      </c>
      <c r="F981" s="22">
        <v>21042057</v>
      </c>
      <c r="N981" s="54" t="s">
        <v>3925</v>
      </c>
      <c r="O981" s="18">
        <v>44316</v>
      </c>
    </row>
    <row r="982" spans="1:17" hidden="1" outlineLevel="1">
      <c r="A982" s="1">
        <v>2</v>
      </c>
      <c r="F982" s="22">
        <v>21042058</v>
      </c>
      <c r="N982" s="54" t="s">
        <v>3925</v>
      </c>
      <c r="O982" s="18">
        <v>44316</v>
      </c>
    </row>
    <row r="983" spans="1:17" hidden="1" outlineLevel="1">
      <c r="A983" s="1">
        <v>3</v>
      </c>
      <c r="F983" s="22">
        <v>21042059</v>
      </c>
      <c r="N983" s="54" t="s">
        <v>3925</v>
      </c>
      <c r="O983" s="18">
        <v>44316</v>
      </c>
    </row>
    <row r="984" spans="1:17" hidden="1" outlineLevel="1">
      <c r="A984" s="1">
        <v>4</v>
      </c>
      <c r="F984" s="22">
        <v>21042060</v>
      </c>
      <c r="N984" s="54" t="s">
        <v>3925</v>
      </c>
      <c r="O984" s="18">
        <v>44316</v>
      </c>
    </row>
    <row r="985" spans="1:17" hidden="1" outlineLevel="1">
      <c r="A985" s="1">
        <v>5</v>
      </c>
      <c r="F985" s="22">
        <v>21042061</v>
      </c>
      <c r="N985" s="54" t="s">
        <v>3925</v>
      </c>
      <c r="O985" s="18">
        <v>44316</v>
      </c>
    </row>
    <row r="986" spans="1:17" hidden="1" outlineLevel="1">
      <c r="A986" s="1">
        <v>6</v>
      </c>
      <c r="F986" s="22">
        <v>21042062</v>
      </c>
      <c r="N986" s="54" t="s">
        <v>3925</v>
      </c>
      <c r="O986" s="18">
        <v>44316</v>
      </c>
    </row>
    <row r="987" spans="1:17" hidden="1" outlineLevel="1">
      <c r="A987" s="1">
        <v>7</v>
      </c>
      <c r="F987" s="22">
        <v>21042063</v>
      </c>
      <c r="N987" s="54" t="s">
        <v>3925</v>
      </c>
      <c r="O987" s="18">
        <v>44316</v>
      </c>
    </row>
    <row r="988" spans="1:17" hidden="1" outlineLevel="1">
      <c r="A988" s="1">
        <v>8</v>
      </c>
      <c r="F988" s="22">
        <v>21042064</v>
      </c>
      <c r="N988" s="54" t="s">
        <v>3925</v>
      </c>
      <c r="O988" s="18">
        <v>44316</v>
      </c>
    </row>
    <row r="989" spans="1:17" hidden="1" outlineLevel="1">
      <c r="A989" s="1">
        <v>9</v>
      </c>
      <c r="F989" s="22">
        <v>21042065</v>
      </c>
      <c r="N989" s="54" t="s">
        <v>3925</v>
      </c>
      <c r="O989" s="18">
        <v>44316</v>
      </c>
    </row>
    <row r="990" spans="1:17" hidden="1" outlineLevel="1">
      <c r="A990" s="1">
        <v>10</v>
      </c>
      <c r="F990" s="22">
        <v>21042066</v>
      </c>
      <c r="N990" s="54" t="s">
        <v>3925</v>
      </c>
      <c r="O990" s="18">
        <v>44316</v>
      </c>
    </row>
    <row r="991" spans="1:17" hidden="1" outlineLevel="1">
      <c r="A991" s="1">
        <v>11</v>
      </c>
      <c r="F991" s="22">
        <v>21042067</v>
      </c>
      <c r="N991" s="54" t="s">
        <v>3925</v>
      </c>
      <c r="O991" s="18">
        <v>44316</v>
      </c>
    </row>
    <row r="992" spans="1:17" hidden="1" outlineLevel="1">
      <c r="A992" s="1">
        <v>12</v>
      </c>
      <c r="F992" s="22">
        <v>21042068</v>
      </c>
      <c r="N992" s="54" t="s">
        <v>3925</v>
      </c>
      <c r="O992" s="18">
        <v>44316</v>
      </c>
    </row>
    <row r="993" spans="1:17" hidden="1" outlineLevel="1">
      <c r="A993" s="1">
        <v>13</v>
      </c>
      <c r="F993" s="22">
        <v>21042069</v>
      </c>
      <c r="N993" s="54" t="s">
        <v>3925</v>
      </c>
      <c r="O993" s="18">
        <v>44316</v>
      </c>
    </row>
    <row r="994" spans="1:17" hidden="1" outlineLevel="1">
      <c r="A994" s="1">
        <v>14</v>
      </c>
      <c r="F994" s="22">
        <v>21042070</v>
      </c>
      <c r="N994" s="54" t="s">
        <v>3925</v>
      </c>
      <c r="O994" s="18">
        <v>44316</v>
      </c>
    </row>
    <row r="995" spans="1:17" hidden="1" outlineLevel="1">
      <c r="A995" s="1">
        <v>15</v>
      </c>
      <c r="F995" s="22">
        <v>21042071</v>
      </c>
      <c r="N995" s="54" t="s">
        <v>3925</v>
      </c>
      <c r="O995" s="18">
        <v>44316</v>
      </c>
    </row>
    <row r="996" spans="1:17" hidden="1" outlineLevel="1">
      <c r="A996" s="1">
        <v>16</v>
      </c>
      <c r="F996" s="22">
        <v>21042072</v>
      </c>
      <c r="N996" s="54" t="s">
        <v>3925</v>
      </c>
      <c r="O996" s="18">
        <v>44316</v>
      </c>
    </row>
    <row r="997" spans="1:17" hidden="1" outlineLevel="1">
      <c r="A997" s="1">
        <v>17</v>
      </c>
      <c r="F997" s="22">
        <v>21042073</v>
      </c>
      <c r="N997" s="54" t="s">
        <v>3925</v>
      </c>
      <c r="O997" s="18">
        <v>44316</v>
      </c>
    </row>
    <row r="998" spans="1:17" hidden="1" outlineLevel="1">
      <c r="A998" s="1">
        <v>18</v>
      </c>
      <c r="F998" s="22">
        <v>21042074</v>
      </c>
      <c r="N998" s="54" t="s">
        <v>3925</v>
      </c>
      <c r="O998" s="18">
        <v>44316</v>
      </c>
    </row>
    <row r="999" spans="1:17" hidden="1" outlineLevel="1">
      <c r="A999" s="1">
        <v>19</v>
      </c>
      <c r="F999" s="22">
        <v>21042075</v>
      </c>
      <c r="N999" s="54" t="s">
        <v>3925</v>
      </c>
      <c r="O999" s="18">
        <v>44316</v>
      </c>
    </row>
    <row r="1000" spans="1:17" hidden="1" outlineLevel="1">
      <c r="A1000" s="1">
        <v>20</v>
      </c>
      <c r="F1000" s="22">
        <v>21042076</v>
      </c>
      <c r="N1000" s="54" t="s">
        <v>3925</v>
      </c>
      <c r="O1000" s="18">
        <v>44316</v>
      </c>
    </row>
    <row r="1001" spans="1:17" hidden="1" outlineLevel="1">
      <c r="A1001" s="8"/>
      <c r="B1001" s="58"/>
      <c r="C1001" s="159"/>
      <c r="D1001" s="8"/>
      <c r="E1001" s="8"/>
      <c r="F1001" s="9"/>
      <c r="G1001" s="8"/>
      <c r="H1001" s="8"/>
      <c r="I1001" s="8"/>
      <c r="J1001" s="132"/>
      <c r="K1001" s="8"/>
      <c r="L1001" s="58"/>
      <c r="M1001" s="8"/>
      <c r="N1001" s="133"/>
      <c r="O1001" s="58"/>
      <c r="P1001" s="8"/>
      <c r="Q1001" s="8"/>
    </row>
    <row r="1002" spans="1:17" hidden="1" outlineLevel="1">
      <c r="A1002" s="1">
        <v>1</v>
      </c>
      <c r="B1002" s="11" t="s">
        <v>6993</v>
      </c>
      <c r="C1002" s="160">
        <v>416</v>
      </c>
      <c r="E1002" s="1" t="s">
        <v>3258</v>
      </c>
      <c r="F1002" s="22">
        <v>21042191</v>
      </c>
      <c r="M1002" s="2" t="s">
        <v>3528</v>
      </c>
      <c r="N1002" s="54" t="s">
        <v>171</v>
      </c>
      <c r="O1002" s="18">
        <v>44340</v>
      </c>
      <c r="P1002" s="1" t="s">
        <v>4077</v>
      </c>
    </row>
    <row r="1003" spans="1:17" hidden="1" outlineLevel="1">
      <c r="A1003" s="1">
        <v>2</v>
      </c>
      <c r="F1003" s="22">
        <v>21042198</v>
      </c>
      <c r="M1003" s="2" t="s">
        <v>3528</v>
      </c>
      <c r="N1003" s="54" t="s">
        <v>171</v>
      </c>
      <c r="O1003" s="18">
        <v>44340</v>
      </c>
      <c r="P1003" s="1" t="s">
        <v>4078</v>
      </c>
    </row>
    <row r="1004" spans="1:17" hidden="1" outlineLevel="1">
      <c r="A1004" s="1">
        <v>3</v>
      </c>
      <c r="F1004" s="22">
        <v>21042199</v>
      </c>
      <c r="M1004" s="2" t="s">
        <v>3529</v>
      </c>
      <c r="N1004" s="54" t="s">
        <v>3926</v>
      </c>
      <c r="O1004" s="18">
        <v>44321</v>
      </c>
    </row>
    <row r="1005" spans="1:17" hidden="1" outlineLevel="1">
      <c r="A1005" s="1">
        <v>4</v>
      </c>
      <c r="F1005" s="22">
        <v>21042200</v>
      </c>
      <c r="M1005" s="2" t="s">
        <v>3530</v>
      </c>
      <c r="N1005" s="54" t="s">
        <v>3926</v>
      </c>
      <c r="O1005" s="18">
        <v>44321</v>
      </c>
    </row>
    <row r="1006" spans="1:17" hidden="1" outlineLevel="1">
      <c r="A1006" s="1">
        <v>5</v>
      </c>
      <c r="F1006" s="22">
        <v>21042201</v>
      </c>
      <c r="M1006" s="2" t="s">
        <v>3531</v>
      </c>
      <c r="N1006" s="54" t="s">
        <v>3927</v>
      </c>
      <c r="O1006" s="18">
        <v>44351</v>
      </c>
    </row>
    <row r="1007" spans="1:17" hidden="1" outlineLevel="1">
      <c r="A1007" s="1">
        <v>6</v>
      </c>
      <c r="F1007" s="22">
        <v>21042202</v>
      </c>
      <c r="M1007" s="2" t="s">
        <v>3531</v>
      </c>
      <c r="N1007" s="54" t="s">
        <v>3927</v>
      </c>
      <c r="O1007" s="18">
        <v>44351</v>
      </c>
    </row>
    <row r="1008" spans="1:17" hidden="1" outlineLevel="1">
      <c r="A1008" s="1">
        <v>7</v>
      </c>
      <c r="F1008" s="22">
        <v>21042203</v>
      </c>
      <c r="M1008" s="2" t="s">
        <v>3531</v>
      </c>
      <c r="N1008" s="54" t="s">
        <v>3927</v>
      </c>
      <c r="O1008" s="18">
        <v>44351</v>
      </c>
    </row>
    <row r="1009" spans="1:17" hidden="1" outlineLevel="1">
      <c r="A1009" s="1">
        <v>8</v>
      </c>
      <c r="F1009" s="22">
        <v>21042204</v>
      </c>
      <c r="M1009" s="2" t="s">
        <v>3532</v>
      </c>
      <c r="N1009" s="54" t="s">
        <v>3927</v>
      </c>
      <c r="O1009" s="18">
        <v>44348</v>
      </c>
    </row>
    <row r="1010" spans="1:17" hidden="1" outlineLevel="1">
      <c r="A1010" s="1">
        <v>9</v>
      </c>
      <c r="F1010" s="22">
        <v>21042205</v>
      </c>
      <c r="M1010" s="2" t="s">
        <v>3533</v>
      </c>
      <c r="N1010" s="54" t="s">
        <v>3928</v>
      </c>
      <c r="O1010" s="18">
        <v>44329</v>
      </c>
    </row>
    <row r="1011" spans="1:17" hidden="1" outlineLevel="1">
      <c r="A1011" s="1">
        <v>10</v>
      </c>
      <c r="F1011" s="22">
        <v>21042206</v>
      </c>
      <c r="N1011" s="54" t="s">
        <v>3929</v>
      </c>
      <c r="O1011" s="18">
        <v>44321</v>
      </c>
    </row>
    <row r="1012" spans="1:17" hidden="1" outlineLevel="1">
      <c r="A1012" s="1">
        <v>11</v>
      </c>
      <c r="F1012" s="22">
        <v>21042207</v>
      </c>
      <c r="M1012" s="2" t="s">
        <v>3534</v>
      </c>
      <c r="N1012" s="54" t="s">
        <v>3640</v>
      </c>
      <c r="O1012" s="18">
        <v>44337</v>
      </c>
    </row>
    <row r="1013" spans="1:17" hidden="1" outlineLevel="1">
      <c r="A1013" s="1">
        <v>12</v>
      </c>
      <c r="F1013" s="22">
        <v>21042208</v>
      </c>
      <c r="M1013" s="2" t="s">
        <v>3534</v>
      </c>
      <c r="N1013" s="54" t="s">
        <v>3640</v>
      </c>
      <c r="O1013" s="18">
        <v>44337</v>
      </c>
    </row>
    <row r="1014" spans="1:17" hidden="1" outlineLevel="1">
      <c r="A1014" s="1">
        <v>13</v>
      </c>
      <c r="F1014" s="22">
        <v>21042209</v>
      </c>
      <c r="N1014" s="54" t="s">
        <v>3930</v>
      </c>
      <c r="O1014" s="18">
        <v>44335</v>
      </c>
    </row>
    <row r="1015" spans="1:17" hidden="1" outlineLevel="1">
      <c r="A1015" s="1">
        <v>14</v>
      </c>
      <c r="F1015" s="22">
        <v>21042210</v>
      </c>
      <c r="N1015" s="54" t="s">
        <v>3930</v>
      </c>
      <c r="O1015" s="18">
        <v>44335</v>
      </c>
    </row>
    <row r="1016" spans="1:17" hidden="1" outlineLevel="1">
      <c r="A1016" s="1">
        <v>15</v>
      </c>
      <c r="F1016" s="22">
        <v>21042211</v>
      </c>
      <c r="N1016" s="54" t="s">
        <v>83</v>
      </c>
      <c r="O1016" s="18">
        <v>44334</v>
      </c>
    </row>
    <row r="1017" spans="1:17" hidden="1" outlineLevel="1">
      <c r="A1017" s="1">
        <v>16</v>
      </c>
      <c r="F1017" s="22">
        <v>21042212</v>
      </c>
      <c r="N1017" s="54" t="s">
        <v>3881</v>
      </c>
      <c r="O1017" s="18">
        <v>44337</v>
      </c>
    </row>
    <row r="1018" spans="1:17" hidden="1" outlineLevel="1">
      <c r="A1018" s="8"/>
      <c r="B1018" s="58"/>
      <c r="C1018" s="159"/>
      <c r="D1018" s="8"/>
      <c r="E1018" s="8"/>
      <c r="F1018" s="9"/>
      <c r="G1018" s="8"/>
      <c r="H1018" s="8"/>
      <c r="I1018" s="8"/>
      <c r="J1018" s="132"/>
      <c r="K1018" s="8"/>
      <c r="L1018" s="58"/>
      <c r="M1018" s="8"/>
      <c r="N1018" s="133"/>
      <c r="O1018" s="58"/>
      <c r="P1018" s="8"/>
      <c r="Q1018" s="8"/>
    </row>
    <row r="1019" spans="1:17" hidden="1" outlineLevel="1">
      <c r="A1019" s="1">
        <v>1</v>
      </c>
      <c r="B1019" s="11" t="s">
        <v>6994</v>
      </c>
      <c r="C1019" s="160">
        <v>482</v>
      </c>
      <c r="E1019" s="1" t="s">
        <v>3258</v>
      </c>
      <c r="F1019" s="22">
        <v>21051742</v>
      </c>
      <c r="N1019" s="54" t="s">
        <v>3930</v>
      </c>
      <c r="O1019" s="18">
        <v>44383</v>
      </c>
    </row>
    <row r="1020" spans="1:17" hidden="1" outlineLevel="1">
      <c r="A1020" s="1">
        <v>2</v>
      </c>
      <c r="F1020" s="22">
        <v>21051743</v>
      </c>
      <c r="N1020" s="54" t="s">
        <v>3931</v>
      </c>
      <c r="O1020" s="18">
        <v>44350</v>
      </c>
    </row>
    <row r="1021" spans="1:17" hidden="1" outlineLevel="1">
      <c r="A1021" s="1">
        <v>3</v>
      </c>
      <c r="F1021" s="22">
        <v>21051744</v>
      </c>
      <c r="N1021" s="54" t="s">
        <v>3702</v>
      </c>
      <c r="O1021" s="18">
        <v>44347</v>
      </c>
    </row>
    <row r="1022" spans="1:17" hidden="1" outlineLevel="1">
      <c r="A1022" s="1">
        <v>4</v>
      </c>
      <c r="F1022" s="22">
        <v>21051745</v>
      </c>
      <c r="N1022" s="54" t="s">
        <v>3932</v>
      </c>
      <c r="O1022" s="18">
        <v>44350</v>
      </c>
    </row>
    <row r="1023" spans="1:17" hidden="1" outlineLevel="1">
      <c r="A1023" s="1">
        <v>5</v>
      </c>
      <c r="F1023" s="22">
        <v>21051746</v>
      </c>
      <c r="N1023" s="54" t="s">
        <v>3702</v>
      </c>
      <c r="O1023" s="18">
        <v>44347</v>
      </c>
    </row>
    <row r="1024" spans="1:17" hidden="1" outlineLevel="1">
      <c r="A1024" s="1">
        <v>6</v>
      </c>
      <c r="F1024" s="22">
        <v>21051747</v>
      </c>
      <c r="N1024" s="54" t="s">
        <v>3702</v>
      </c>
      <c r="O1024" s="18">
        <v>44347</v>
      </c>
    </row>
    <row r="1025" spans="1:17" hidden="1" outlineLevel="1">
      <c r="A1025" s="1">
        <v>7</v>
      </c>
      <c r="F1025" s="22">
        <v>21051748</v>
      </c>
      <c r="N1025" s="54" t="s">
        <v>3933</v>
      </c>
      <c r="O1025" s="18">
        <v>44368</v>
      </c>
    </row>
    <row r="1026" spans="1:17" hidden="1" outlineLevel="1">
      <c r="A1026" s="1">
        <v>8</v>
      </c>
      <c r="F1026" s="22">
        <v>21051749</v>
      </c>
      <c r="N1026" s="54" t="s">
        <v>3881</v>
      </c>
      <c r="O1026" s="18">
        <v>44349</v>
      </c>
    </row>
    <row r="1027" spans="1:17" hidden="1" outlineLevel="1">
      <c r="A1027" s="1">
        <v>9</v>
      </c>
      <c r="F1027" s="22">
        <v>21051750</v>
      </c>
      <c r="N1027" s="54" t="s">
        <v>3702</v>
      </c>
      <c r="O1027" s="18">
        <v>44341</v>
      </c>
    </row>
    <row r="1028" spans="1:17" hidden="1" outlineLevel="1">
      <c r="A1028" s="1">
        <v>10</v>
      </c>
      <c r="F1028" s="22">
        <v>21051751</v>
      </c>
      <c r="N1028" s="54" t="s">
        <v>3702</v>
      </c>
      <c r="O1028" s="18">
        <v>44341</v>
      </c>
    </row>
    <row r="1029" spans="1:17" hidden="1" outlineLevel="1">
      <c r="A1029" s="1">
        <v>11</v>
      </c>
      <c r="F1029" s="22">
        <v>21051752</v>
      </c>
      <c r="N1029" s="54" t="s">
        <v>3933</v>
      </c>
      <c r="O1029" s="18">
        <v>44368</v>
      </c>
    </row>
    <row r="1030" spans="1:17" hidden="1" outlineLevel="1">
      <c r="A1030" s="1">
        <v>12</v>
      </c>
      <c r="F1030" s="22">
        <v>21051753</v>
      </c>
      <c r="N1030" s="54" t="s">
        <v>3702</v>
      </c>
      <c r="O1030" s="18">
        <v>44341</v>
      </c>
    </row>
    <row r="1031" spans="1:17" hidden="1" outlineLevel="1">
      <c r="A1031" s="1">
        <v>13</v>
      </c>
      <c r="F1031" s="22">
        <v>21051754</v>
      </c>
      <c r="M1031" s="2" t="s">
        <v>3535</v>
      </c>
      <c r="N1031" s="54" t="s">
        <v>3934</v>
      </c>
      <c r="O1031" s="18">
        <v>44341</v>
      </c>
    </row>
    <row r="1032" spans="1:17" hidden="1" outlineLevel="1">
      <c r="A1032" s="1">
        <v>14</v>
      </c>
      <c r="F1032" s="22">
        <v>21051755</v>
      </c>
      <c r="M1032" s="2" t="s">
        <v>3535</v>
      </c>
      <c r="N1032" s="54" t="s">
        <v>3934</v>
      </c>
      <c r="O1032" s="18">
        <v>44341</v>
      </c>
    </row>
    <row r="1033" spans="1:17" hidden="1" outlineLevel="1">
      <c r="A1033" s="1">
        <v>15</v>
      </c>
      <c r="F1033" s="22">
        <v>21051756</v>
      </c>
      <c r="N1033" s="54" t="s">
        <v>3702</v>
      </c>
      <c r="O1033" s="18">
        <v>44347</v>
      </c>
    </row>
    <row r="1034" spans="1:17" hidden="1" outlineLevel="1">
      <c r="A1034" s="1">
        <v>16</v>
      </c>
      <c r="F1034" s="22">
        <v>21051757</v>
      </c>
      <c r="N1034" s="54" t="s">
        <v>3935</v>
      </c>
      <c r="O1034" s="18">
        <v>44348</v>
      </c>
    </row>
    <row r="1035" spans="1:17" hidden="1" outlineLevel="1">
      <c r="A1035" s="8"/>
      <c r="B1035" s="58"/>
      <c r="C1035" s="159"/>
      <c r="D1035" s="8"/>
      <c r="E1035" s="8"/>
      <c r="F1035" s="9"/>
      <c r="G1035" s="8"/>
      <c r="H1035" s="8"/>
      <c r="I1035" s="8"/>
      <c r="J1035" s="132"/>
      <c r="K1035" s="8"/>
      <c r="L1035" s="58"/>
      <c r="M1035" s="8"/>
      <c r="N1035" s="133"/>
      <c r="O1035" s="58"/>
      <c r="P1035" s="8"/>
      <c r="Q1035" s="8"/>
    </row>
    <row r="1036" spans="1:17" hidden="1" outlineLevel="1">
      <c r="A1036" s="1">
        <v>1</v>
      </c>
      <c r="B1036" s="11" t="s">
        <v>6995</v>
      </c>
      <c r="C1036" s="160">
        <v>501</v>
      </c>
      <c r="E1036" s="1" t="s">
        <v>3272</v>
      </c>
      <c r="F1036" s="22">
        <v>21052259</v>
      </c>
      <c r="N1036" s="54" t="s">
        <v>3702</v>
      </c>
      <c r="O1036" s="18">
        <v>44356</v>
      </c>
    </row>
    <row r="1037" spans="1:17" hidden="1" outlineLevel="1">
      <c r="A1037" s="1">
        <v>2</v>
      </c>
      <c r="F1037" s="22">
        <v>21052260</v>
      </c>
      <c r="N1037" s="54" t="s">
        <v>3702</v>
      </c>
      <c r="O1037" s="18">
        <v>44356</v>
      </c>
    </row>
    <row r="1038" spans="1:17" hidden="1" outlineLevel="1">
      <c r="A1038" s="1">
        <v>3</v>
      </c>
      <c r="F1038" s="22">
        <v>21052261</v>
      </c>
      <c r="N1038" s="54" t="s">
        <v>3702</v>
      </c>
      <c r="O1038" s="18">
        <v>44347</v>
      </c>
    </row>
    <row r="1039" spans="1:17" hidden="1" outlineLevel="1">
      <c r="A1039" s="8"/>
      <c r="B1039" s="58"/>
      <c r="C1039" s="159"/>
      <c r="D1039" s="8"/>
      <c r="E1039" s="8"/>
      <c r="F1039" s="9"/>
      <c r="G1039" s="8"/>
      <c r="H1039" s="8"/>
      <c r="I1039" s="8"/>
      <c r="J1039" s="132"/>
      <c r="K1039" s="8"/>
      <c r="L1039" s="58"/>
      <c r="M1039" s="8"/>
      <c r="N1039" s="133"/>
      <c r="O1039" s="58"/>
      <c r="P1039" s="8"/>
      <c r="Q1039" s="8"/>
    </row>
    <row r="1040" spans="1:17" hidden="1" outlineLevel="1">
      <c r="A1040" s="1">
        <v>1</v>
      </c>
      <c r="B1040" s="11" t="s">
        <v>6996</v>
      </c>
      <c r="C1040" s="160">
        <v>521</v>
      </c>
      <c r="E1040" s="1" t="s">
        <v>3258</v>
      </c>
      <c r="F1040" s="22">
        <v>21052411</v>
      </c>
      <c r="N1040" s="54" t="s">
        <v>3936</v>
      </c>
      <c r="O1040" s="18">
        <v>44351</v>
      </c>
      <c r="P1040" s="1" t="s">
        <v>4079</v>
      </c>
    </row>
    <row r="1041" spans="1:17" hidden="1" outlineLevel="1">
      <c r="A1041" s="1">
        <v>2</v>
      </c>
      <c r="F1041" s="22">
        <v>21052412</v>
      </c>
      <c r="N1041" s="54" t="s">
        <v>3936</v>
      </c>
      <c r="O1041" s="18">
        <v>44351</v>
      </c>
      <c r="P1041" s="1" t="s">
        <v>4080</v>
      </c>
    </row>
    <row r="1042" spans="1:17" hidden="1" outlineLevel="1">
      <c r="A1042" s="1">
        <v>3</v>
      </c>
      <c r="F1042" s="22">
        <v>21052413</v>
      </c>
      <c r="N1042" s="54" t="s">
        <v>3658</v>
      </c>
      <c r="O1042" s="18">
        <v>44375</v>
      </c>
      <c r="P1042" s="1" t="s">
        <v>4081</v>
      </c>
    </row>
    <row r="1043" spans="1:17" hidden="1" outlineLevel="1">
      <c r="A1043" s="1">
        <v>4</v>
      </c>
      <c r="F1043" s="22">
        <v>21052414</v>
      </c>
      <c r="M1043" s="2" t="s">
        <v>3536</v>
      </c>
      <c r="N1043" s="54" t="s">
        <v>3904</v>
      </c>
      <c r="O1043" s="18">
        <v>44406</v>
      </c>
      <c r="P1043" s="1" t="s">
        <v>4082</v>
      </c>
    </row>
    <row r="1044" spans="1:17" hidden="1" outlineLevel="1">
      <c r="A1044" s="1">
        <v>5</v>
      </c>
      <c r="F1044" s="22">
        <v>21052415</v>
      </c>
      <c r="N1044" s="54" t="s">
        <v>3702</v>
      </c>
      <c r="O1044" s="18">
        <v>44356</v>
      </c>
    </row>
    <row r="1045" spans="1:17" hidden="1" outlineLevel="1">
      <c r="A1045" s="1">
        <v>6</v>
      </c>
      <c r="F1045" s="22">
        <v>21052432</v>
      </c>
      <c r="N1045" s="54" t="s">
        <v>3658</v>
      </c>
      <c r="O1045" s="18">
        <v>44362</v>
      </c>
    </row>
    <row r="1046" spans="1:17" hidden="1" outlineLevel="1">
      <c r="A1046" s="1">
        <v>7</v>
      </c>
      <c r="F1046" s="22">
        <v>21052433</v>
      </c>
      <c r="N1046" s="54" t="s">
        <v>3774</v>
      </c>
      <c r="O1046" s="18">
        <v>44362</v>
      </c>
    </row>
    <row r="1047" spans="1:17" hidden="1" outlineLevel="1">
      <c r="A1047" s="1">
        <v>8</v>
      </c>
      <c r="F1047" s="22">
        <v>21052434</v>
      </c>
      <c r="N1047" s="54" t="s">
        <v>3774</v>
      </c>
      <c r="O1047" s="18">
        <v>44362</v>
      </c>
    </row>
    <row r="1048" spans="1:17" hidden="1" outlineLevel="1">
      <c r="A1048" s="1">
        <v>9</v>
      </c>
      <c r="F1048" s="22">
        <v>21052435</v>
      </c>
      <c r="N1048" s="54" t="s">
        <v>3702</v>
      </c>
      <c r="O1048" s="18">
        <v>44356</v>
      </c>
    </row>
    <row r="1049" spans="1:17" hidden="1" outlineLevel="1">
      <c r="A1049" s="1">
        <v>10</v>
      </c>
      <c r="F1049" s="22">
        <v>21052436</v>
      </c>
      <c r="N1049" s="54" t="s">
        <v>3702</v>
      </c>
      <c r="O1049" s="18">
        <v>44356</v>
      </c>
    </row>
    <row r="1050" spans="1:17" hidden="1" outlineLevel="1">
      <c r="A1050" s="1">
        <v>11</v>
      </c>
      <c r="F1050" s="22">
        <v>21052437</v>
      </c>
      <c r="M1050" s="2" t="s">
        <v>3537</v>
      </c>
      <c r="N1050" s="54" t="s">
        <v>3752</v>
      </c>
      <c r="O1050" s="18">
        <v>44370</v>
      </c>
    </row>
    <row r="1051" spans="1:17" hidden="1" outlineLevel="1">
      <c r="A1051" s="1">
        <v>12</v>
      </c>
      <c r="F1051" s="22">
        <v>21052438</v>
      </c>
      <c r="N1051" s="54" t="s">
        <v>126</v>
      </c>
      <c r="O1051" s="18">
        <v>44363</v>
      </c>
    </row>
    <row r="1052" spans="1:17" hidden="1" outlineLevel="1">
      <c r="A1052" s="1">
        <v>13</v>
      </c>
      <c r="F1052" s="22">
        <v>21052439</v>
      </c>
      <c r="M1052" s="2" t="s">
        <v>3538</v>
      </c>
      <c r="N1052" s="54" t="s">
        <v>3691</v>
      </c>
      <c r="O1052" s="18">
        <v>44354</v>
      </c>
    </row>
    <row r="1053" spans="1:17" hidden="1" outlineLevel="1">
      <c r="A1053" s="1">
        <v>14</v>
      </c>
      <c r="F1053" s="22">
        <v>21052440</v>
      </c>
      <c r="M1053" s="2" t="s">
        <v>3539</v>
      </c>
      <c r="N1053" s="54" t="s">
        <v>3937</v>
      </c>
      <c r="O1053" s="18">
        <v>44351</v>
      </c>
    </row>
    <row r="1054" spans="1:17" hidden="1" outlineLevel="1">
      <c r="A1054" s="1">
        <v>15</v>
      </c>
      <c r="F1054" s="22">
        <v>21052441</v>
      </c>
      <c r="N1054" s="54" t="s">
        <v>3702</v>
      </c>
      <c r="O1054" s="18">
        <v>44357</v>
      </c>
    </row>
    <row r="1055" spans="1:17" hidden="1" outlineLevel="1">
      <c r="A1055" s="1">
        <v>16</v>
      </c>
      <c r="F1055" s="22">
        <v>21052442</v>
      </c>
      <c r="N1055" s="54" t="s">
        <v>3702</v>
      </c>
      <c r="O1055" s="18">
        <v>44357</v>
      </c>
    </row>
    <row r="1056" spans="1:17" hidden="1" outlineLevel="1">
      <c r="A1056" s="8"/>
      <c r="B1056" s="58"/>
      <c r="C1056" s="159"/>
      <c r="D1056" s="8"/>
      <c r="E1056" s="8"/>
      <c r="F1056" s="9"/>
      <c r="G1056" s="8"/>
      <c r="H1056" s="8"/>
      <c r="I1056" s="8"/>
      <c r="J1056" s="132"/>
      <c r="K1056" s="8"/>
      <c r="L1056" s="58"/>
      <c r="M1056" s="8"/>
      <c r="N1056" s="133"/>
      <c r="O1056" s="58"/>
      <c r="P1056" s="8"/>
      <c r="Q1056" s="8"/>
    </row>
    <row r="1057" spans="1:16" hidden="1" outlineLevel="1">
      <c r="A1057" s="1">
        <v>1</v>
      </c>
      <c r="B1057" s="11" t="s">
        <v>6997</v>
      </c>
      <c r="C1057" s="160">
        <v>592</v>
      </c>
      <c r="E1057" s="1" t="s">
        <v>3258</v>
      </c>
      <c r="F1057" s="22">
        <v>21060585</v>
      </c>
      <c r="N1057" s="54" t="s">
        <v>3933</v>
      </c>
      <c r="O1057" s="18">
        <v>44381</v>
      </c>
      <c r="P1057" s="1" t="s">
        <v>4083</v>
      </c>
    </row>
    <row r="1058" spans="1:16" hidden="1" outlineLevel="1">
      <c r="A1058" s="1">
        <v>2</v>
      </c>
      <c r="F1058" s="22">
        <v>21060586</v>
      </c>
      <c r="N1058" s="54" t="s">
        <v>3933</v>
      </c>
      <c r="O1058" s="18">
        <v>44381</v>
      </c>
      <c r="P1058" s="1" t="s">
        <v>4084</v>
      </c>
    </row>
    <row r="1059" spans="1:16" hidden="1" outlineLevel="1">
      <c r="A1059" s="1">
        <v>3</v>
      </c>
      <c r="F1059" s="22">
        <v>21060587</v>
      </c>
      <c r="M1059" s="2" t="s">
        <v>3540</v>
      </c>
      <c r="N1059" s="54" t="s">
        <v>3938</v>
      </c>
      <c r="O1059" s="18">
        <v>44379</v>
      </c>
    </row>
    <row r="1060" spans="1:16" hidden="1" outlineLevel="1">
      <c r="A1060" s="1">
        <v>4</v>
      </c>
      <c r="F1060" s="22">
        <v>21060588</v>
      </c>
      <c r="M1060" s="2" t="s">
        <v>3540</v>
      </c>
      <c r="N1060" s="54" t="s">
        <v>3938</v>
      </c>
      <c r="O1060" s="18">
        <v>44379</v>
      </c>
    </row>
    <row r="1061" spans="1:16" hidden="1" outlineLevel="1">
      <c r="A1061" s="1">
        <v>5</v>
      </c>
      <c r="F1061" s="22">
        <v>21060589</v>
      </c>
      <c r="N1061" s="54" t="s">
        <v>3933</v>
      </c>
      <c r="O1061" s="18">
        <v>44381</v>
      </c>
    </row>
    <row r="1062" spans="1:16" hidden="1" outlineLevel="1">
      <c r="A1062" s="1">
        <v>6</v>
      </c>
      <c r="F1062" s="22">
        <v>21060590</v>
      </c>
      <c r="N1062" s="54" t="s">
        <v>3933</v>
      </c>
      <c r="O1062" s="18">
        <v>44381</v>
      </c>
    </row>
    <row r="1063" spans="1:16" hidden="1" outlineLevel="1">
      <c r="A1063" s="1">
        <v>7</v>
      </c>
      <c r="F1063" s="22">
        <v>21060591</v>
      </c>
      <c r="M1063" s="2" t="s">
        <v>3541</v>
      </c>
      <c r="N1063" s="54" t="s">
        <v>3658</v>
      </c>
      <c r="O1063" s="18">
        <v>44384</v>
      </c>
    </row>
    <row r="1064" spans="1:16" hidden="1" outlineLevel="1">
      <c r="A1064" s="1">
        <v>8</v>
      </c>
      <c r="F1064" s="22">
        <v>21060592</v>
      </c>
      <c r="I1064" s="2" t="s">
        <v>50</v>
      </c>
      <c r="J1064" s="61">
        <v>44389</v>
      </c>
    </row>
    <row r="1065" spans="1:16" hidden="1" outlineLevel="1">
      <c r="A1065" s="1">
        <v>9</v>
      </c>
      <c r="F1065" s="22">
        <v>21050396</v>
      </c>
      <c r="N1065" s="54" t="s">
        <v>3842</v>
      </c>
      <c r="O1065" s="18">
        <v>44389</v>
      </c>
    </row>
    <row r="1066" spans="1:16" hidden="1" outlineLevel="1">
      <c r="A1066" s="1">
        <v>10</v>
      </c>
      <c r="F1066" s="22">
        <v>21050397</v>
      </c>
      <c r="N1066" s="54" t="s">
        <v>3939</v>
      </c>
      <c r="O1066" s="18">
        <v>44392</v>
      </c>
    </row>
    <row r="1067" spans="1:16" hidden="1" outlineLevel="1">
      <c r="A1067" s="1">
        <v>11</v>
      </c>
      <c r="F1067" s="22">
        <v>21050398</v>
      </c>
      <c r="M1067" s="2" t="s">
        <v>3542</v>
      </c>
      <c r="N1067" s="54" t="s">
        <v>3940</v>
      </c>
      <c r="O1067" s="18">
        <v>44377</v>
      </c>
    </row>
    <row r="1068" spans="1:16" hidden="1" outlineLevel="1">
      <c r="A1068" s="1">
        <v>12</v>
      </c>
      <c r="F1068" s="22">
        <v>21050399</v>
      </c>
      <c r="M1068" s="2" t="s">
        <v>3542</v>
      </c>
      <c r="N1068" s="54" t="s">
        <v>3940</v>
      </c>
      <c r="O1068" s="18">
        <v>44377</v>
      </c>
    </row>
    <row r="1069" spans="1:16" hidden="1" outlineLevel="1">
      <c r="A1069" s="1">
        <v>13</v>
      </c>
      <c r="F1069" s="22">
        <v>21050400</v>
      </c>
      <c r="N1069" s="54" t="s">
        <v>3842</v>
      </c>
      <c r="O1069" s="18">
        <v>44389</v>
      </c>
    </row>
    <row r="1070" spans="1:16" hidden="1" outlineLevel="1">
      <c r="A1070" s="1">
        <v>14</v>
      </c>
      <c r="F1070" s="22">
        <v>21050401</v>
      </c>
      <c r="N1070" s="54" t="s">
        <v>3842</v>
      </c>
      <c r="O1070" s="18">
        <v>44389</v>
      </c>
    </row>
    <row r="1071" spans="1:16" hidden="1" outlineLevel="1">
      <c r="A1071" s="1">
        <v>15</v>
      </c>
      <c r="F1071" s="22">
        <v>21050402</v>
      </c>
      <c r="N1071" s="54" t="s">
        <v>3842</v>
      </c>
      <c r="O1071" s="18">
        <v>44389</v>
      </c>
    </row>
    <row r="1072" spans="1:16" hidden="1" outlineLevel="1">
      <c r="A1072" s="1">
        <v>16</v>
      </c>
      <c r="F1072" s="22">
        <v>21050403</v>
      </c>
      <c r="M1072" s="2" t="s">
        <v>3543</v>
      </c>
      <c r="N1072" s="54" t="s">
        <v>3941</v>
      </c>
      <c r="O1072" s="18">
        <v>44389</v>
      </c>
    </row>
    <row r="1073" spans="1:17" hidden="1" outlineLevel="1">
      <c r="A1073" s="8"/>
      <c r="B1073" s="58"/>
      <c r="C1073" s="159"/>
      <c r="D1073" s="8"/>
      <c r="E1073" s="8"/>
      <c r="F1073" s="9"/>
      <c r="G1073" s="8"/>
      <c r="H1073" s="8"/>
      <c r="I1073" s="8"/>
      <c r="J1073" s="132"/>
      <c r="K1073" s="8"/>
      <c r="L1073" s="58"/>
      <c r="M1073" s="8"/>
      <c r="N1073" s="133"/>
      <c r="O1073" s="58"/>
      <c r="P1073" s="8"/>
      <c r="Q1073" s="8"/>
    </row>
    <row r="1074" spans="1:17" hidden="1" outlineLevel="1">
      <c r="A1074" s="1">
        <v>1</v>
      </c>
      <c r="B1074" s="11" t="s">
        <v>6998</v>
      </c>
      <c r="C1074" s="160">
        <v>654</v>
      </c>
      <c r="E1074" s="1" t="s">
        <v>3258</v>
      </c>
      <c r="F1074" s="22">
        <v>21070382</v>
      </c>
      <c r="N1074" s="54" t="s">
        <v>3942</v>
      </c>
      <c r="O1074" s="18">
        <v>44399</v>
      </c>
    </row>
    <row r="1075" spans="1:17" hidden="1" outlineLevel="1">
      <c r="A1075" s="1">
        <v>2</v>
      </c>
      <c r="F1075" s="22">
        <v>21070383</v>
      </c>
      <c r="N1075" s="54" t="s">
        <v>3703</v>
      </c>
      <c r="O1075" s="18">
        <v>44405</v>
      </c>
    </row>
    <row r="1076" spans="1:17" hidden="1" outlineLevel="1">
      <c r="A1076" s="1">
        <v>3</v>
      </c>
      <c r="F1076" s="22">
        <v>21070384</v>
      </c>
      <c r="M1076" s="2" t="s">
        <v>3544</v>
      </c>
      <c r="N1076" s="54" t="s">
        <v>3943</v>
      </c>
      <c r="O1076" s="18">
        <v>44400</v>
      </c>
    </row>
    <row r="1077" spans="1:17" hidden="1" outlineLevel="1">
      <c r="A1077" s="1">
        <v>4</v>
      </c>
      <c r="F1077" s="22">
        <v>21070385</v>
      </c>
      <c r="N1077" s="54" t="s">
        <v>3849</v>
      </c>
      <c r="O1077" s="18">
        <v>44398</v>
      </c>
    </row>
    <row r="1078" spans="1:17" hidden="1" outlineLevel="1">
      <c r="A1078" s="1">
        <v>5</v>
      </c>
      <c r="F1078" s="22">
        <v>21070386</v>
      </c>
      <c r="N1078" s="54" t="s">
        <v>3792</v>
      </c>
      <c r="O1078" s="18">
        <v>44396</v>
      </c>
    </row>
    <row r="1079" spans="1:17" hidden="1" outlineLevel="1">
      <c r="A1079" s="1">
        <v>6</v>
      </c>
      <c r="F1079" s="22">
        <v>21070387</v>
      </c>
      <c r="N1079" s="54" t="s">
        <v>3643</v>
      </c>
      <c r="O1079" s="18">
        <v>44392</v>
      </c>
    </row>
    <row r="1080" spans="1:17" hidden="1" outlineLevel="1">
      <c r="A1080" s="1">
        <v>7</v>
      </c>
      <c r="F1080" s="22">
        <v>21070395</v>
      </c>
      <c r="I1080" s="2" t="s">
        <v>50</v>
      </c>
      <c r="J1080" s="61">
        <v>44389</v>
      </c>
      <c r="N1080" s="54" t="s">
        <v>3944</v>
      </c>
      <c r="Q1080" s="1" t="s">
        <v>3300</v>
      </c>
    </row>
    <row r="1081" spans="1:17" hidden="1" outlineLevel="1">
      <c r="A1081" s="1">
        <v>8</v>
      </c>
      <c r="F1081" s="22">
        <v>21070396</v>
      </c>
      <c r="I1081" s="2" t="s">
        <v>50</v>
      </c>
      <c r="J1081" s="61">
        <v>44389</v>
      </c>
      <c r="N1081" s="54" t="s">
        <v>3944</v>
      </c>
    </row>
    <row r="1082" spans="1:17" hidden="1" outlineLevel="1">
      <c r="A1082" s="1">
        <v>9</v>
      </c>
      <c r="F1082" s="22">
        <v>21070397</v>
      </c>
      <c r="N1082" s="54" t="s">
        <v>3945</v>
      </c>
      <c r="O1082" s="18">
        <v>44398</v>
      </c>
    </row>
    <row r="1083" spans="1:17" hidden="1" outlineLevel="1">
      <c r="A1083" s="1">
        <v>10</v>
      </c>
      <c r="F1083" s="22">
        <v>21070398</v>
      </c>
      <c r="N1083" s="54" t="s">
        <v>3946</v>
      </c>
      <c r="O1083" s="18">
        <v>44392</v>
      </c>
    </row>
    <row r="1084" spans="1:17" hidden="1" outlineLevel="1">
      <c r="A1084" s="1">
        <v>11</v>
      </c>
      <c r="F1084" s="22">
        <v>21070399</v>
      </c>
      <c r="M1084" s="2" t="s">
        <v>3545</v>
      </c>
      <c r="N1084" s="54" t="s">
        <v>3946</v>
      </c>
      <c r="O1084" s="18">
        <v>44392</v>
      </c>
    </row>
    <row r="1085" spans="1:17" hidden="1" outlineLevel="1">
      <c r="A1085" s="1">
        <v>12</v>
      </c>
      <c r="F1085" s="22">
        <v>21070400</v>
      </c>
      <c r="M1085" s="2" t="s">
        <v>3546</v>
      </c>
      <c r="N1085" s="54" t="s">
        <v>3946</v>
      </c>
      <c r="O1085" s="18">
        <v>44392</v>
      </c>
    </row>
    <row r="1086" spans="1:17" hidden="1" outlineLevel="1">
      <c r="A1086" s="1">
        <v>13</v>
      </c>
      <c r="F1086" s="22">
        <v>21070401</v>
      </c>
      <c r="M1086" s="2" t="s">
        <v>3547</v>
      </c>
      <c r="N1086" s="54" t="s">
        <v>3842</v>
      </c>
      <c r="O1086" s="18">
        <v>44394</v>
      </c>
    </row>
    <row r="1087" spans="1:17" hidden="1" outlineLevel="1">
      <c r="A1087" s="1">
        <v>14</v>
      </c>
      <c r="F1087" s="22">
        <v>21070402</v>
      </c>
      <c r="M1087" s="2" t="s">
        <v>3548</v>
      </c>
      <c r="N1087" s="54" t="s">
        <v>3947</v>
      </c>
      <c r="O1087" s="18">
        <v>44398</v>
      </c>
    </row>
    <row r="1088" spans="1:17" hidden="1" outlineLevel="1">
      <c r="A1088" s="1">
        <v>15</v>
      </c>
      <c r="F1088" s="22">
        <v>21070403</v>
      </c>
      <c r="M1088" s="2" t="s">
        <v>3549</v>
      </c>
      <c r="N1088" s="54" t="s">
        <v>3946</v>
      </c>
      <c r="O1088" s="18">
        <v>44392</v>
      </c>
    </row>
    <row r="1089" spans="1:17" hidden="1" outlineLevel="1">
      <c r="A1089" s="1">
        <v>16</v>
      </c>
      <c r="F1089" s="22">
        <v>21070404</v>
      </c>
      <c r="M1089" s="2" t="s">
        <v>3550</v>
      </c>
      <c r="N1089" s="54" t="s">
        <v>3946</v>
      </c>
      <c r="O1089" s="18">
        <v>44392</v>
      </c>
    </row>
    <row r="1090" spans="1:17" hidden="1" outlineLevel="1">
      <c r="A1090" s="8"/>
      <c r="B1090" s="58"/>
      <c r="C1090" s="159"/>
      <c r="D1090" s="8"/>
      <c r="E1090" s="8"/>
      <c r="F1090" s="9"/>
      <c r="G1090" s="8"/>
      <c r="H1090" s="8"/>
      <c r="I1090" s="8"/>
      <c r="J1090" s="132"/>
      <c r="K1090" s="8"/>
      <c r="L1090" s="58"/>
      <c r="M1090" s="8"/>
      <c r="N1090" s="133"/>
      <c r="O1090" s="58"/>
      <c r="P1090" s="8"/>
      <c r="Q1090" s="8"/>
    </row>
    <row r="1091" spans="1:17" hidden="1" outlineLevel="1">
      <c r="A1091" s="1">
        <v>1</v>
      </c>
      <c r="B1091" s="11" t="s">
        <v>6999</v>
      </c>
      <c r="C1091" s="160">
        <v>686</v>
      </c>
      <c r="E1091" s="1" t="s">
        <v>3258</v>
      </c>
      <c r="F1091" s="22">
        <v>21070696</v>
      </c>
      <c r="M1091" s="2" t="s">
        <v>3551</v>
      </c>
      <c r="N1091" s="54" t="s">
        <v>3774</v>
      </c>
      <c r="O1091" s="18">
        <v>44414</v>
      </c>
    </row>
    <row r="1092" spans="1:17" hidden="1" outlineLevel="1">
      <c r="A1092" s="1">
        <v>2</v>
      </c>
      <c r="F1092" s="22">
        <v>21070697</v>
      </c>
      <c r="M1092" s="2" t="s">
        <v>3552</v>
      </c>
      <c r="N1092" s="54" t="s">
        <v>3839</v>
      </c>
      <c r="O1092" s="18">
        <v>44411</v>
      </c>
    </row>
    <row r="1093" spans="1:17" hidden="1" outlineLevel="1">
      <c r="A1093" s="1">
        <v>3</v>
      </c>
      <c r="F1093" s="22">
        <v>21070698</v>
      </c>
      <c r="N1093" s="54" t="s">
        <v>3873</v>
      </c>
      <c r="O1093" s="18">
        <v>44404</v>
      </c>
    </row>
    <row r="1094" spans="1:17" hidden="1" outlineLevel="1">
      <c r="A1094" s="1">
        <v>4</v>
      </c>
      <c r="F1094" s="22">
        <v>21070699</v>
      </c>
      <c r="N1094" s="54" t="s">
        <v>3873</v>
      </c>
      <c r="O1094" s="18">
        <v>44404</v>
      </c>
    </row>
    <row r="1095" spans="1:17" hidden="1" outlineLevel="1">
      <c r="A1095" s="1">
        <v>5</v>
      </c>
      <c r="F1095" s="22">
        <v>21070700</v>
      </c>
      <c r="M1095" s="2" t="s">
        <v>3553</v>
      </c>
      <c r="N1095" s="54" t="s">
        <v>111</v>
      </c>
      <c r="O1095" s="18">
        <v>44417</v>
      </c>
    </row>
    <row r="1096" spans="1:17" hidden="1" outlineLevel="1">
      <c r="A1096" s="1">
        <v>6</v>
      </c>
      <c r="F1096" s="22">
        <v>21070701</v>
      </c>
      <c r="M1096" s="2" t="s">
        <v>3554</v>
      </c>
      <c r="N1096" s="54" t="s">
        <v>111</v>
      </c>
      <c r="O1096" s="18">
        <v>44417</v>
      </c>
    </row>
    <row r="1097" spans="1:17" hidden="1" outlineLevel="1">
      <c r="A1097" s="1">
        <v>7</v>
      </c>
      <c r="F1097" s="22">
        <v>21070702</v>
      </c>
      <c r="G1097" s="1" t="s">
        <v>3295</v>
      </c>
      <c r="N1097" s="54" t="s">
        <v>3944</v>
      </c>
    </row>
    <row r="1098" spans="1:17" hidden="1" outlineLevel="1">
      <c r="A1098" s="1">
        <v>8</v>
      </c>
      <c r="F1098" s="22">
        <v>21070703</v>
      </c>
      <c r="G1098" s="1" t="s">
        <v>3295</v>
      </c>
      <c r="I1098" s="2" t="s">
        <v>3300</v>
      </c>
      <c r="N1098" s="54" t="s">
        <v>3944</v>
      </c>
    </row>
    <row r="1099" spans="1:17" hidden="1" outlineLevel="1">
      <c r="A1099" s="1">
        <v>9</v>
      </c>
      <c r="F1099" s="22">
        <v>21070704</v>
      </c>
      <c r="G1099" s="1" t="s">
        <v>3295</v>
      </c>
      <c r="I1099" s="2" t="s">
        <v>3300</v>
      </c>
      <c r="N1099" s="54" t="s">
        <v>3944</v>
      </c>
    </row>
    <row r="1100" spans="1:17" hidden="1" outlineLevel="1">
      <c r="A1100" s="1">
        <v>10</v>
      </c>
      <c r="F1100" s="22">
        <v>21070705</v>
      </c>
      <c r="M1100" s="2" t="s">
        <v>3555</v>
      </c>
      <c r="N1100" s="54" t="s">
        <v>852</v>
      </c>
      <c r="O1100" s="18">
        <v>44428</v>
      </c>
    </row>
    <row r="1101" spans="1:17" hidden="1" outlineLevel="1">
      <c r="A1101" s="1">
        <v>11</v>
      </c>
      <c r="F1101" s="22">
        <v>21070706</v>
      </c>
      <c r="M1101" s="2" t="s">
        <v>3556</v>
      </c>
      <c r="N1101" s="54" t="s">
        <v>3232</v>
      </c>
      <c r="O1101" s="18">
        <v>44428</v>
      </c>
    </row>
    <row r="1102" spans="1:17" hidden="1" outlineLevel="1">
      <c r="A1102" s="1">
        <v>12</v>
      </c>
      <c r="F1102" s="22">
        <v>21070707</v>
      </c>
      <c r="M1102" s="2" t="s">
        <v>3557</v>
      </c>
      <c r="N1102" s="54" t="s">
        <v>3916</v>
      </c>
      <c r="O1102" s="18">
        <v>44421</v>
      </c>
    </row>
    <row r="1103" spans="1:17" hidden="1" outlineLevel="1">
      <c r="A1103" s="1">
        <v>13</v>
      </c>
      <c r="F1103" s="22">
        <v>21070708</v>
      </c>
      <c r="M1103" s="2" t="s">
        <v>3558</v>
      </c>
      <c r="N1103" s="54" t="s">
        <v>3702</v>
      </c>
      <c r="O1103" s="18">
        <v>44411</v>
      </c>
    </row>
    <row r="1104" spans="1:17" hidden="1" outlineLevel="1">
      <c r="A1104" s="1">
        <v>14</v>
      </c>
      <c r="F1104" s="22">
        <v>21070709</v>
      </c>
      <c r="M1104" s="2" t="s">
        <v>3558</v>
      </c>
      <c r="N1104" s="54" t="s">
        <v>3702</v>
      </c>
      <c r="O1104" s="18">
        <v>44411</v>
      </c>
    </row>
    <row r="1105" spans="1:17" hidden="1" outlineLevel="1">
      <c r="A1105" s="1">
        <v>15</v>
      </c>
      <c r="F1105" s="22">
        <v>21070710</v>
      </c>
      <c r="M1105" s="2" t="s">
        <v>3559</v>
      </c>
      <c r="N1105" s="54" t="s">
        <v>3702</v>
      </c>
      <c r="O1105" s="18">
        <v>44413</v>
      </c>
    </row>
    <row r="1106" spans="1:17" hidden="1" outlineLevel="1">
      <c r="A1106" s="1">
        <v>16</v>
      </c>
      <c r="F1106" s="22">
        <v>21070711</v>
      </c>
      <c r="M1106" s="2" t="s">
        <v>3560</v>
      </c>
      <c r="N1106" s="54" t="s">
        <v>3702</v>
      </c>
      <c r="O1106" s="18">
        <v>44411</v>
      </c>
    </row>
    <row r="1107" spans="1:17" hidden="1" outlineLevel="1">
      <c r="A1107" s="1">
        <v>17</v>
      </c>
      <c r="E1107" s="1" t="s">
        <v>3272</v>
      </c>
      <c r="F1107" s="22">
        <v>21071479</v>
      </c>
      <c r="M1107" s="2" t="s">
        <v>3561</v>
      </c>
      <c r="N1107" s="54" t="s">
        <v>3842</v>
      </c>
      <c r="O1107" s="18">
        <v>44403</v>
      </c>
    </row>
    <row r="1108" spans="1:17" hidden="1" outlineLevel="1">
      <c r="A1108" s="8"/>
      <c r="B1108" s="58"/>
      <c r="C1108" s="159"/>
      <c r="D1108" s="8"/>
      <c r="E1108" s="8"/>
      <c r="F1108" s="9"/>
      <c r="G1108" s="8"/>
      <c r="H1108" s="8"/>
      <c r="I1108" s="8"/>
      <c r="J1108" s="132"/>
      <c r="K1108" s="8"/>
      <c r="L1108" s="58"/>
      <c r="M1108" s="8"/>
      <c r="N1108" s="133"/>
      <c r="O1108" s="58"/>
      <c r="P1108" s="8"/>
      <c r="Q1108" s="8"/>
    </row>
    <row r="1109" spans="1:17" hidden="1" outlineLevel="1">
      <c r="A1109" s="1">
        <v>1</v>
      </c>
      <c r="B1109" s="11" t="s">
        <v>6999</v>
      </c>
      <c r="C1109" s="160">
        <v>2862</v>
      </c>
      <c r="E1109" s="1" t="s">
        <v>3273</v>
      </c>
      <c r="F1109" s="22">
        <v>169795</v>
      </c>
      <c r="N1109" s="54" t="s">
        <v>3948</v>
      </c>
      <c r="O1109" s="18">
        <v>44896</v>
      </c>
    </row>
    <row r="1110" spans="1:17" hidden="1" outlineLevel="1">
      <c r="A1110" s="8"/>
      <c r="B1110" s="58"/>
      <c r="C1110" s="159"/>
      <c r="D1110" s="8"/>
      <c r="E1110" s="8"/>
      <c r="F1110" s="9"/>
      <c r="G1110" s="8"/>
      <c r="H1110" s="8"/>
      <c r="I1110" s="8"/>
      <c r="J1110" s="132"/>
      <c r="K1110" s="8"/>
      <c r="L1110" s="58"/>
      <c r="M1110" s="8"/>
      <c r="N1110" s="133"/>
      <c r="O1110" s="58"/>
      <c r="P1110" s="8"/>
      <c r="Q1110" s="8"/>
    </row>
    <row r="1111" spans="1:17" hidden="1" outlineLevel="1">
      <c r="A1111" s="1">
        <v>1</v>
      </c>
      <c r="B1111" s="11" t="s">
        <v>7000</v>
      </c>
      <c r="C1111" s="160">
        <v>751</v>
      </c>
      <c r="E1111" s="1" t="s">
        <v>3258</v>
      </c>
      <c r="F1111" s="22">
        <v>21072349</v>
      </c>
      <c r="M1111" s="2" t="s">
        <v>3562</v>
      </c>
      <c r="N1111" s="54" t="s">
        <v>3949</v>
      </c>
      <c r="O1111" s="18">
        <v>44432</v>
      </c>
    </row>
    <row r="1112" spans="1:17" hidden="1" outlineLevel="1">
      <c r="A1112" s="1">
        <v>2</v>
      </c>
      <c r="F1112" s="22">
        <v>21072350</v>
      </c>
      <c r="M1112" s="2" t="s">
        <v>3563</v>
      </c>
      <c r="N1112" s="54" t="s">
        <v>3904</v>
      </c>
      <c r="O1112" s="18">
        <v>44427</v>
      </c>
    </row>
    <row r="1113" spans="1:17" hidden="1" outlineLevel="1">
      <c r="A1113" s="1">
        <v>3</v>
      </c>
      <c r="F1113" s="22">
        <v>21072351</v>
      </c>
      <c r="M1113" s="2" t="s">
        <v>3564</v>
      </c>
      <c r="N1113" s="54" t="s">
        <v>3232</v>
      </c>
      <c r="O1113" s="18">
        <v>44427</v>
      </c>
    </row>
    <row r="1114" spans="1:17" hidden="1" outlineLevel="1">
      <c r="A1114" s="1">
        <v>4</v>
      </c>
      <c r="F1114" s="22">
        <v>21072352</v>
      </c>
      <c r="M1114" s="2" t="s">
        <v>3564</v>
      </c>
      <c r="N1114" s="54" t="s">
        <v>3232</v>
      </c>
      <c r="O1114" s="18">
        <v>44427</v>
      </c>
    </row>
    <row r="1115" spans="1:17" hidden="1" outlineLevel="1">
      <c r="A1115" s="1">
        <v>5</v>
      </c>
      <c r="F1115" s="22">
        <v>21072353</v>
      </c>
      <c r="M1115" s="2" t="s">
        <v>3565</v>
      </c>
      <c r="N1115" s="54" t="s">
        <v>3950</v>
      </c>
      <c r="O1115" s="18">
        <v>44427</v>
      </c>
    </row>
    <row r="1116" spans="1:17" hidden="1" outlineLevel="1">
      <c r="A1116" s="1">
        <v>6</v>
      </c>
      <c r="F1116" s="22">
        <v>21072354</v>
      </c>
      <c r="M1116" s="2" t="s">
        <v>3566</v>
      </c>
      <c r="N1116" s="54" t="s">
        <v>3232</v>
      </c>
      <c r="O1116" s="18">
        <v>44428</v>
      </c>
    </row>
    <row r="1117" spans="1:17" hidden="1" outlineLevel="1">
      <c r="A1117" s="1">
        <v>7</v>
      </c>
      <c r="F1117" s="22">
        <v>21072355</v>
      </c>
      <c r="M1117" s="2" t="s">
        <v>3567</v>
      </c>
      <c r="N1117" s="54" t="s">
        <v>3946</v>
      </c>
      <c r="O1117" s="18">
        <v>44425</v>
      </c>
    </row>
    <row r="1118" spans="1:17" hidden="1" outlineLevel="1">
      <c r="A1118" s="1">
        <v>8</v>
      </c>
      <c r="F1118" s="22">
        <v>21072356</v>
      </c>
      <c r="M1118" s="2" t="s">
        <v>3568</v>
      </c>
      <c r="N1118" s="54" t="s">
        <v>3946</v>
      </c>
      <c r="O1118" s="18">
        <v>44425</v>
      </c>
    </row>
    <row r="1119" spans="1:17" hidden="1" outlineLevel="1">
      <c r="A1119" s="1">
        <v>9</v>
      </c>
      <c r="F1119" s="22">
        <v>21072357</v>
      </c>
      <c r="M1119" s="2" t="s">
        <v>3569</v>
      </c>
      <c r="N1119" s="54" t="s">
        <v>3951</v>
      </c>
      <c r="O1119" s="18">
        <v>44438</v>
      </c>
    </row>
    <row r="1120" spans="1:17" hidden="1" outlineLevel="1">
      <c r="A1120" s="1">
        <v>10</v>
      </c>
      <c r="F1120" s="22">
        <v>21072358</v>
      </c>
      <c r="M1120" s="2" t="s">
        <v>3569</v>
      </c>
      <c r="N1120" s="54" t="s">
        <v>3951</v>
      </c>
      <c r="O1120" s="18">
        <v>44438</v>
      </c>
    </row>
    <row r="1121" spans="1:17" hidden="1" outlineLevel="1">
      <c r="A1121" s="1">
        <v>11</v>
      </c>
      <c r="F1121" s="22">
        <v>21072359</v>
      </c>
      <c r="N1121" s="54" t="s">
        <v>3241</v>
      </c>
      <c r="O1121" s="18">
        <v>44425</v>
      </c>
    </row>
    <row r="1122" spans="1:17" hidden="1" outlineLevel="1">
      <c r="A1122" s="1">
        <v>12</v>
      </c>
      <c r="F1122" s="22">
        <v>21072360</v>
      </c>
      <c r="N1122" s="54" t="s">
        <v>3241</v>
      </c>
      <c r="O1122" s="18">
        <v>44425</v>
      </c>
    </row>
    <row r="1123" spans="1:17" hidden="1" outlineLevel="1">
      <c r="A1123" s="1">
        <v>13</v>
      </c>
      <c r="F1123" s="22">
        <v>21072361</v>
      </c>
      <c r="M1123" s="2" t="s">
        <v>3570</v>
      </c>
      <c r="N1123" s="54" t="s">
        <v>3951</v>
      </c>
      <c r="O1123" s="18">
        <v>44438</v>
      </c>
    </row>
    <row r="1124" spans="1:17" hidden="1" outlineLevel="1">
      <c r="A1124" s="1">
        <v>14</v>
      </c>
      <c r="F1124" s="22">
        <v>21072362</v>
      </c>
      <c r="M1124" s="2" t="s">
        <v>3570</v>
      </c>
      <c r="N1124" s="54" t="s">
        <v>3951</v>
      </c>
      <c r="O1124" s="18">
        <v>44438</v>
      </c>
    </row>
    <row r="1125" spans="1:17" hidden="1" outlineLevel="1">
      <c r="A1125" s="1">
        <v>15</v>
      </c>
      <c r="F1125" s="22">
        <v>21072363</v>
      </c>
      <c r="N1125" s="54" t="s">
        <v>3952</v>
      </c>
      <c r="O1125" s="18">
        <v>44426</v>
      </c>
    </row>
    <row r="1126" spans="1:17" hidden="1" outlineLevel="1">
      <c r="A1126" s="1">
        <v>16</v>
      </c>
      <c r="F1126" s="22">
        <v>21072364</v>
      </c>
      <c r="N1126" s="54" t="s">
        <v>3952</v>
      </c>
      <c r="O1126" s="18">
        <v>44426</v>
      </c>
    </row>
    <row r="1127" spans="1:17" hidden="1" outlineLevel="1">
      <c r="A1127" s="8"/>
      <c r="B1127" s="58"/>
      <c r="C1127" s="159"/>
      <c r="D1127" s="8"/>
      <c r="E1127" s="8"/>
      <c r="F1127" s="9"/>
      <c r="G1127" s="8"/>
      <c r="H1127" s="8"/>
      <c r="I1127" s="8"/>
      <c r="J1127" s="132"/>
      <c r="K1127" s="8"/>
      <c r="L1127" s="58"/>
      <c r="M1127" s="8"/>
      <c r="N1127" s="133"/>
      <c r="O1127" s="58"/>
      <c r="P1127" s="8"/>
      <c r="Q1127" s="8"/>
    </row>
    <row r="1128" spans="1:17" hidden="1" outlineLevel="1">
      <c r="A1128" s="1">
        <v>1</v>
      </c>
      <c r="B1128" s="11" t="s">
        <v>7001</v>
      </c>
      <c r="C1128" s="160">
        <v>3364</v>
      </c>
      <c r="E1128" s="1" t="s">
        <v>3274</v>
      </c>
      <c r="F1128" s="22">
        <v>4031001002512</v>
      </c>
    </row>
    <row r="1129" spans="1:17" hidden="1" outlineLevel="1">
      <c r="A1129" s="8"/>
      <c r="B1129" s="58"/>
      <c r="C1129" s="159"/>
      <c r="D1129" s="8"/>
      <c r="E1129" s="8"/>
      <c r="F1129" s="9"/>
      <c r="G1129" s="8"/>
      <c r="H1129" s="8"/>
      <c r="I1129" s="8"/>
      <c r="J1129" s="132"/>
      <c r="K1129" s="8"/>
      <c r="L1129" s="58"/>
      <c r="M1129" s="8"/>
      <c r="N1129" s="133"/>
      <c r="O1129" s="58"/>
      <c r="P1129" s="8"/>
      <c r="Q1129" s="8"/>
    </row>
    <row r="1130" spans="1:17" hidden="1" outlineLevel="1">
      <c r="A1130" s="1">
        <v>1</v>
      </c>
      <c r="B1130" s="11" t="s">
        <v>7002</v>
      </c>
      <c r="C1130" s="160">
        <v>807</v>
      </c>
      <c r="E1130" s="1" t="s">
        <v>3258</v>
      </c>
      <c r="F1130" s="22">
        <v>21072428</v>
      </c>
      <c r="M1130" s="2" t="s">
        <v>3571</v>
      </c>
      <c r="N1130" s="54" t="s">
        <v>3953</v>
      </c>
      <c r="O1130" s="18">
        <v>44445</v>
      </c>
    </row>
    <row r="1131" spans="1:17" hidden="1" outlineLevel="1">
      <c r="A1131" s="1">
        <v>2</v>
      </c>
      <c r="F1131" s="22">
        <v>21072429</v>
      </c>
      <c r="M1131" s="2" t="s">
        <v>3572</v>
      </c>
      <c r="N1131" s="54" t="s">
        <v>3953</v>
      </c>
      <c r="O1131" s="18">
        <v>44445</v>
      </c>
    </row>
    <row r="1132" spans="1:17" hidden="1" outlineLevel="1">
      <c r="A1132" s="1">
        <v>3</v>
      </c>
      <c r="F1132" s="22">
        <v>21072430</v>
      </c>
      <c r="M1132" s="2" t="s">
        <v>3573</v>
      </c>
      <c r="N1132" s="54" t="s">
        <v>3954</v>
      </c>
      <c r="O1132" s="18">
        <v>44442</v>
      </c>
    </row>
    <row r="1133" spans="1:17" hidden="1" outlineLevel="1">
      <c r="A1133" s="1">
        <v>4</v>
      </c>
      <c r="F1133" s="22">
        <v>21072431</v>
      </c>
      <c r="M1133" s="2" t="s">
        <v>3574</v>
      </c>
      <c r="N1133" s="54" t="s">
        <v>3955</v>
      </c>
      <c r="O1133" s="18">
        <v>44442</v>
      </c>
    </row>
    <row r="1134" spans="1:17" hidden="1" outlineLevel="1">
      <c r="A1134" s="1">
        <v>5</v>
      </c>
      <c r="F1134" s="22">
        <v>21072586</v>
      </c>
      <c r="M1134" s="2" t="s">
        <v>3575</v>
      </c>
      <c r="N1134" s="54" t="s">
        <v>3956</v>
      </c>
      <c r="O1134" s="18">
        <v>44448</v>
      </c>
    </row>
    <row r="1135" spans="1:17" hidden="1" outlineLevel="1">
      <c r="A1135" s="1">
        <v>6</v>
      </c>
      <c r="F1135" s="22">
        <v>21072587</v>
      </c>
      <c r="M1135" s="2" t="s">
        <v>3576</v>
      </c>
      <c r="N1135" s="54" t="s">
        <v>3957</v>
      </c>
      <c r="O1135" s="18">
        <v>44453</v>
      </c>
    </row>
    <row r="1136" spans="1:17" hidden="1" outlineLevel="1">
      <c r="A1136" s="1">
        <v>7</v>
      </c>
      <c r="F1136" s="22">
        <v>21072588</v>
      </c>
      <c r="M1136" s="2" t="s">
        <v>3577</v>
      </c>
      <c r="N1136" s="54" t="s">
        <v>3954</v>
      </c>
      <c r="O1136" s="18">
        <v>44440</v>
      </c>
    </row>
    <row r="1137" spans="1:17" hidden="1" outlineLevel="1">
      <c r="A1137" s="1">
        <v>8</v>
      </c>
      <c r="F1137" s="22">
        <v>21072589</v>
      </c>
      <c r="M1137" s="2" t="s">
        <v>3578</v>
      </c>
      <c r="N1137" s="54" t="s">
        <v>1418</v>
      </c>
      <c r="O1137" s="18">
        <v>44440</v>
      </c>
    </row>
    <row r="1138" spans="1:17" hidden="1" outlineLevel="1">
      <c r="A1138" s="1">
        <v>9</v>
      </c>
      <c r="F1138" s="22">
        <v>21072590</v>
      </c>
      <c r="M1138" s="2" t="s">
        <v>3579</v>
      </c>
      <c r="N1138" s="54" t="s">
        <v>3956</v>
      </c>
      <c r="O1138" s="18">
        <v>44447</v>
      </c>
    </row>
    <row r="1139" spans="1:17" hidden="1" outlineLevel="1">
      <c r="A1139" s="1">
        <v>10</v>
      </c>
      <c r="F1139" s="22">
        <v>21072591</v>
      </c>
      <c r="M1139" s="2" t="s">
        <v>3580</v>
      </c>
      <c r="N1139" s="54" t="s">
        <v>3956</v>
      </c>
      <c r="O1139" s="18">
        <v>44447</v>
      </c>
    </row>
    <row r="1140" spans="1:17" hidden="1" outlineLevel="1">
      <c r="A1140" s="1">
        <v>11</v>
      </c>
      <c r="F1140" s="22">
        <v>21072592</v>
      </c>
      <c r="M1140" s="2" t="s">
        <v>3581</v>
      </c>
      <c r="N1140" s="54" t="s">
        <v>197</v>
      </c>
      <c r="O1140" s="18">
        <v>44439</v>
      </c>
    </row>
    <row r="1141" spans="1:17" hidden="1" outlineLevel="1">
      <c r="A1141" s="1">
        <v>12</v>
      </c>
      <c r="F1141" s="22">
        <v>21072593</v>
      </c>
      <c r="M1141" s="2" t="s">
        <v>3582</v>
      </c>
      <c r="N1141" s="54" t="s">
        <v>3958</v>
      </c>
      <c r="O1141" s="18">
        <v>44441</v>
      </c>
    </row>
    <row r="1142" spans="1:17" hidden="1" outlineLevel="1">
      <c r="A1142" s="1">
        <v>13</v>
      </c>
      <c r="F1142" s="22">
        <v>21072594</v>
      </c>
      <c r="N1142" s="54" t="s">
        <v>3959</v>
      </c>
      <c r="O1142" s="18">
        <v>44442</v>
      </c>
    </row>
    <row r="1143" spans="1:17" hidden="1" outlineLevel="1">
      <c r="A1143" s="1">
        <v>14</v>
      </c>
      <c r="F1143" s="22">
        <v>21072595</v>
      </c>
      <c r="N1143" s="54" t="s">
        <v>3959</v>
      </c>
      <c r="O1143" s="18">
        <v>44442</v>
      </c>
    </row>
    <row r="1144" spans="1:17" hidden="1" outlineLevel="1">
      <c r="A1144" s="1">
        <v>15</v>
      </c>
      <c r="F1144" s="22">
        <v>21072602</v>
      </c>
      <c r="M1144" s="2" t="s">
        <v>3583</v>
      </c>
      <c r="N1144" s="54" t="s">
        <v>3956</v>
      </c>
      <c r="O1144" s="18">
        <v>44448</v>
      </c>
    </row>
    <row r="1145" spans="1:17" hidden="1" outlineLevel="1">
      <c r="A1145" s="1">
        <v>16</v>
      </c>
      <c r="F1145" s="22">
        <v>21072603</v>
      </c>
      <c r="M1145" s="2" t="s">
        <v>3584</v>
      </c>
      <c r="N1145" s="54" t="s">
        <v>3956</v>
      </c>
      <c r="O1145" s="18">
        <v>44448</v>
      </c>
    </row>
    <row r="1146" spans="1:17" hidden="1" outlineLevel="1">
      <c r="A1146" s="8"/>
      <c r="B1146" s="58"/>
      <c r="C1146" s="159"/>
      <c r="D1146" s="8"/>
      <c r="E1146" s="8"/>
      <c r="F1146" s="9"/>
      <c r="G1146" s="8"/>
      <c r="H1146" s="8"/>
      <c r="I1146" s="8"/>
      <c r="J1146" s="132"/>
      <c r="K1146" s="8"/>
      <c r="L1146" s="58"/>
      <c r="M1146" s="8"/>
      <c r="N1146" s="133"/>
      <c r="O1146" s="58"/>
      <c r="P1146" s="8"/>
      <c r="Q1146" s="8"/>
    </row>
    <row r="1147" spans="1:17" hidden="1" outlineLevel="1">
      <c r="A1147" s="1">
        <v>1</v>
      </c>
      <c r="B1147" s="11" t="s">
        <v>7003</v>
      </c>
      <c r="C1147" s="160">
        <v>843</v>
      </c>
      <c r="E1147" s="1" t="s">
        <v>3258</v>
      </c>
      <c r="F1147" s="22">
        <v>21090183</v>
      </c>
      <c r="N1147" s="54" t="s">
        <v>3960</v>
      </c>
      <c r="O1147" s="18">
        <v>44456</v>
      </c>
      <c r="P1147" s="1" t="s">
        <v>4085</v>
      </c>
    </row>
    <row r="1148" spans="1:17" hidden="1" outlineLevel="1">
      <c r="A1148" s="1">
        <v>2</v>
      </c>
      <c r="F1148" s="22">
        <v>21090184</v>
      </c>
      <c r="N1148" s="54" t="s">
        <v>3960</v>
      </c>
      <c r="O1148" s="18">
        <v>44456</v>
      </c>
      <c r="P1148" s="1" t="s">
        <v>4086</v>
      </c>
    </row>
    <row r="1149" spans="1:17" hidden="1" outlineLevel="1">
      <c r="A1149" s="1">
        <v>3</v>
      </c>
      <c r="F1149" s="22">
        <v>21090185</v>
      </c>
      <c r="N1149" s="54" t="s">
        <v>3960</v>
      </c>
      <c r="O1149" s="18">
        <v>44456</v>
      </c>
    </row>
    <row r="1150" spans="1:17" hidden="1" outlineLevel="1">
      <c r="A1150" s="1">
        <v>4</v>
      </c>
      <c r="F1150" s="22">
        <v>21090186</v>
      </c>
      <c r="M1150" s="2" t="s">
        <v>3585</v>
      </c>
      <c r="N1150" s="54" t="s">
        <v>111</v>
      </c>
      <c r="O1150" s="18">
        <v>44456</v>
      </c>
    </row>
    <row r="1151" spans="1:17" hidden="1" outlineLevel="1">
      <c r="A1151" s="1">
        <v>5</v>
      </c>
      <c r="F1151" s="22">
        <v>21090187</v>
      </c>
      <c r="N1151" s="54" t="s">
        <v>3769</v>
      </c>
      <c r="O1151" s="18">
        <v>44454</v>
      </c>
    </row>
    <row r="1152" spans="1:17" hidden="1" outlineLevel="1">
      <c r="A1152" s="1">
        <v>6</v>
      </c>
      <c r="F1152" s="22">
        <v>21090188</v>
      </c>
      <c r="M1152" s="2" t="s">
        <v>3586</v>
      </c>
      <c r="N1152" s="54" t="s">
        <v>111</v>
      </c>
      <c r="O1152" s="18">
        <v>44454</v>
      </c>
    </row>
    <row r="1153" spans="1:17" hidden="1" outlineLevel="1">
      <c r="A1153" s="1">
        <v>7</v>
      </c>
      <c r="F1153" s="22">
        <v>21090189</v>
      </c>
      <c r="N1153" s="54" t="s">
        <v>3769</v>
      </c>
      <c r="O1153" s="18">
        <v>44454</v>
      </c>
    </row>
    <row r="1154" spans="1:17" hidden="1" outlineLevel="1">
      <c r="A1154" s="1">
        <v>8</v>
      </c>
      <c r="F1154" s="22">
        <v>21090190</v>
      </c>
      <c r="N1154" s="54" t="s">
        <v>3769</v>
      </c>
      <c r="O1154" s="18">
        <v>44454</v>
      </c>
    </row>
    <row r="1155" spans="1:17" hidden="1" outlineLevel="1">
      <c r="A1155" s="1">
        <v>9</v>
      </c>
      <c r="F1155" s="22">
        <v>21090191</v>
      </c>
      <c r="N1155" s="54" t="s">
        <v>3769</v>
      </c>
      <c r="O1155" s="18">
        <v>44455</v>
      </c>
    </row>
    <row r="1156" spans="1:17" hidden="1" outlineLevel="1">
      <c r="A1156" s="1">
        <v>10</v>
      </c>
      <c r="F1156" s="22">
        <v>21090192</v>
      </c>
      <c r="N1156" s="54" t="s">
        <v>3769</v>
      </c>
      <c r="O1156" s="18">
        <v>44455</v>
      </c>
    </row>
    <row r="1157" spans="1:17" hidden="1" outlineLevel="1">
      <c r="A1157" s="1">
        <v>11</v>
      </c>
      <c r="F1157" s="22">
        <v>21090193</v>
      </c>
      <c r="N1157" s="54" t="s">
        <v>3961</v>
      </c>
      <c r="O1157" s="18">
        <v>44459</v>
      </c>
    </row>
    <row r="1158" spans="1:17" hidden="1" outlineLevel="1">
      <c r="A1158" s="1">
        <v>12</v>
      </c>
      <c r="F1158" s="22">
        <v>21090194</v>
      </c>
      <c r="N1158" s="54" t="s">
        <v>3962</v>
      </c>
      <c r="O1158" s="18">
        <v>44463</v>
      </c>
    </row>
    <row r="1159" spans="1:17" hidden="1" outlineLevel="1">
      <c r="A1159" s="1">
        <v>13</v>
      </c>
      <c r="F1159" s="22">
        <v>21090195</v>
      </c>
      <c r="N1159" s="54" t="s">
        <v>3963</v>
      </c>
      <c r="O1159" s="18">
        <v>44456</v>
      </c>
    </row>
    <row r="1160" spans="1:17" hidden="1" outlineLevel="1">
      <c r="A1160" s="1">
        <v>14</v>
      </c>
      <c r="F1160" s="22">
        <v>21090196</v>
      </c>
      <c r="M1160" s="2" t="s">
        <v>3587</v>
      </c>
      <c r="N1160" s="54" t="s">
        <v>3964</v>
      </c>
      <c r="O1160" s="18">
        <v>44456</v>
      </c>
    </row>
    <row r="1161" spans="1:17" hidden="1" outlineLevel="1">
      <c r="A1161" s="1">
        <v>15</v>
      </c>
      <c r="F1161" s="22">
        <v>21090197</v>
      </c>
      <c r="N1161" s="54" t="s">
        <v>3960</v>
      </c>
      <c r="O1161" s="18">
        <v>44456</v>
      </c>
    </row>
    <row r="1162" spans="1:17" hidden="1" outlineLevel="1">
      <c r="A1162" s="1">
        <v>16</v>
      </c>
      <c r="F1162" s="22">
        <v>21090198</v>
      </c>
      <c r="N1162" s="54" t="s">
        <v>3960</v>
      </c>
      <c r="O1162" s="18">
        <v>44456</v>
      </c>
    </row>
    <row r="1163" spans="1:17" hidden="1" outlineLevel="1">
      <c r="A1163" s="8"/>
      <c r="B1163" s="58"/>
      <c r="C1163" s="159"/>
      <c r="D1163" s="8"/>
      <c r="E1163" s="8"/>
      <c r="F1163" s="9"/>
      <c r="G1163" s="8"/>
      <c r="H1163" s="8"/>
      <c r="I1163" s="8"/>
      <c r="J1163" s="132"/>
      <c r="K1163" s="8"/>
      <c r="L1163" s="58"/>
      <c r="M1163" s="8"/>
      <c r="N1163" s="133"/>
      <c r="O1163" s="58"/>
      <c r="P1163" s="8"/>
      <c r="Q1163" s="8"/>
    </row>
    <row r="1164" spans="1:17" hidden="1" outlineLevel="1">
      <c r="A1164" s="1">
        <v>1</v>
      </c>
      <c r="B1164" s="11" t="s">
        <v>7004</v>
      </c>
      <c r="C1164" s="160">
        <v>881</v>
      </c>
      <c r="E1164" s="1" t="s">
        <v>3258</v>
      </c>
      <c r="F1164" s="22">
        <v>21090830</v>
      </c>
      <c r="N1164" s="54" t="s">
        <v>3965</v>
      </c>
      <c r="O1164" s="18">
        <v>44466</v>
      </c>
    </row>
    <row r="1165" spans="1:17" hidden="1" outlineLevel="1">
      <c r="A1165" s="1">
        <v>2</v>
      </c>
      <c r="F1165" s="22">
        <v>21090831</v>
      </c>
      <c r="N1165" s="54" t="s">
        <v>3965</v>
      </c>
      <c r="O1165" s="18">
        <v>44466</v>
      </c>
    </row>
    <row r="1166" spans="1:17" hidden="1" outlineLevel="1">
      <c r="A1166" s="1">
        <v>3</v>
      </c>
      <c r="F1166" s="22">
        <v>21091049</v>
      </c>
      <c r="N1166" s="54" t="s">
        <v>3966</v>
      </c>
      <c r="O1166" s="18">
        <v>44459</v>
      </c>
    </row>
    <row r="1167" spans="1:17" hidden="1" outlineLevel="1">
      <c r="A1167" s="1">
        <v>4</v>
      </c>
      <c r="F1167" s="22">
        <v>21091050</v>
      </c>
      <c r="N1167" s="54" t="s">
        <v>3966</v>
      </c>
      <c r="O1167" s="18">
        <v>44459</v>
      </c>
    </row>
    <row r="1168" spans="1:17" hidden="1" outlineLevel="1">
      <c r="A1168" s="1">
        <v>5</v>
      </c>
      <c r="F1168" s="22">
        <v>21091051</v>
      </c>
      <c r="N1168" s="54" t="s">
        <v>3966</v>
      </c>
      <c r="O1168" s="18">
        <v>44459</v>
      </c>
    </row>
    <row r="1169" spans="1:17" hidden="1" outlineLevel="1">
      <c r="A1169" s="1">
        <v>6</v>
      </c>
      <c r="F1169" s="22">
        <v>21091052</v>
      </c>
      <c r="N1169" s="54" t="s">
        <v>3966</v>
      </c>
      <c r="O1169" s="18">
        <v>44459</v>
      </c>
    </row>
    <row r="1170" spans="1:17" hidden="1" outlineLevel="1">
      <c r="A1170" s="1">
        <v>7</v>
      </c>
      <c r="F1170" s="22">
        <v>21091053</v>
      </c>
      <c r="N1170" s="54" t="s">
        <v>3966</v>
      </c>
      <c r="O1170" s="18">
        <v>44459</v>
      </c>
    </row>
    <row r="1171" spans="1:17" hidden="1" outlineLevel="1">
      <c r="A1171" s="1">
        <v>8</v>
      </c>
      <c r="F1171" s="22">
        <v>21091054</v>
      </c>
      <c r="N1171" s="54" t="s">
        <v>3966</v>
      </c>
      <c r="O1171" s="18">
        <v>44459</v>
      </c>
    </row>
    <row r="1172" spans="1:17" hidden="1" outlineLevel="1">
      <c r="A1172" s="1">
        <v>9</v>
      </c>
      <c r="F1172" s="22">
        <v>21091055</v>
      </c>
      <c r="N1172" s="54" t="s">
        <v>3966</v>
      </c>
      <c r="O1172" s="18">
        <v>44459</v>
      </c>
    </row>
    <row r="1173" spans="1:17" hidden="1" outlineLevel="1">
      <c r="A1173" s="1">
        <v>10</v>
      </c>
      <c r="F1173" s="22">
        <v>21091056</v>
      </c>
      <c r="N1173" s="54" t="s">
        <v>3966</v>
      </c>
      <c r="O1173" s="18">
        <v>44459</v>
      </c>
    </row>
    <row r="1174" spans="1:17" hidden="1" outlineLevel="1">
      <c r="A1174" s="1">
        <v>11</v>
      </c>
      <c r="F1174" s="22">
        <v>21091057</v>
      </c>
      <c r="N1174" s="54" t="s">
        <v>3966</v>
      </c>
      <c r="O1174" s="18">
        <v>44459</v>
      </c>
    </row>
    <row r="1175" spans="1:17" hidden="1" outlineLevel="1">
      <c r="A1175" s="1">
        <v>12</v>
      </c>
      <c r="F1175" s="22">
        <v>21091058</v>
      </c>
      <c r="N1175" s="54" t="s">
        <v>3966</v>
      </c>
      <c r="O1175" s="18">
        <v>44459</v>
      </c>
    </row>
    <row r="1176" spans="1:17" hidden="1" outlineLevel="1">
      <c r="A1176" s="1">
        <v>13</v>
      </c>
      <c r="F1176" s="22">
        <v>21091059</v>
      </c>
      <c r="N1176" s="54" t="s">
        <v>3965</v>
      </c>
      <c r="O1176" s="18">
        <v>44466</v>
      </c>
    </row>
    <row r="1177" spans="1:17" hidden="1" outlineLevel="1">
      <c r="A1177" s="1">
        <v>14</v>
      </c>
      <c r="F1177" s="22">
        <v>21091060</v>
      </c>
      <c r="N1177" s="54" t="s">
        <v>3960</v>
      </c>
      <c r="O1177" s="18">
        <v>44467</v>
      </c>
    </row>
    <row r="1178" spans="1:17" hidden="1" outlineLevel="1">
      <c r="A1178" s="1">
        <v>15</v>
      </c>
      <c r="F1178" s="22">
        <v>21091061</v>
      </c>
      <c r="N1178" s="54" t="s">
        <v>157</v>
      </c>
      <c r="O1178" s="18">
        <v>44474</v>
      </c>
    </row>
    <row r="1179" spans="1:17" hidden="1" outlineLevel="1">
      <c r="A1179" s="1">
        <v>16</v>
      </c>
      <c r="F1179" s="22">
        <v>21091062</v>
      </c>
      <c r="N1179" s="54" t="s">
        <v>3960</v>
      </c>
      <c r="O1179" s="18">
        <v>44467</v>
      </c>
    </row>
    <row r="1180" spans="1:17" hidden="1" outlineLevel="1">
      <c r="A1180" s="8"/>
      <c r="B1180" s="58"/>
      <c r="C1180" s="159"/>
      <c r="D1180" s="8"/>
      <c r="E1180" s="8"/>
      <c r="F1180" s="9"/>
      <c r="G1180" s="8"/>
      <c r="H1180" s="8"/>
      <c r="I1180" s="8"/>
      <c r="J1180" s="132"/>
      <c r="K1180" s="8"/>
      <c r="L1180" s="58"/>
      <c r="M1180" s="8"/>
      <c r="N1180" s="133"/>
      <c r="O1180" s="58"/>
      <c r="P1180" s="8"/>
      <c r="Q1180" s="8"/>
    </row>
    <row r="1181" spans="1:17" hidden="1" outlineLevel="1">
      <c r="A1181" s="1">
        <v>1</v>
      </c>
      <c r="B1181" s="11" t="s">
        <v>7005</v>
      </c>
      <c r="C1181" s="160">
        <v>906</v>
      </c>
      <c r="E1181" s="1" t="s">
        <v>3258</v>
      </c>
      <c r="F1181" s="22">
        <v>21091029</v>
      </c>
      <c r="M1181" s="2" t="s">
        <v>3588</v>
      </c>
      <c r="N1181" s="54" t="s">
        <v>3967</v>
      </c>
      <c r="O1181" s="18">
        <v>44476</v>
      </c>
    </row>
    <row r="1182" spans="1:17" hidden="1" outlineLevel="1">
      <c r="A1182" s="1">
        <v>2</v>
      </c>
      <c r="F1182" s="22">
        <v>21091030</v>
      </c>
      <c r="N1182" s="54" t="s">
        <v>100</v>
      </c>
      <c r="O1182" s="18">
        <v>44475</v>
      </c>
    </row>
    <row r="1183" spans="1:17" hidden="1" outlineLevel="1">
      <c r="A1183" s="1">
        <v>3</v>
      </c>
      <c r="F1183" s="22">
        <v>21091031</v>
      </c>
      <c r="M1183" s="2" t="s">
        <v>158</v>
      </c>
      <c r="N1183" s="54" t="s">
        <v>157</v>
      </c>
      <c r="O1183" s="18">
        <v>44480</v>
      </c>
    </row>
    <row r="1184" spans="1:17" hidden="1" outlineLevel="1">
      <c r="A1184" s="1">
        <v>4</v>
      </c>
      <c r="F1184" s="22">
        <v>21091032</v>
      </c>
      <c r="M1184" s="2" t="s">
        <v>158</v>
      </c>
      <c r="N1184" s="54" t="s">
        <v>157</v>
      </c>
      <c r="O1184" s="18">
        <v>44480</v>
      </c>
    </row>
    <row r="1185" spans="1:17" hidden="1" outlineLevel="1">
      <c r="A1185" s="1">
        <v>5</v>
      </c>
      <c r="F1185" s="22">
        <v>21091033</v>
      </c>
      <c r="N1185" s="54" t="s">
        <v>3772</v>
      </c>
      <c r="O1185" s="18">
        <v>44470</v>
      </c>
    </row>
    <row r="1186" spans="1:17" hidden="1" outlineLevel="1">
      <c r="A1186" s="1">
        <v>6</v>
      </c>
      <c r="F1186" s="22">
        <v>21091034</v>
      </c>
      <c r="M1186" s="2" t="s">
        <v>3589</v>
      </c>
      <c r="N1186" s="54" t="s">
        <v>100</v>
      </c>
      <c r="O1186" s="18">
        <v>44469</v>
      </c>
    </row>
    <row r="1187" spans="1:17" hidden="1" outlineLevel="1">
      <c r="A1187" s="1">
        <v>7</v>
      </c>
      <c r="F1187" s="22">
        <v>21091035</v>
      </c>
      <c r="N1187" s="54" t="s">
        <v>66</v>
      </c>
      <c r="O1187" s="18">
        <v>44484</v>
      </c>
    </row>
    <row r="1188" spans="1:17" hidden="1" outlineLevel="1">
      <c r="A1188" s="1">
        <v>8</v>
      </c>
      <c r="F1188" s="22">
        <v>21091036</v>
      </c>
      <c r="N1188" s="54" t="s">
        <v>66</v>
      </c>
      <c r="O1188" s="18">
        <v>44484</v>
      </c>
    </row>
    <row r="1189" spans="1:17" hidden="1" outlineLevel="1">
      <c r="A1189" s="1">
        <v>9</v>
      </c>
      <c r="F1189" s="22">
        <v>21091037</v>
      </c>
      <c r="N1189" s="54" t="s">
        <v>66</v>
      </c>
      <c r="O1189" s="18">
        <v>44484</v>
      </c>
    </row>
    <row r="1190" spans="1:17" hidden="1" outlineLevel="1">
      <c r="A1190" s="1">
        <v>10</v>
      </c>
      <c r="F1190" s="22">
        <v>21091038</v>
      </c>
      <c r="N1190" s="54" t="s">
        <v>66</v>
      </c>
      <c r="O1190" s="18">
        <v>44484</v>
      </c>
    </row>
    <row r="1191" spans="1:17" hidden="1" outlineLevel="1">
      <c r="A1191" s="1">
        <v>11</v>
      </c>
      <c r="F1191" s="22">
        <v>21091039</v>
      </c>
      <c r="M1191" s="2" t="s">
        <v>3590</v>
      </c>
      <c r="N1191" s="54" t="s">
        <v>3968</v>
      </c>
      <c r="O1191" s="18">
        <v>44477</v>
      </c>
    </row>
    <row r="1192" spans="1:17" hidden="1" outlineLevel="1">
      <c r="A1192" s="1">
        <v>12</v>
      </c>
      <c r="F1192" s="22">
        <v>21091040</v>
      </c>
      <c r="M1192" s="2" t="s">
        <v>3591</v>
      </c>
      <c r="N1192" s="54" t="s">
        <v>111</v>
      </c>
      <c r="O1192" s="18">
        <v>44476</v>
      </c>
    </row>
    <row r="1193" spans="1:17" hidden="1" outlineLevel="1">
      <c r="A1193" s="1">
        <v>13</v>
      </c>
      <c r="F1193" s="22">
        <v>21091045</v>
      </c>
      <c r="M1193" s="2" t="s">
        <v>3592</v>
      </c>
      <c r="N1193" s="54" t="s">
        <v>111</v>
      </c>
      <c r="O1193" s="18">
        <v>44475</v>
      </c>
    </row>
    <row r="1194" spans="1:17" hidden="1" outlineLevel="1">
      <c r="A1194" s="1">
        <v>14</v>
      </c>
      <c r="F1194" s="22">
        <v>21091046</v>
      </c>
      <c r="N1194" s="54" t="s">
        <v>3969</v>
      </c>
      <c r="O1194" s="18">
        <v>44476</v>
      </c>
    </row>
    <row r="1195" spans="1:17" hidden="1" outlineLevel="1">
      <c r="A1195" s="1">
        <v>15</v>
      </c>
      <c r="F1195" s="22">
        <v>21091047</v>
      </c>
      <c r="N1195" s="54" t="s">
        <v>66</v>
      </c>
      <c r="O1195" s="18">
        <v>44484</v>
      </c>
    </row>
    <row r="1196" spans="1:17" hidden="1" outlineLevel="1">
      <c r="A1196" s="1">
        <v>16</v>
      </c>
      <c r="F1196" s="22">
        <v>21091048</v>
      </c>
      <c r="N1196" s="54" t="s">
        <v>66</v>
      </c>
      <c r="O1196" s="18">
        <v>44484</v>
      </c>
    </row>
    <row r="1197" spans="1:17" hidden="1" outlineLevel="1">
      <c r="A1197" s="8"/>
      <c r="B1197" s="58"/>
      <c r="C1197" s="159"/>
      <c r="D1197" s="8"/>
      <c r="E1197" s="8"/>
      <c r="F1197" s="9"/>
      <c r="G1197" s="8"/>
      <c r="H1197" s="8"/>
      <c r="I1197" s="8"/>
      <c r="J1197" s="132"/>
      <c r="K1197" s="8"/>
      <c r="L1197" s="58"/>
      <c r="M1197" s="8"/>
      <c r="N1197" s="133"/>
      <c r="O1197" s="58"/>
      <c r="P1197" s="8"/>
      <c r="Q1197" s="8"/>
    </row>
    <row r="1198" spans="1:17" hidden="1" outlineLevel="1">
      <c r="A1198" s="1">
        <v>1</v>
      </c>
      <c r="B1198" s="11" t="s">
        <v>7006</v>
      </c>
      <c r="C1198" s="160">
        <v>947</v>
      </c>
      <c r="E1198" s="1" t="s">
        <v>3258</v>
      </c>
      <c r="F1198" s="22">
        <v>21100346</v>
      </c>
      <c r="N1198" s="54" t="s">
        <v>3970</v>
      </c>
      <c r="O1198" s="18">
        <v>44477</v>
      </c>
      <c r="P1198" s="1" t="s">
        <v>4087</v>
      </c>
    </row>
    <row r="1199" spans="1:17" hidden="1" outlineLevel="1">
      <c r="A1199" s="1">
        <v>2</v>
      </c>
      <c r="F1199" s="22">
        <v>21100347</v>
      </c>
      <c r="N1199" s="54" t="s">
        <v>3970</v>
      </c>
      <c r="O1199" s="18">
        <v>44477</v>
      </c>
      <c r="P1199" s="1" t="s">
        <v>4088</v>
      </c>
    </row>
    <row r="1200" spans="1:17" hidden="1" outlineLevel="1">
      <c r="A1200" s="1">
        <v>3</v>
      </c>
      <c r="F1200" s="22">
        <v>21100348</v>
      </c>
      <c r="N1200" s="54" t="s">
        <v>3735</v>
      </c>
      <c r="O1200" s="18">
        <v>44480</v>
      </c>
      <c r="P1200" s="1" t="s">
        <v>4089</v>
      </c>
    </row>
    <row r="1201" spans="1:17" hidden="1" outlineLevel="1">
      <c r="A1201" s="1">
        <v>4</v>
      </c>
      <c r="F1201" s="22">
        <v>21100349</v>
      </c>
      <c r="N1201" s="54" t="s">
        <v>3971</v>
      </c>
      <c r="O1201" s="18">
        <v>44483</v>
      </c>
      <c r="P1201" s="1" t="s">
        <v>4090</v>
      </c>
    </row>
    <row r="1202" spans="1:17" hidden="1" outlineLevel="1">
      <c r="A1202" s="1">
        <v>5</v>
      </c>
      <c r="F1202" s="22">
        <v>21100350</v>
      </c>
      <c r="N1202" s="54" t="s">
        <v>66</v>
      </c>
      <c r="O1202" s="18">
        <v>44484</v>
      </c>
    </row>
    <row r="1203" spans="1:17" hidden="1" outlineLevel="1">
      <c r="A1203" s="1">
        <v>6</v>
      </c>
      <c r="F1203" s="22">
        <v>21100351</v>
      </c>
      <c r="N1203" s="54" t="s">
        <v>66</v>
      </c>
      <c r="O1203" s="18">
        <v>44484</v>
      </c>
    </row>
    <row r="1204" spans="1:17" hidden="1" outlineLevel="1">
      <c r="A1204" s="1">
        <v>7</v>
      </c>
      <c r="F1204" s="22">
        <v>21100352</v>
      </c>
      <c r="M1204" s="2" t="s">
        <v>3593</v>
      </c>
      <c r="N1204" s="54" t="s">
        <v>111</v>
      </c>
      <c r="O1204" s="18">
        <v>44483</v>
      </c>
    </row>
    <row r="1205" spans="1:17" hidden="1" outlineLevel="1">
      <c r="A1205" s="1">
        <v>8</v>
      </c>
      <c r="F1205" s="22">
        <v>21100353</v>
      </c>
      <c r="N1205" s="54" t="s">
        <v>66</v>
      </c>
      <c r="O1205" s="18">
        <v>44484</v>
      </c>
    </row>
    <row r="1206" spans="1:17" hidden="1" outlineLevel="1">
      <c r="A1206" s="1">
        <v>9</v>
      </c>
      <c r="F1206" s="22">
        <v>21100354</v>
      </c>
      <c r="N1206" s="54" t="s">
        <v>66</v>
      </c>
      <c r="O1206" s="18">
        <v>44484</v>
      </c>
    </row>
    <row r="1207" spans="1:17" hidden="1" outlineLevel="1">
      <c r="A1207" s="1">
        <v>10</v>
      </c>
      <c r="F1207" s="22">
        <v>21100355</v>
      </c>
      <c r="N1207" s="54" t="s">
        <v>66</v>
      </c>
      <c r="O1207" s="18">
        <v>44484</v>
      </c>
    </row>
    <row r="1208" spans="1:17" hidden="1" outlineLevel="1">
      <c r="A1208" s="1">
        <v>11</v>
      </c>
      <c r="F1208" s="22">
        <v>21100356</v>
      </c>
      <c r="N1208" s="54" t="s">
        <v>3744</v>
      </c>
      <c r="O1208" s="18">
        <v>44481</v>
      </c>
    </row>
    <row r="1209" spans="1:17" hidden="1" outlineLevel="1">
      <c r="A1209" s="1">
        <v>12</v>
      </c>
      <c r="F1209" s="22">
        <v>21100357</v>
      </c>
      <c r="M1209" s="2" t="s">
        <v>3594</v>
      </c>
      <c r="N1209" s="54" t="s">
        <v>3972</v>
      </c>
      <c r="O1209" s="18">
        <v>44481</v>
      </c>
    </row>
    <row r="1210" spans="1:17" hidden="1" outlineLevel="1">
      <c r="A1210" s="1">
        <v>13</v>
      </c>
      <c r="F1210" s="22">
        <v>21100358</v>
      </c>
      <c r="N1210" s="54" t="s">
        <v>66</v>
      </c>
      <c r="O1210" s="18">
        <v>44484</v>
      </c>
    </row>
    <row r="1211" spans="1:17" hidden="1" outlineLevel="1">
      <c r="A1211" s="1">
        <v>14</v>
      </c>
      <c r="F1211" s="22">
        <v>21100359</v>
      </c>
      <c r="N1211" s="54" t="s">
        <v>66</v>
      </c>
      <c r="O1211" s="18">
        <v>44484</v>
      </c>
    </row>
    <row r="1212" spans="1:17" hidden="1" outlineLevel="1">
      <c r="A1212" s="1">
        <v>15</v>
      </c>
      <c r="F1212" s="22">
        <v>21100360</v>
      </c>
      <c r="N1212" s="54" t="s">
        <v>66</v>
      </c>
      <c r="O1212" s="18">
        <v>44484</v>
      </c>
    </row>
    <row r="1213" spans="1:17" hidden="1" outlineLevel="1">
      <c r="A1213" s="1">
        <v>16</v>
      </c>
      <c r="F1213" s="22">
        <v>21100361</v>
      </c>
      <c r="N1213" s="54" t="s">
        <v>66</v>
      </c>
      <c r="O1213" s="18">
        <v>44484</v>
      </c>
    </row>
    <row r="1214" spans="1:17" hidden="1" outlineLevel="1">
      <c r="A1214" s="8"/>
      <c r="B1214" s="58"/>
      <c r="C1214" s="159"/>
      <c r="D1214" s="8"/>
      <c r="E1214" s="8"/>
      <c r="F1214" s="9"/>
      <c r="G1214" s="8"/>
      <c r="H1214" s="8"/>
      <c r="I1214" s="8"/>
      <c r="J1214" s="132"/>
      <c r="K1214" s="8"/>
      <c r="L1214" s="58"/>
      <c r="M1214" s="8"/>
      <c r="N1214" s="133"/>
      <c r="O1214" s="58"/>
      <c r="P1214" s="8"/>
      <c r="Q1214" s="8"/>
    </row>
    <row r="1215" spans="1:17" hidden="1" outlineLevel="1">
      <c r="A1215" s="1">
        <v>1</v>
      </c>
      <c r="B1215" s="11" t="s">
        <v>7007</v>
      </c>
      <c r="C1215" s="160">
        <v>4116</v>
      </c>
      <c r="E1215" s="1" t="s">
        <v>3275</v>
      </c>
      <c r="F1215" s="22">
        <v>210963196966</v>
      </c>
      <c r="N1215" s="54" t="s">
        <v>3232</v>
      </c>
      <c r="O1215" s="18">
        <v>44491</v>
      </c>
    </row>
    <row r="1216" spans="1:17" hidden="1" outlineLevel="1">
      <c r="A1216" s="1">
        <v>2</v>
      </c>
      <c r="F1216" s="22">
        <v>210963196966</v>
      </c>
      <c r="N1216" s="54" t="s">
        <v>3232</v>
      </c>
      <c r="O1216" s="18">
        <v>44491</v>
      </c>
    </row>
    <row r="1217" spans="1:17" hidden="1" outlineLevel="1">
      <c r="A1217" s="8"/>
      <c r="B1217" s="58"/>
      <c r="C1217" s="159"/>
      <c r="D1217" s="8"/>
      <c r="E1217" s="8"/>
      <c r="F1217" s="9"/>
      <c r="G1217" s="8"/>
      <c r="H1217" s="8"/>
      <c r="I1217" s="8"/>
      <c r="J1217" s="132"/>
      <c r="K1217" s="8"/>
      <c r="L1217" s="58"/>
      <c r="M1217" s="8"/>
      <c r="N1217" s="133"/>
      <c r="O1217" s="58"/>
      <c r="P1217" s="8"/>
      <c r="Q1217" s="8"/>
    </row>
    <row r="1218" spans="1:17" hidden="1" outlineLevel="1">
      <c r="A1218" s="1">
        <v>1</v>
      </c>
      <c r="B1218" s="11" t="s">
        <v>7008</v>
      </c>
      <c r="C1218" s="160">
        <v>982</v>
      </c>
      <c r="E1218" s="1" t="s">
        <v>3276</v>
      </c>
      <c r="F1218" s="22">
        <v>21100722</v>
      </c>
      <c r="N1218" s="54" t="s">
        <v>3848</v>
      </c>
      <c r="O1218" s="18">
        <v>44864</v>
      </c>
      <c r="P1218" s="1" t="s">
        <v>4091</v>
      </c>
    </row>
    <row r="1219" spans="1:17" hidden="1" outlineLevel="1">
      <c r="A1219" s="1">
        <v>2</v>
      </c>
      <c r="F1219" s="22">
        <v>21100723</v>
      </c>
      <c r="M1219" s="2" t="s">
        <v>3595</v>
      </c>
      <c r="N1219" s="54" t="s">
        <v>111</v>
      </c>
      <c r="O1219" s="18">
        <v>44491</v>
      </c>
      <c r="P1219" s="1" t="s">
        <v>4092</v>
      </c>
    </row>
    <row r="1220" spans="1:17" hidden="1" outlineLevel="1">
      <c r="A1220" s="1">
        <v>3</v>
      </c>
      <c r="F1220" s="22">
        <v>21100724</v>
      </c>
      <c r="M1220" s="2" t="s">
        <v>3596</v>
      </c>
      <c r="N1220" s="54" t="s">
        <v>3628</v>
      </c>
      <c r="O1220" s="18">
        <v>44489</v>
      </c>
    </row>
    <row r="1221" spans="1:17" hidden="1" outlineLevel="1">
      <c r="A1221" s="1">
        <v>4</v>
      </c>
      <c r="F1221" s="22">
        <v>21100725</v>
      </c>
      <c r="N1221" s="54" t="s">
        <v>3973</v>
      </c>
      <c r="O1221" s="18">
        <v>44854</v>
      </c>
    </row>
    <row r="1222" spans="1:17" hidden="1" outlineLevel="1">
      <c r="A1222" s="1">
        <v>5</v>
      </c>
      <c r="F1222" s="22">
        <v>21100726</v>
      </c>
      <c r="N1222" s="54" t="s">
        <v>66</v>
      </c>
      <c r="O1222" s="18">
        <v>44862</v>
      </c>
    </row>
    <row r="1223" spans="1:17" hidden="1" outlineLevel="1">
      <c r="A1223" s="1">
        <v>6</v>
      </c>
      <c r="F1223" s="22">
        <v>21100727</v>
      </c>
      <c r="N1223" s="54" t="s">
        <v>3928</v>
      </c>
      <c r="O1223" s="18">
        <v>44866</v>
      </c>
    </row>
    <row r="1224" spans="1:17" hidden="1" outlineLevel="1">
      <c r="A1224" s="1">
        <v>7</v>
      </c>
      <c r="F1224" s="22">
        <v>21100728</v>
      </c>
      <c r="N1224" s="54" t="s">
        <v>3974</v>
      </c>
      <c r="O1224" s="18">
        <v>44880</v>
      </c>
    </row>
    <row r="1225" spans="1:17" hidden="1" outlineLevel="1">
      <c r="A1225" s="1">
        <v>8</v>
      </c>
      <c r="F1225" s="22">
        <v>21100729</v>
      </c>
      <c r="M1225" s="2" t="s">
        <v>3597</v>
      </c>
      <c r="N1225" s="54" t="s">
        <v>3975</v>
      </c>
      <c r="O1225" s="18">
        <v>44877</v>
      </c>
    </row>
    <row r="1226" spans="1:17" hidden="1" outlineLevel="1">
      <c r="A1226" s="1">
        <v>9</v>
      </c>
      <c r="F1226" s="22">
        <v>21100730</v>
      </c>
      <c r="N1226" s="54" t="s">
        <v>106</v>
      </c>
      <c r="O1226" s="18">
        <v>44873</v>
      </c>
    </row>
    <row r="1227" spans="1:17" hidden="1" outlineLevel="1">
      <c r="A1227" s="1">
        <v>10</v>
      </c>
      <c r="F1227" s="22">
        <v>21100731</v>
      </c>
      <c r="N1227" s="54" t="s">
        <v>106</v>
      </c>
      <c r="O1227" s="18">
        <v>44873</v>
      </c>
    </row>
    <row r="1228" spans="1:17" hidden="1" outlineLevel="1">
      <c r="A1228" s="1">
        <v>11</v>
      </c>
      <c r="F1228" s="22">
        <v>21100732</v>
      </c>
      <c r="M1228" s="2" t="s">
        <v>3598</v>
      </c>
      <c r="N1228" s="54" t="s">
        <v>3976</v>
      </c>
      <c r="O1228" s="18">
        <v>44876</v>
      </c>
    </row>
    <row r="1229" spans="1:17" hidden="1" outlineLevel="1">
      <c r="A1229" s="1">
        <v>12</v>
      </c>
      <c r="F1229" s="22">
        <v>21100733</v>
      </c>
      <c r="N1229" s="54" t="s">
        <v>335</v>
      </c>
      <c r="O1229" s="18">
        <v>44875</v>
      </c>
    </row>
    <row r="1230" spans="1:17" hidden="1" outlineLevel="1">
      <c r="A1230" s="1">
        <v>13</v>
      </c>
      <c r="F1230" s="22">
        <v>21100734</v>
      </c>
      <c r="N1230" s="54" t="s">
        <v>3977</v>
      </c>
      <c r="O1230" s="18">
        <v>44876</v>
      </c>
    </row>
    <row r="1231" spans="1:17" hidden="1" outlineLevel="1">
      <c r="A1231" s="1">
        <v>14</v>
      </c>
      <c r="F1231" s="22">
        <v>21100735</v>
      </c>
      <c r="M1231" s="2" t="s">
        <v>3462</v>
      </c>
      <c r="N1231" s="54" t="s">
        <v>3978</v>
      </c>
      <c r="O1231" s="18">
        <v>44867</v>
      </c>
    </row>
    <row r="1232" spans="1:17" hidden="1" outlineLevel="1">
      <c r="A1232" s="1">
        <v>15</v>
      </c>
      <c r="F1232" s="22">
        <v>21100736</v>
      </c>
      <c r="N1232" s="54" t="s">
        <v>3979</v>
      </c>
      <c r="O1232" s="18">
        <v>44866</v>
      </c>
    </row>
    <row r="1233" spans="1:17" hidden="1" outlineLevel="1">
      <c r="A1233" s="1">
        <v>16</v>
      </c>
      <c r="F1233" s="22">
        <v>21100737</v>
      </c>
      <c r="N1233" s="54" t="s">
        <v>3928</v>
      </c>
      <c r="O1233" s="18">
        <v>44866</v>
      </c>
    </row>
    <row r="1234" spans="1:17" hidden="1" outlineLevel="1">
      <c r="A1234" s="8"/>
      <c r="B1234" s="58"/>
      <c r="C1234" s="159"/>
      <c r="D1234" s="8"/>
      <c r="E1234" s="8"/>
      <c r="F1234" s="9"/>
      <c r="G1234" s="8"/>
      <c r="H1234" s="8"/>
      <c r="I1234" s="8"/>
      <c r="J1234" s="132"/>
      <c r="K1234" s="8"/>
      <c r="L1234" s="58"/>
      <c r="M1234" s="8"/>
      <c r="N1234" s="133"/>
      <c r="O1234" s="58"/>
      <c r="P1234" s="8"/>
      <c r="Q1234" s="8"/>
    </row>
    <row r="1235" spans="1:17" hidden="1" outlineLevel="1">
      <c r="A1235" s="1">
        <v>1</v>
      </c>
      <c r="B1235" s="11" t="s">
        <v>7009</v>
      </c>
      <c r="C1235" s="160">
        <v>1052</v>
      </c>
      <c r="E1235" s="1" t="s">
        <v>3258</v>
      </c>
      <c r="F1235" s="22">
        <v>21111431</v>
      </c>
      <c r="M1235" s="2" t="s">
        <v>3599</v>
      </c>
      <c r="N1235" s="54" t="s">
        <v>3232</v>
      </c>
      <c r="O1235" s="18">
        <v>44883</v>
      </c>
      <c r="P1235" s="1" t="s">
        <v>4093</v>
      </c>
    </row>
    <row r="1236" spans="1:17" hidden="1" outlineLevel="1">
      <c r="A1236" s="1">
        <v>2</v>
      </c>
      <c r="F1236" s="22">
        <v>21110601</v>
      </c>
      <c r="M1236" s="2" t="s">
        <v>3600</v>
      </c>
      <c r="N1236" s="54" t="s">
        <v>3976</v>
      </c>
      <c r="O1236" s="18">
        <v>44882</v>
      </c>
      <c r="P1236" s="1" t="s">
        <v>4094</v>
      </c>
    </row>
    <row r="1237" spans="1:17" hidden="1" outlineLevel="1">
      <c r="A1237" s="1">
        <v>3</v>
      </c>
      <c r="F1237" s="22">
        <v>21111116</v>
      </c>
      <c r="M1237" s="2" t="s">
        <v>3601</v>
      </c>
      <c r="N1237" s="54" t="s">
        <v>3980</v>
      </c>
      <c r="O1237" s="18">
        <v>44884</v>
      </c>
    </row>
    <row r="1238" spans="1:17" hidden="1" outlineLevel="1">
      <c r="A1238" s="1">
        <v>4</v>
      </c>
      <c r="F1238" s="22">
        <v>21111117</v>
      </c>
      <c r="M1238" s="2" t="s">
        <v>3602</v>
      </c>
      <c r="N1238" s="54" t="s">
        <v>3649</v>
      </c>
      <c r="O1238" s="18">
        <v>44887</v>
      </c>
    </row>
    <row r="1239" spans="1:17" hidden="1" outlineLevel="1">
      <c r="A1239" s="1">
        <v>5</v>
      </c>
      <c r="F1239" s="22">
        <v>21111118</v>
      </c>
      <c r="M1239" s="2" t="s">
        <v>3603</v>
      </c>
      <c r="N1239" s="54" t="s">
        <v>3981</v>
      </c>
      <c r="O1239" s="18">
        <v>44889</v>
      </c>
    </row>
    <row r="1240" spans="1:17" hidden="1" outlineLevel="1">
      <c r="A1240" s="1">
        <v>6</v>
      </c>
      <c r="F1240" s="22">
        <v>21111119</v>
      </c>
      <c r="M1240" s="2" t="s">
        <v>3602</v>
      </c>
      <c r="N1240" s="54" t="s">
        <v>3649</v>
      </c>
      <c r="O1240" s="18">
        <v>44887</v>
      </c>
    </row>
    <row r="1241" spans="1:17" hidden="1" outlineLevel="1">
      <c r="A1241" s="1">
        <v>7</v>
      </c>
      <c r="F1241" s="22">
        <v>21111138</v>
      </c>
      <c r="M1241" s="2" t="s">
        <v>172</v>
      </c>
      <c r="N1241" s="54" t="s">
        <v>3982</v>
      </c>
      <c r="O1241" s="18">
        <v>44890</v>
      </c>
    </row>
    <row r="1242" spans="1:17" hidden="1" outlineLevel="1">
      <c r="A1242" s="1">
        <v>8</v>
      </c>
      <c r="F1242" s="22">
        <v>21111139</v>
      </c>
      <c r="M1242" s="2" t="s">
        <v>3604</v>
      </c>
      <c r="N1242" s="54" t="s">
        <v>3848</v>
      </c>
      <c r="O1242" s="18">
        <v>44891</v>
      </c>
    </row>
    <row r="1243" spans="1:17" hidden="1" outlineLevel="1">
      <c r="A1243" s="1">
        <v>9</v>
      </c>
      <c r="F1243" s="22">
        <v>21111136</v>
      </c>
      <c r="M1243" s="2" t="s">
        <v>3605</v>
      </c>
      <c r="N1243" s="54" t="s">
        <v>3983</v>
      </c>
      <c r="O1243" s="18">
        <v>44891</v>
      </c>
    </row>
    <row r="1244" spans="1:17" hidden="1" outlineLevel="1">
      <c r="A1244" s="1">
        <v>10</v>
      </c>
      <c r="F1244" s="22">
        <v>21111137</v>
      </c>
      <c r="M1244" s="2" t="s">
        <v>3605</v>
      </c>
      <c r="N1244" s="54" t="s">
        <v>3983</v>
      </c>
      <c r="O1244" s="18">
        <v>44891</v>
      </c>
    </row>
    <row r="1245" spans="1:17" hidden="1" outlineLevel="1">
      <c r="A1245" s="1">
        <v>11</v>
      </c>
      <c r="F1245" s="22">
        <v>21110610</v>
      </c>
      <c r="N1245" s="54" t="s">
        <v>3977</v>
      </c>
      <c r="O1245" s="18">
        <v>44876</v>
      </c>
    </row>
    <row r="1246" spans="1:17" hidden="1" outlineLevel="1">
      <c r="A1246" s="1">
        <v>12</v>
      </c>
      <c r="F1246" s="22">
        <v>21110611</v>
      </c>
      <c r="N1246" s="54" t="s">
        <v>3725</v>
      </c>
      <c r="O1246" s="18">
        <v>44877</v>
      </c>
    </row>
    <row r="1247" spans="1:17" hidden="1" outlineLevel="1">
      <c r="A1247" s="1">
        <v>13</v>
      </c>
      <c r="F1247" s="22">
        <v>21110614</v>
      </c>
      <c r="N1247" s="54" t="s">
        <v>3984</v>
      </c>
      <c r="O1247" s="18">
        <v>44881</v>
      </c>
    </row>
    <row r="1248" spans="1:17" hidden="1" outlineLevel="1">
      <c r="A1248" s="1">
        <v>14</v>
      </c>
      <c r="F1248" s="22">
        <v>21110615</v>
      </c>
      <c r="N1248" s="54" t="s">
        <v>3976</v>
      </c>
      <c r="O1248" s="18">
        <v>44880</v>
      </c>
    </row>
    <row r="1249" spans="1:17" hidden="1" outlineLevel="1">
      <c r="A1249" s="1">
        <v>15</v>
      </c>
      <c r="F1249" s="22">
        <v>21111140</v>
      </c>
      <c r="N1249" s="54" t="s">
        <v>106</v>
      </c>
      <c r="O1249" s="18">
        <v>44896</v>
      </c>
    </row>
    <row r="1250" spans="1:17" hidden="1" outlineLevel="1">
      <c r="A1250" s="1">
        <v>16</v>
      </c>
      <c r="F1250" s="22">
        <v>21111141</v>
      </c>
      <c r="N1250" s="54" t="s">
        <v>106</v>
      </c>
      <c r="O1250" s="18">
        <v>44896</v>
      </c>
    </row>
    <row r="1251" spans="1:17" hidden="1" outlineLevel="1">
      <c r="A1251" s="8"/>
      <c r="B1251" s="58"/>
      <c r="C1251" s="159"/>
      <c r="D1251" s="8"/>
      <c r="E1251" s="8"/>
      <c r="F1251" s="9"/>
      <c r="G1251" s="8"/>
      <c r="H1251" s="8"/>
      <c r="I1251" s="8"/>
      <c r="J1251" s="132"/>
      <c r="K1251" s="8"/>
      <c r="L1251" s="58"/>
      <c r="M1251" s="8"/>
      <c r="N1251" s="133"/>
      <c r="O1251" s="58"/>
      <c r="P1251" s="8"/>
      <c r="Q1251" s="8"/>
    </row>
    <row r="1252" spans="1:17" hidden="1" outlineLevel="1">
      <c r="A1252" s="1">
        <v>1</v>
      </c>
      <c r="B1252" s="11" t="s">
        <v>7010</v>
      </c>
      <c r="C1252" s="160">
        <v>4867</v>
      </c>
      <c r="E1252" s="1" t="s">
        <v>3277</v>
      </c>
      <c r="F1252" s="22">
        <v>211163203241</v>
      </c>
      <c r="N1252" s="54" t="s">
        <v>3985</v>
      </c>
      <c r="O1252" s="18">
        <v>44915</v>
      </c>
      <c r="P1252" s="1" t="s">
        <v>4095</v>
      </c>
    </row>
    <row r="1253" spans="1:17" hidden="1" outlineLevel="1">
      <c r="A1253" s="1">
        <v>2</v>
      </c>
      <c r="F1253" s="22">
        <v>211063203289</v>
      </c>
      <c r="N1253" s="54" t="s">
        <v>3985</v>
      </c>
      <c r="O1253" s="18">
        <v>44915</v>
      </c>
    </row>
    <row r="1254" spans="1:17" hidden="1" outlineLevel="1">
      <c r="A1254" s="1">
        <v>3</v>
      </c>
      <c r="F1254" s="22">
        <v>211063203294</v>
      </c>
      <c r="N1254" s="54" t="s">
        <v>83</v>
      </c>
      <c r="O1254" s="18">
        <v>44912</v>
      </c>
    </row>
    <row r="1255" spans="1:17" hidden="1" outlineLevel="1">
      <c r="A1255" s="1">
        <v>4</v>
      </c>
      <c r="F1255" s="22">
        <v>211063203205</v>
      </c>
      <c r="N1255" s="54" t="s">
        <v>83</v>
      </c>
      <c r="O1255" s="18">
        <v>44912</v>
      </c>
    </row>
    <row r="1256" spans="1:17" hidden="1" outlineLevel="1">
      <c r="A1256" s="8"/>
      <c r="B1256" s="58"/>
      <c r="C1256" s="159"/>
      <c r="D1256" s="8"/>
      <c r="E1256" s="8"/>
      <c r="F1256" s="9"/>
      <c r="G1256" s="8"/>
      <c r="H1256" s="8"/>
      <c r="I1256" s="8"/>
      <c r="J1256" s="132"/>
      <c r="K1256" s="8"/>
      <c r="L1256" s="58"/>
      <c r="M1256" s="8"/>
      <c r="N1256" s="133"/>
      <c r="O1256" s="58"/>
      <c r="P1256" s="8"/>
      <c r="Q1256" s="8"/>
    </row>
    <row r="1257" spans="1:17" hidden="1" outlineLevel="1">
      <c r="A1257" s="1">
        <v>1</v>
      </c>
      <c r="B1257" s="11" t="s">
        <v>7010</v>
      </c>
      <c r="C1257" s="160">
        <v>4868</v>
      </c>
      <c r="E1257" s="1" t="s">
        <v>3278</v>
      </c>
      <c r="F1257" s="22">
        <v>211128144406</v>
      </c>
    </row>
    <row r="1258" spans="1:17" hidden="1" outlineLevel="1">
      <c r="A1258" s="1">
        <v>2</v>
      </c>
      <c r="F1258" s="22">
        <v>211128144463</v>
      </c>
    </row>
    <row r="1259" spans="1:17" hidden="1" outlineLevel="1">
      <c r="A1259" s="1">
        <v>3</v>
      </c>
      <c r="F1259" s="22">
        <v>211128144459</v>
      </c>
      <c r="N1259" s="54" t="s">
        <v>77</v>
      </c>
      <c r="O1259" s="18">
        <v>44572</v>
      </c>
    </row>
    <row r="1260" spans="1:17" hidden="1" outlineLevel="1">
      <c r="A1260" s="1">
        <v>4</v>
      </c>
      <c r="F1260" s="22">
        <v>211128144449</v>
      </c>
      <c r="N1260" s="54" t="s">
        <v>3986</v>
      </c>
      <c r="O1260" s="18">
        <v>44898</v>
      </c>
    </row>
    <row r="1261" spans="1:17" hidden="1" outlineLevel="1">
      <c r="A1261" s="1">
        <v>5</v>
      </c>
      <c r="F1261" s="22">
        <v>211128144478</v>
      </c>
    </row>
    <row r="1262" spans="1:17" hidden="1" outlineLevel="1">
      <c r="A1262" s="1">
        <v>6</v>
      </c>
      <c r="F1262" s="22">
        <v>211128144477</v>
      </c>
    </row>
    <row r="1263" spans="1:17" hidden="1" outlineLevel="1">
      <c r="A1263" s="1">
        <v>7</v>
      </c>
      <c r="F1263" s="22">
        <v>211128144448</v>
      </c>
    </row>
    <row r="1264" spans="1:17" hidden="1" outlineLevel="1">
      <c r="A1264" s="1">
        <v>8</v>
      </c>
      <c r="F1264" s="22">
        <v>211128144441</v>
      </c>
    </row>
    <row r="1265" spans="1:17" hidden="1" outlineLevel="1">
      <c r="A1265" s="1">
        <v>9</v>
      </c>
      <c r="F1265" s="22">
        <v>211128144473</v>
      </c>
    </row>
    <row r="1266" spans="1:17" hidden="1" outlineLevel="1">
      <c r="A1266" s="1">
        <v>10</v>
      </c>
      <c r="F1266" s="22">
        <v>211128144440</v>
      </c>
    </row>
    <row r="1267" spans="1:17" hidden="1" outlineLevel="1">
      <c r="A1267" s="8"/>
      <c r="B1267" s="58"/>
      <c r="C1267" s="159"/>
      <c r="D1267" s="8"/>
      <c r="E1267" s="8"/>
      <c r="F1267" s="9"/>
      <c r="G1267" s="8"/>
      <c r="H1267" s="8"/>
      <c r="I1267" s="8"/>
      <c r="J1267" s="132"/>
      <c r="K1267" s="8"/>
      <c r="L1267" s="58"/>
      <c r="M1267" s="8"/>
      <c r="N1267" s="133"/>
      <c r="O1267" s="58"/>
      <c r="P1267" s="8"/>
      <c r="Q1267" s="8"/>
    </row>
    <row r="1268" spans="1:17" hidden="1" outlineLevel="1">
      <c r="A1268" s="1">
        <v>1</v>
      </c>
      <c r="B1268" s="11" t="s">
        <v>7011</v>
      </c>
      <c r="C1268" s="160">
        <v>1115</v>
      </c>
      <c r="E1268" s="1" t="s">
        <v>3279</v>
      </c>
      <c r="F1268" s="22">
        <v>21112152</v>
      </c>
      <c r="N1268" s="54" t="s">
        <v>3759</v>
      </c>
      <c r="O1268" s="18">
        <v>44898</v>
      </c>
    </row>
    <row r="1269" spans="1:17" hidden="1" outlineLevel="1">
      <c r="A1269" s="1">
        <v>2</v>
      </c>
      <c r="F1269" s="22">
        <v>21112153</v>
      </c>
      <c r="N1269" s="54" t="s">
        <v>3987</v>
      </c>
      <c r="O1269" s="18">
        <v>44898</v>
      </c>
    </row>
    <row r="1270" spans="1:17" hidden="1" outlineLevel="1">
      <c r="A1270" s="1">
        <v>3</v>
      </c>
      <c r="F1270" s="22">
        <v>21112154</v>
      </c>
      <c r="N1270" s="54" t="s">
        <v>3057</v>
      </c>
      <c r="O1270" s="18">
        <v>44908</v>
      </c>
      <c r="P1270" s="1" t="s">
        <v>4096</v>
      </c>
    </row>
    <row r="1271" spans="1:17" hidden="1" outlineLevel="1">
      <c r="A1271" s="1">
        <v>4</v>
      </c>
      <c r="F1271" s="22">
        <v>21112155</v>
      </c>
      <c r="N1271" s="54" t="s">
        <v>3808</v>
      </c>
      <c r="O1271" s="18">
        <v>44903</v>
      </c>
    </row>
    <row r="1272" spans="1:17" hidden="1" outlineLevel="1">
      <c r="A1272" s="1">
        <v>5</v>
      </c>
      <c r="F1272" s="22">
        <v>21112156</v>
      </c>
      <c r="M1272" s="2" t="s">
        <v>3606</v>
      </c>
      <c r="N1272" s="54" t="s">
        <v>3051</v>
      </c>
      <c r="O1272" s="18">
        <v>44901</v>
      </c>
    </row>
    <row r="1273" spans="1:17" hidden="1" outlineLevel="1">
      <c r="A1273" s="1">
        <v>6</v>
      </c>
      <c r="F1273" s="22">
        <v>21112157</v>
      </c>
      <c r="M1273" s="2" t="s">
        <v>3607</v>
      </c>
      <c r="N1273" s="54" t="s">
        <v>106</v>
      </c>
      <c r="O1273" s="18">
        <v>44901</v>
      </c>
    </row>
    <row r="1274" spans="1:17" hidden="1" outlineLevel="1">
      <c r="A1274" s="1">
        <v>7</v>
      </c>
      <c r="F1274" s="22">
        <v>21112158</v>
      </c>
      <c r="M1274" s="2" t="s">
        <v>3608</v>
      </c>
      <c r="N1274" s="54" t="s">
        <v>3772</v>
      </c>
      <c r="O1274" s="18">
        <v>44894</v>
      </c>
    </row>
    <row r="1275" spans="1:17" hidden="1" outlineLevel="1">
      <c r="A1275" s="1">
        <v>8</v>
      </c>
      <c r="F1275" s="22">
        <v>21112159</v>
      </c>
      <c r="N1275" s="54" t="s">
        <v>3939</v>
      </c>
      <c r="O1275" s="18">
        <v>44895</v>
      </c>
    </row>
    <row r="1276" spans="1:17" hidden="1" outlineLevel="1">
      <c r="A1276" s="1">
        <v>9</v>
      </c>
      <c r="F1276" s="22">
        <v>21112160</v>
      </c>
      <c r="M1276" s="2" t="s">
        <v>3609</v>
      </c>
      <c r="N1276" s="54" t="s">
        <v>356</v>
      </c>
      <c r="O1276" s="18">
        <v>44902</v>
      </c>
    </row>
    <row r="1277" spans="1:17" hidden="1" outlineLevel="1">
      <c r="A1277" s="1">
        <v>10</v>
      </c>
      <c r="F1277" s="22">
        <v>21112161</v>
      </c>
      <c r="M1277" s="2" t="s">
        <v>3610</v>
      </c>
      <c r="N1277" s="54" t="s">
        <v>3974</v>
      </c>
      <c r="O1277" s="18">
        <v>44904</v>
      </c>
    </row>
    <row r="1278" spans="1:17" hidden="1" outlineLevel="1">
      <c r="A1278" s="1">
        <v>11</v>
      </c>
      <c r="F1278" s="22">
        <v>21112162</v>
      </c>
      <c r="M1278" s="2" t="s">
        <v>3611</v>
      </c>
      <c r="N1278" s="54" t="s">
        <v>111</v>
      </c>
      <c r="O1278" s="18">
        <v>44898</v>
      </c>
    </row>
    <row r="1279" spans="1:17" hidden="1" outlineLevel="1">
      <c r="A1279" s="1">
        <v>12</v>
      </c>
      <c r="F1279" s="22">
        <v>21112163</v>
      </c>
      <c r="M1279" s="2" t="s">
        <v>3612</v>
      </c>
      <c r="N1279" s="54" t="s">
        <v>382</v>
      </c>
      <c r="O1279" s="18">
        <v>44897</v>
      </c>
    </row>
    <row r="1280" spans="1:17" hidden="1" outlineLevel="1">
      <c r="A1280" s="1">
        <v>13</v>
      </c>
      <c r="F1280" s="22">
        <v>21112164</v>
      </c>
      <c r="N1280" s="54" t="s">
        <v>335</v>
      </c>
      <c r="O1280" s="18">
        <v>44896</v>
      </c>
    </row>
    <row r="1281" spans="1:17" hidden="1" outlineLevel="1">
      <c r="A1281" s="1">
        <v>14</v>
      </c>
      <c r="F1281" s="22">
        <v>21112165</v>
      </c>
      <c r="N1281" s="54" t="s">
        <v>3946</v>
      </c>
      <c r="O1281" s="18">
        <v>44896</v>
      </c>
    </row>
    <row r="1282" spans="1:17" hidden="1" outlineLevel="1">
      <c r="A1282" s="1">
        <v>15</v>
      </c>
      <c r="F1282" s="22">
        <v>21112166</v>
      </c>
      <c r="N1282" s="54" t="s">
        <v>95</v>
      </c>
      <c r="O1282" s="18">
        <v>44908</v>
      </c>
    </row>
    <row r="1283" spans="1:17" hidden="1" outlineLevel="1">
      <c r="A1283" s="1">
        <v>16</v>
      </c>
      <c r="F1283" s="22">
        <v>21112167</v>
      </c>
      <c r="N1283" s="54" t="s">
        <v>95</v>
      </c>
      <c r="O1283" s="18">
        <v>44908</v>
      </c>
    </row>
    <row r="1284" spans="1:17" hidden="1" outlineLevel="1">
      <c r="A1284" s="8"/>
      <c r="B1284" s="58"/>
      <c r="C1284" s="159"/>
      <c r="D1284" s="8"/>
      <c r="E1284" s="8"/>
      <c r="F1284" s="9"/>
      <c r="G1284" s="8"/>
      <c r="H1284" s="8"/>
      <c r="I1284" s="8"/>
      <c r="J1284" s="132"/>
      <c r="K1284" s="8"/>
      <c r="L1284" s="58"/>
      <c r="M1284" s="8"/>
      <c r="N1284" s="133"/>
      <c r="O1284" s="58"/>
      <c r="P1284" s="8"/>
      <c r="Q1284" s="8"/>
    </row>
    <row r="1285" spans="1:17" hidden="1" outlineLevel="1">
      <c r="A1285" s="1">
        <v>1</v>
      </c>
      <c r="B1285" s="11" t="s">
        <v>7012</v>
      </c>
      <c r="C1285" s="160">
        <v>5016</v>
      </c>
      <c r="E1285" s="1" t="s">
        <v>3280</v>
      </c>
      <c r="F1285" s="22">
        <v>211163209963</v>
      </c>
      <c r="M1285" s="2" t="s">
        <v>3613</v>
      </c>
      <c r="N1285" s="54" t="s">
        <v>3988</v>
      </c>
      <c r="O1285" s="18">
        <v>44901</v>
      </c>
    </row>
    <row r="1286" spans="1:17" hidden="1" outlineLevel="1">
      <c r="A1286" s="1">
        <v>2</v>
      </c>
      <c r="F1286" s="22">
        <v>211163209992</v>
      </c>
      <c r="M1286" s="2" t="s">
        <v>3614</v>
      </c>
      <c r="N1286" s="54" t="s">
        <v>3989</v>
      </c>
      <c r="O1286" s="18">
        <v>44916</v>
      </c>
    </row>
    <row r="1287" spans="1:17" hidden="1" outlineLevel="1">
      <c r="A1287" s="1">
        <v>3</v>
      </c>
      <c r="F1287" s="22">
        <v>211163211003</v>
      </c>
      <c r="N1287" s="54" t="s">
        <v>3985</v>
      </c>
      <c r="O1287" s="18">
        <v>44915</v>
      </c>
    </row>
    <row r="1288" spans="1:17" hidden="1" outlineLevel="1">
      <c r="A1288" s="1">
        <v>4</v>
      </c>
      <c r="F1288" s="22">
        <v>211163211005</v>
      </c>
      <c r="N1288" s="54" t="s">
        <v>3985</v>
      </c>
      <c r="O1288" s="18">
        <v>44915</v>
      </c>
    </row>
    <row r="1289" spans="1:17" hidden="1" outlineLevel="1">
      <c r="A1289" s="8"/>
      <c r="B1289" s="58"/>
      <c r="C1289" s="159"/>
      <c r="D1289" s="8"/>
      <c r="E1289" s="8"/>
      <c r="F1289" s="9"/>
      <c r="G1289" s="8"/>
      <c r="H1289" s="8"/>
      <c r="I1289" s="8"/>
      <c r="J1289" s="132"/>
      <c r="K1289" s="8"/>
      <c r="L1289" s="58"/>
      <c r="M1289" s="8"/>
      <c r="N1289" s="133"/>
      <c r="O1289" s="58"/>
      <c r="P1289" s="8"/>
      <c r="Q1289" s="8"/>
    </row>
    <row r="1290" spans="1:17" hidden="1" outlineLevel="1">
      <c r="A1290" s="1">
        <v>1</v>
      </c>
      <c r="B1290" s="11" t="s">
        <v>7013</v>
      </c>
      <c r="C1290" s="160">
        <v>5017</v>
      </c>
      <c r="E1290" s="1" t="s">
        <v>3281</v>
      </c>
      <c r="F1290" s="22">
        <v>211163210024</v>
      </c>
      <c r="N1290" s="54" t="s">
        <v>3990</v>
      </c>
      <c r="O1290" s="18">
        <v>44924</v>
      </c>
    </row>
    <row r="1291" spans="1:17" hidden="1" outlineLevel="1">
      <c r="A1291" s="1">
        <v>2</v>
      </c>
      <c r="F1291" s="22">
        <v>211163210025</v>
      </c>
      <c r="M1291" s="2" t="s">
        <v>3615</v>
      </c>
      <c r="N1291" s="54" t="s">
        <v>3991</v>
      </c>
      <c r="O1291" s="18">
        <v>44919</v>
      </c>
    </row>
    <row r="1292" spans="1:17" hidden="1" outlineLevel="1">
      <c r="A1292" s="1">
        <v>3</v>
      </c>
      <c r="F1292" s="22">
        <v>211163209966</v>
      </c>
      <c r="N1292" s="54" t="s">
        <v>157</v>
      </c>
      <c r="O1292" s="18">
        <v>44922</v>
      </c>
    </row>
    <row r="1293" spans="1:17" hidden="1" outlineLevel="1">
      <c r="A1293" s="1">
        <v>4</v>
      </c>
      <c r="F1293" s="22">
        <v>211163209998</v>
      </c>
      <c r="N1293" s="54" t="s">
        <v>157</v>
      </c>
      <c r="O1293" s="18">
        <v>44922</v>
      </c>
    </row>
    <row r="1294" spans="1:17" hidden="1" outlineLevel="1">
      <c r="A1294" s="1">
        <v>5</v>
      </c>
      <c r="F1294" s="22">
        <v>211163210977</v>
      </c>
      <c r="N1294" s="54" t="s">
        <v>157</v>
      </c>
      <c r="O1294" s="18">
        <v>44915</v>
      </c>
    </row>
    <row r="1295" spans="1:17" hidden="1" outlineLevel="1">
      <c r="A1295" s="1">
        <v>6</v>
      </c>
      <c r="F1295" s="22">
        <v>211163210972</v>
      </c>
      <c r="N1295" s="54" t="s">
        <v>157</v>
      </c>
      <c r="O1295" s="18">
        <v>44915</v>
      </c>
    </row>
    <row r="1296" spans="1:17" hidden="1" outlineLevel="1">
      <c r="A1296" s="1">
        <v>7</v>
      </c>
      <c r="F1296" s="22">
        <v>211163213488</v>
      </c>
      <c r="N1296" s="54" t="s">
        <v>3985</v>
      </c>
      <c r="O1296" s="18">
        <v>44911</v>
      </c>
    </row>
    <row r="1297" spans="1:17" hidden="1" outlineLevel="1">
      <c r="A1297" s="1">
        <v>8</v>
      </c>
      <c r="F1297" s="22">
        <v>211163213439</v>
      </c>
      <c r="N1297" s="54" t="s">
        <v>3985</v>
      </c>
      <c r="O1297" s="18">
        <v>44911</v>
      </c>
    </row>
    <row r="1298" spans="1:17" hidden="1" outlineLevel="1">
      <c r="A1298" s="1">
        <v>9</v>
      </c>
      <c r="F1298" s="22">
        <v>211163210966</v>
      </c>
      <c r="N1298" s="54" t="s">
        <v>3985</v>
      </c>
      <c r="O1298" s="18">
        <v>44911</v>
      </c>
    </row>
    <row r="1299" spans="1:17" hidden="1" outlineLevel="1">
      <c r="A1299" s="1">
        <v>10</v>
      </c>
      <c r="F1299" s="22">
        <v>211163210994</v>
      </c>
      <c r="N1299" s="54" t="s">
        <v>3985</v>
      </c>
      <c r="O1299" s="18">
        <v>44911</v>
      </c>
    </row>
    <row r="1300" spans="1:17" hidden="1" outlineLevel="1">
      <c r="A1300" s="8"/>
      <c r="B1300" s="58"/>
      <c r="C1300" s="159"/>
      <c r="D1300" s="8"/>
      <c r="E1300" s="8"/>
      <c r="F1300" s="9"/>
      <c r="G1300" s="8"/>
      <c r="H1300" s="8"/>
      <c r="I1300" s="8"/>
      <c r="J1300" s="132"/>
      <c r="K1300" s="8"/>
      <c r="L1300" s="58"/>
      <c r="M1300" s="8"/>
      <c r="N1300" s="133"/>
      <c r="O1300" s="58"/>
      <c r="P1300" s="8"/>
      <c r="Q1300" s="8"/>
    </row>
    <row r="1301" spans="1:17" hidden="1" outlineLevel="1">
      <c r="A1301" s="1">
        <v>1</v>
      </c>
      <c r="B1301" s="11" t="s">
        <v>7014</v>
      </c>
      <c r="C1301" s="160">
        <v>1182</v>
      </c>
      <c r="E1301" s="1" t="s">
        <v>3258</v>
      </c>
      <c r="F1301" s="22">
        <v>21120747</v>
      </c>
      <c r="N1301" s="54" t="s">
        <v>347</v>
      </c>
      <c r="O1301" s="18">
        <v>44573</v>
      </c>
    </row>
    <row r="1302" spans="1:17" hidden="1" outlineLevel="1">
      <c r="A1302" s="1">
        <v>2</v>
      </c>
      <c r="F1302" s="22">
        <v>21120748</v>
      </c>
      <c r="N1302" s="54" t="s">
        <v>347</v>
      </c>
      <c r="O1302" s="18">
        <v>44573</v>
      </c>
    </row>
    <row r="1303" spans="1:17" hidden="1" outlineLevel="1">
      <c r="A1303" s="1">
        <v>3</v>
      </c>
      <c r="F1303" s="22">
        <v>21120749</v>
      </c>
      <c r="N1303" s="54" t="s">
        <v>126</v>
      </c>
      <c r="O1303" s="18">
        <v>44909</v>
      </c>
    </row>
    <row r="1304" spans="1:17" hidden="1" outlineLevel="1">
      <c r="A1304" s="1">
        <v>4</v>
      </c>
      <c r="F1304" s="22">
        <v>21120750</v>
      </c>
      <c r="M1304" s="2" t="s">
        <v>3616</v>
      </c>
      <c r="N1304" s="54" t="s">
        <v>3039</v>
      </c>
      <c r="O1304" s="18">
        <v>44916</v>
      </c>
    </row>
    <row r="1305" spans="1:17" hidden="1" outlineLevel="1">
      <c r="A1305" s="1">
        <v>5</v>
      </c>
      <c r="F1305" s="22">
        <v>21120751</v>
      </c>
      <c r="N1305" s="54" t="s">
        <v>106</v>
      </c>
      <c r="O1305" s="18">
        <v>44573</v>
      </c>
    </row>
    <row r="1306" spans="1:17" hidden="1" outlineLevel="1">
      <c r="A1306" s="1">
        <v>6</v>
      </c>
      <c r="F1306" s="22">
        <v>21120752</v>
      </c>
      <c r="N1306" s="54" t="s">
        <v>106</v>
      </c>
      <c r="O1306" s="18">
        <v>44573</v>
      </c>
    </row>
    <row r="1307" spans="1:17" hidden="1" outlineLevel="1">
      <c r="A1307" s="1">
        <v>7</v>
      </c>
      <c r="F1307" s="22">
        <v>21120159</v>
      </c>
      <c r="N1307" s="54" t="s">
        <v>95</v>
      </c>
      <c r="O1307" s="18">
        <v>44917</v>
      </c>
    </row>
    <row r="1308" spans="1:17" hidden="1" outlineLevel="1">
      <c r="A1308" s="1">
        <v>8</v>
      </c>
      <c r="F1308" s="22">
        <v>21120160</v>
      </c>
      <c r="N1308" s="54" t="s">
        <v>95</v>
      </c>
      <c r="O1308" s="18">
        <v>44917</v>
      </c>
    </row>
    <row r="1309" spans="1:17" hidden="1" outlineLevel="1">
      <c r="A1309" s="1">
        <v>9</v>
      </c>
      <c r="F1309" s="22">
        <v>21120161</v>
      </c>
      <c r="N1309" s="54" t="s">
        <v>3992</v>
      </c>
      <c r="O1309" s="18">
        <v>44917</v>
      </c>
    </row>
    <row r="1310" spans="1:17" hidden="1" outlineLevel="1">
      <c r="A1310" s="1">
        <v>10</v>
      </c>
      <c r="F1310" s="22">
        <v>21120162</v>
      </c>
      <c r="N1310" s="54" t="s">
        <v>3992</v>
      </c>
      <c r="O1310" s="18">
        <v>44917</v>
      </c>
    </row>
    <row r="1311" spans="1:17" hidden="1" outlineLevel="1">
      <c r="A1311" s="8"/>
      <c r="B1311" s="58"/>
      <c r="C1311" s="159"/>
      <c r="D1311" s="8"/>
      <c r="E1311" s="8"/>
      <c r="F1311" s="9"/>
      <c r="G1311" s="8"/>
      <c r="H1311" s="8"/>
      <c r="I1311" s="8"/>
      <c r="J1311" s="132"/>
      <c r="K1311" s="8"/>
      <c r="L1311" s="58"/>
      <c r="M1311" s="8"/>
      <c r="N1311" s="133"/>
      <c r="O1311" s="58"/>
      <c r="P1311" s="8"/>
      <c r="Q1311" s="8"/>
    </row>
    <row r="1312" spans="1:17" hidden="1" outlineLevel="1">
      <c r="A1312" s="1">
        <v>1</v>
      </c>
      <c r="B1312" s="11" t="s">
        <v>7015</v>
      </c>
      <c r="C1312" s="160">
        <v>5311</v>
      </c>
      <c r="E1312" s="1" t="s">
        <v>3282</v>
      </c>
      <c r="F1312" s="22">
        <v>210963196924</v>
      </c>
      <c r="N1312" s="54" t="s">
        <v>83</v>
      </c>
      <c r="O1312" s="18">
        <v>44913</v>
      </c>
    </row>
    <row r="1313" spans="1:17" hidden="1" outlineLevel="1">
      <c r="A1313" s="1">
        <v>2</v>
      </c>
      <c r="F1313" s="22">
        <v>210963196961</v>
      </c>
      <c r="N1313" s="54" t="s">
        <v>83</v>
      </c>
      <c r="O1313" s="18">
        <v>44913</v>
      </c>
    </row>
    <row r="1314" spans="1:17" hidden="1" outlineLevel="1">
      <c r="A1314" s="1">
        <v>3</v>
      </c>
      <c r="F1314" s="22">
        <v>210963196902</v>
      </c>
      <c r="N1314" s="54" t="s">
        <v>83</v>
      </c>
      <c r="O1314" s="18">
        <v>44913</v>
      </c>
    </row>
    <row r="1315" spans="1:17" hidden="1" outlineLevel="1">
      <c r="A1315" s="1">
        <v>4</v>
      </c>
      <c r="F1315" s="22">
        <v>210963196922</v>
      </c>
      <c r="N1315" s="54" t="s">
        <v>83</v>
      </c>
      <c r="O1315" s="18">
        <v>44913</v>
      </c>
    </row>
    <row r="1316" spans="1:17" hidden="1" outlineLevel="1">
      <c r="A1316" s="1">
        <v>5</v>
      </c>
      <c r="F1316" s="22">
        <v>210963196994</v>
      </c>
      <c r="N1316" s="54" t="s">
        <v>3945</v>
      </c>
      <c r="O1316" s="18">
        <v>44580</v>
      </c>
    </row>
    <row r="1317" spans="1:17" hidden="1" outlineLevel="1">
      <c r="A1317" s="1">
        <v>6</v>
      </c>
      <c r="F1317" s="22">
        <v>210963196976</v>
      </c>
      <c r="N1317" s="54" t="s">
        <v>83</v>
      </c>
      <c r="O1317" s="18">
        <v>44915</v>
      </c>
    </row>
    <row r="1318" spans="1:17" hidden="1" outlineLevel="1">
      <c r="A1318" s="1">
        <v>7</v>
      </c>
      <c r="F1318" s="22">
        <v>210963196925</v>
      </c>
      <c r="N1318" s="54" t="s">
        <v>83</v>
      </c>
      <c r="O1318" s="18">
        <v>44915</v>
      </c>
    </row>
    <row r="1319" spans="1:17" hidden="1" outlineLevel="1">
      <c r="A1319" s="1">
        <v>8</v>
      </c>
      <c r="F1319" s="22">
        <v>210963196932</v>
      </c>
      <c r="N1319" s="54" t="s">
        <v>83</v>
      </c>
      <c r="O1319" s="18">
        <v>44915</v>
      </c>
    </row>
    <row r="1320" spans="1:17" hidden="1" outlineLevel="1">
      <c r="A1320" s="1">
        <v>9</v>
      </c>
      <c r="F1320" s="22">
        <v>210963196967</v>
      </c>
      <c r="N1320" s="54" t="s">
        <v>83</v>
      </c>
      <c r="O1320" s="18">
        <v>44922</v>
      </c>
    </row>
    <row r="1321" spans="1:17" hidden="1" outlineLevel="1">
      <c r="A1321" s="1">
        <v>10</v>
      </c>
      <c r="F1321" s="22">
        <v>210963196996</v>
      </c>
      <c r="N1321" s="54" t="s">
        <v>83</v>
      </c>
      <c r="O1321" s="18">
        <v>44915</v>
      </c>
    </row>
    <row r="1322" spans="1:17" hidden="1" outlineLevel="1">
      <c r="A1322" s="8"/>
      <c r="B1322" s="58"/>
      <c r="C1322" s="159"/>
      <c r="D1322" s="8"/>
      <c r="E1322" s="8"/>
      <c r="F1322" s="9"/>
      <c r="G1322" s="8"/>
      <c r="H1322" s="8"/>
      <c r="I1322" s="8"/>
      <c r="J1322" s="132"/>
      <c r="K1322" s="8"/>
      <c r="L1322" s="58"/>
      <c r="M1322" s="8"/>
      <c r="N1322" s="133"/>
      <c r="O1322" s="58"/>
      <c r="P1322" s="8"/>
      <c r="Q1322" s="8"/>
    </row>
    <row r="1323" spans="1:17" hidden="1" outlineLevel="1">
      <c r="A1323" s="1">
        <v>1</v>
      </c>
      <c r="B1323" s="11">
        <v>44547</v>
      </c>
      <c r="C1323" s="160">
        <v>1192</v>
      </c>
      <c r="E1323" s="1" t="s">
        <v>3258</v>
      </c>
      <c r="F1323" s="22">
        <v>21121490</v>
      </c>
      <c r="N1323" s="54" t="s">
        <v>66</v>
      </c>
      <c r="O1323" s="18">
        <v>44571</v>
      </c>
      <c r="P1323" s="1" t="s">
        <v>4097</v>
      </c>
    </row>
    <row r="1324" spans="1:17" hidden="1" outlineLevel="1">
      <c r="A1324" s="1">
        <v>2</v>
      </c>
      <c r="F1324" s="22">
        <v>21121491</v>
      </c>
      <c r="N1324" s="54" t="s">
        <v>66</v>
      </c>
      <c r="O1324" s="18">
        <v>44571</v>
      </c>
    </row>
    <row r="1325" spans="1:17" hidden="1" outlineLevel="1">
      <c r="A1325" s="1">
        <v>3</v>
      </c>
      <c r="F1325" s="22">
        <v>21121492</v>
      </c>
      <c r="N1325" s="54" t="s">
        <v>3993</v>
      </c>
      <c r="O1325" s="18">
        <v>44922</v>
      </c>
    </row>
    <row r="1326" spans="1:17" hidden="1" outlineLevel="1">
      <c r="A1326" s="1">
        <v>4</v>
      </c>
      <c r="F1326" s="22">
        <v>21121493</v>
      </c>
      <c r="N1326" s="54" t="s">
        <v>3994</v>
      </c>
      <c r="O1326" s="18">
        <v>44571</v>
      </c>
    </row>
    <row r="1327" spans="1:17" hidden="1" outlineLevel="1">
      <c r="A1327" s="1">
        <v>5</v>
      </c>
      <c r="F1327" s="22">
        <v>21121494</v>
      </c>
      <c r="N1327" s="54" t="s">
        <v>66</v>
      </c>
      <c r="O1327" s="18">
        <v>44571</v>
      </c>
      <c r="P1327" s="1" t="s">
        <v>4098</v>
      </c>
    </row>
    <row r="1328" spans="1:17" hidden="1" outlineLevel="1">
      <c r="A1328" s="1">
        <v>6</v>
      </c>
      <c r="F1328" s="22">
        <v>21121495</v>
      </c>
      <c r="N1328" s="54" t="s">
        <v>66</v>
      </c>
      <c r="O1328" s="18">
        <v>44571</v>
      </c>
      <c r="P1328" s="1" t="s">
        <v>4099</v>
      </c>
    </row>
    <row r="1329" spans="1:17" hidden="1" outlineLevel="1">
      <c r="A1329" s="1">
        <v>7</v>
      </c>
      <c r="F1329" s="22">
        <v>21121500</v>
      </c>
      <c r="M1329" s="2" t="s">
        <v>3617</v>
      </c>
      <c r="N1329" s="54" t="s">
        <v>111</v>
      </c>
      <c r="O1329" s="18">
        <v>44586</v>
      </c>
      <c r="P1329" s="1" t="s">
        <v>4100</v>
      </c>
    </row>
    <row r="1330" spans="1:17" hidden="1" outlineLevel="1">
      <c r="A1330" s="1">
        <v>8</v>
      </c>
      <c r="F1330" s="22">
        <v>21121501</v>
      </c>
      <c r="N1330" s="54" t="s">
        <v>83</v>
      </c>
      <c r="O1330" s="18">
        <v>44578</v>
      </c>
      <c r="P1330" s="1" t="s">
        <v>4101</v>
      </c>
    </row>
    <row r="1331" spans="1:17" hidden="1" outlineLevel="1">
      <c r="A1331" s="1">
        <v>9</v>
      </c>
      <c r="F1331" s="22">
        <v>21121502</v>
      </c>
      <c r="M1331" s="2" t="s">
        <v>3618</v>
      </c>
      <c r="N1331" s="54" t="s">
        <v>3995</v>
      </c>
      <c r="O1331" s="18">
        <v>44574</v>
      </c>
      <c r="P1331" s="1" t="s">
        <v>4102</v>
      </c>
    </row>
    <row r="1332" spans="1:17" hidden="1" outlineLevel="1">
      <c r="A1332" s="1">
        <v>10</v>
      </c>
      <c r="F1332" s="22">
        <v>21121503</v>
      </c>
      <c r="M1332" s="2" t="s">
        <v>3619</v>
      </c>
      <c r="N1332" s="54" t="s">
        <v>3977</v>
      </c>
      <c r="O1332" s="18">
        <v>44575</v>
      </c>
    </row>
    <row r="1333" spans="1:17" hidden="1" outlineLevel="1">
      <c r="A1333" s="8"/>
      <c r="B1333" s="58"/>
      <c r="C1333" s="159"/>
      <c r="D1333" s="8"/>
      <c r="E1333" s="8"/>
      <c r="F1333" s="9"/>
      <c r="G1333" s="8"/>
      <c r="H1333" s="8"/>
      <c r="I1333" s="8"/>
      <c r="J1333" s="132"/>
      <c r="K1333" s="8"/>
      <c r="L1333" s="58"/>
      <c r="M1333" s="8"/>
      <c r="N1333" s="133"/>
      <c r="O1333" s="58"/>
      <c r="P1333" s="8"/>
      <c r="Q1333" s="8"/>
    </row>
    <row r="1334" spans="1:17" hidden="1" outlineLevel="1">
      <c r="A1334" s="1">
        <v>1</v>
      </c>
      <c r="B1334" s="11" t="s">
        <v>7016</v>
      </c>
      <c r="C1334" s="160">
        <v>5418</v>
      </c>
      <c r="E1334" s="1" t="s">
        <v>3283</v>
      </c>
      <c r="F1334" s="22">
        <v>211263219624</v>
      </c>
      <c r="I1334" s="2" t="s">
        <v>46</v>
      </c>
      <c r="M1334" s="2" t="s">
        <v>3620</v>
      </c>
      <c r="N1334" s="54" t="s">
        <v>3996</v>
      </c>
      <c r="O1334" s="18">
        <v>44631</v>
      </c>
    </row>
    <row r="1335" spans="1:17" hidden="1" outlineLevel="1">
      <c r="A1335" s="1">
        <v>2</v>
      </c>
      <c r="F1335" s="22">
        <v>211263219618</v>
      </c>
      <c r="I1335" s="2" t="s">
        <v>46</v>
      </c>
      <c r="M1335" s="2" t="s">
        <v>3620</v>
      </c>
      <c r="N1335" s="54" t="s">
        <v>3996</v>
      </c>
      <c r="O1335" s="18">
        <v>44631</v>
      </c>
    </row>
    <row r="1336" spans="1:17" hidden="1" outlineLevel="1">
      <c r="A1336" s="1">
        <v>3</v>
      </c>
      <c r="F1336" s="22">
        <v>211263219610</v>
      </c>
    </row>
    <row r="1337" spans="1:17" hidden="1" outlineLevel="1">
      <c r="A1337" s="1">
        <v>4</v>
      </c>
      <c r="F1337" s="22">
        <v>211263219464</v>
      </c>
    </row>
    <row r="1338" spans="1:17" hidden="1" outlineLevel="1">
      <c r="A1338" s="1">
        <v>5</v>
      </c>
      <c r="F1338" s="22">
        <v>211263219488</v>
      </c>
      <c r="I1338" s="2" t="s">
        <v>46</v>
      </c>
      <c r="N1338" s="54" t="s">
        <v>3997</v>
      </c>
      <c r="O1338" s="18">
        <v>44616</v>
      </c>
    </row>
    <row r="1339" spans="1:17" hidden="1" outlineLevel="1">
      <c r="A1339" s="1">
        <v>6</v>
      </c>
      <c r="F1339" s="22">
        <v>211263219461</v>
      </c>
      <c r="I1339" s="2" t="s">
        <v>46</v>
      </c>
      <c r="N1339" s="54" t="s">
        <v>3997</v>
      </c>
      <c r="O1339" s="18">
        <v>44616</v>
      </c>
    </row>
    <row r="1340" spans="1:17" hidden="1" outlineLevel="1">
      <c r="A1340" s="1">
        <v>7</v>
      </c>
      <c r="F1340" s="22">
        <v>211263219613</v>
      </c>
      <c r="I1340" s="2" t="s">
        <v>46</v>
      </c>
      <c r="N1340" s="54" t="s">
        <v>3998</v>
      </c>
      <c r="O1340" s="18">
        <v>44596</v>
      </c>
    </row>
    <row r="1341" spans="1:17" hidden="1" outlineLevel="1">
      <c r="A1341" s="1">
        <v>8</v>
      </c>
      <c r="F1341" s="22">
        <v>211263219646</v>
      </c>
      <c r="I1341" s="2" t="s">
        <v>46</v>
      </c>
      <c r="N1341" s="54" t="s">
        <v>157</v>
      </c>
      <c r="O1341" s="18">
        <v>44616</v>
      </c>
    </row>
    <row r="1342" spans="1:17" hidden="1" outlineLevel="1">
      <c r="A1342" s="1">
        <v>9</v>
      </c>
      <c r="F1342" s="22">
        <v>211263219633</v>
      </c>
    </row>
    <row r="1343" spans="1:17" hidden="1" outlineLevel="1">
      <c r="A1343" s="1">
        <v>10</v>
      </c>
      <c r="F1343" s="22">
        <v>211263219473</v>
      </c>
    </row>
    <row r="1344" spans="1:17" hidden="1" outlineLevel="1">
      <c r="A1344" s="1">
        <v>11</v>
      </c>
      <c r="F1344" s="22">
        <v>211263219615</v>
      </c>
    </row>
    <row r="1345" spans="1:17" hidden="1" outlineLevel="1">
      <c r="A1345" s="1">
        <v>12</v>
      </c>
      <c r="F1345" s="22">
        <v>211263219631</v>
      </c>
    </row>
    <row r="1346" spans="1:17" hidden="1" outlineLevel="1">
      <c r="A1346" s="1">
        <v>13</v>
      </c>
      <c r="F1346" s="22">
        <v>211263219637</v>
      </c>
    </row>
    <row r="1347" spans="1:17" hidden="1" outlineLevel="1">
      <c r="A1347" s="1">
        <v>14</v>
      </c>
      <c r="F1347" s="22">
        <v>211263219470</v>
      </c>
    </row>
    <row r="1348" spans="1:17" hidden="1" outlineLevel="1">
      <c r="A1348" s="1">
        <v>15</v>
      </c>
      <c r="F1348" s="22">
        <v>211263219492</v>
      </c>
    </row>
    <row r="1349" spans="1:17" hidden="1" outlineLevel="1">
      <c r="A1349" s="1">
        <v>16</v>
      </c>
      <c r="F1349" s="22">
        <v>211263219629</v>
      </c>
      <c r="I1349" s="2" t="s">
        <v>46</v>
      </c>
      <c r="N1349" s="54" t="s">
        <v>3241</v>
      </c>
      <c r="O1349" s="18">
        <v>44641</v>
      </c>
    </row>
    <row r="1350" spans="1:17" hidden="1" outlineLevel="1">
      <c r="A1350" s="1">
        <v>17</v>
      </c>
      <c r="F1350" s="22">
        <v>211263219547</v>
      </c>
    </row>
    <row r="1351" spans="1:17" hidden="1" outlineLevel="1">
      <c r="A1351" s="1">
        <v>18</v>
      </c>
      <c r="F1351" s="22">
        <v>211263219484</v>
      </c>
    </row>
    <row r="1352" spans="1:17" hidden="1" outlineLevel="1">
      <c r="A1352" s="1">
        <v>19</v>
      </c>
      <c r="F1352" s="22">
        <v>211253219465</v>
      </c>
    </row>
    <row r="1353" spans="1:17" hidden="1" outlineLevel="1">
      <c r="A1353" s="1">
        <v>20</v>
      </c>
      <c r="F1353" s="22">
        <v>211263219625</v>
      </c>
    </row>
    <row r="1354" spans="1:17" hidden="1" outlineLevel="1">
      <c r="A1354" s="1">
        <v>21</v>
      </c>
      <c r="F1354" s="22">
        <v>211263219834</v>
      </c>
      <c r="I1354" s="2" t="s">
        <v>46</v>
      </c>
      <c r="N1354" s="54" t="s">
        <v>3908</v>
      </c>
      <c r="O1354" s="18">
        <v>44594</v>
      </c>
    </row>
    <row r="1355" spans="1:17" hidden="1" outlineLevel="1">
      <c r="A1355" s="1">
        <v>22</v>
      </c>
      <c r="F1355" s="22">
        <v>211263219638</v>
      </c>
      <c r="I1355" s="2" t="s">
        <v>46</v>
      </c>
      <c r="N1355" s="54" t="s">
        <v>3908</v>
      </c>
      <c r="O1355" s="18">
        <v>44594</v>
      </c>
    </row>
    <row r="1356" spans="1:17" collapsed="1">
      <c r="A1356" s="8">
        <v>2022</v>
      </c>
      <c r="B1356" s="58"/>
      <c r="C1356" s="159"/>
      <c r="D1356" s="8"/>
      <c r="E1356" s="8"/>
      <c r="F1356" s="9"/>
      <c r="G1356" s="8"/>
      <c r="H1356" s="8"/>
      <c r="I1356" s="8"/>
      <c r="J1356" s="132"/>
      <c r="K1356" s="8"/>
      <c r="L1356" s="58"/>
      <c r="M1356" s="8"/>
      <c r="N1356" s="133"/>
      <c r="O1356" s="58"/>
      <c r="P1356" s="8"/>
      <c r="Q1356" s="8"/>
    </row>
    <row r="1357" spans="1:17">
      <c r="A1357" s="1">
        <v>1</v>
      </c>
      <c r="B1357" s="11" t="s">
        <v>7017</v>
      </c>
      <c r="C1357" s="160">
        <v>17</v>
      </c>
      <c r="E1357" s="1" t="s">
        <v>323</v>
      </c>
      <c r="F1357" s="22">
        <v>21122008</v>
      </c>
      <c r="M1357" s="2" t="s">
        <v>325</v>
      </c>
      <c r="N1357" s="54" t="s">
        <v>324</v>
      </c>
      <c r="O1357" s="18">
        <v>44586</v>
      </c>
      <c r="P1357" s="1" t="s">
        <v>326</v>
      </c>
    </row>
    <row r="1358" spans="1:17">
      <c r="A1358" s="1">
        <v>2</v>
      </c>
      <c r="F1358" s="22">
        <v>21122009</v>
      </c>
      <c r="M1358" s="2" t="s">
        <v>328</v>
      </c>
      <c r="N1358" s="54" t="s">
        <v>327</v>
      </c>
      <c r="O1358" s="18">
        <v>44581</v>
      </c>
      <c r="P1358" s="1" t="s">
        <v>329</v>
      </c>
    </row>
    <row r="1359" spans="1:17">
      <c r="A1359" s="1">
        <v>3</v>
      </c>
      <c r="F1359" s="22">
        <v>21122010</v>
      </c>
      <c r="M1359" s="2" t="s">
        <v>331</v>
      </c>
      <c r="N1359" s="54" t="s">
        <v>330</v>
      </c>
      <c r="O1359" s="18">
        <v>44580</v>
      </c>
      <c r="P1359" s="1" t="s">
        <v>332</v>
      </c>
    </row>
    <row r="1360" spans="1:17">
      <c r="A1360" s="1">
        <v>4</v>
      </c>
      <c r="F1360" s="22">
        <v>21122011</v>
      </c>
      <c r="N1360" s="54" t="s">
        <v>333</v>
      </c>
      <c r="O1360" s="18">
        <v>44579</v>
      </c>
      <c r="P1360" s="1" t="s">
        <v>334</v>
      </c>
    </row>
    <row r="1361" spans="1:17">
      <c r="A1361" s="1">
        <v>5</v>
      </c>
      <c r="F1361" s="22">
        <v>21122012</v>
      </c>
      <c r="N1361" s="54" t="s">
        <v>335</v>
      </c>
      <c r="O1361" s="18">
        <v>44589</v>
      </c>
      <c r="P1361" s="1" t="s">
        <v>336</v>
      </c>
    </row>
    <row r="1362" spans="1:17">
      <c r="A1362" s="1">
        <v>6</v>
      </c>
      <c r="F1362" s="22">
        <v>21122013</v>
      </c>
      <c r="N1362" s="54" t="s">
        <v>335</v>
      </c>
      <c r="O1362" s="18">
        <v>44589</v>
      </c>
    </row>
    <row r="1363" spans="1:17">
      <c r="A1363" s="1">
        <v>7</v>
      </c>
      <c r="F1363" s="22">
        <v>21122014</v>
      </c>
      <c r="N1363" s="54" t="s">
        <v>337</v>
      </c>
      <c r="O1363" s="18">
        <v>44587</v>
      </c>
    </row>
    <row r="1364" spans="1:17">
      <c r="A1364" s="1">
        <v>8</v>
      </c>
      <c r="F1364" s="22">
        <v>21122015</v>
      </c>
      <c r="N1364" s="54" t="s">
        <v>337</v>
      </c>
      <c r="O1364" s="18">
        <v>44587</v>
      </c>
    </row>
    <row r="1365" spans="1:17">
      <c r="A1365" s="1">
        <v>9</v>
      </c>
      <c r="F1365" s="22">
        <v>21122016</v>
      </c>
      <c r="M1365" s="2" t="s">
        <v>339</v>
      </c>
      <c r="N1365" s="54" t="s">
        <v>338</v>
      </c>
      <c r="O1365" s="18">
        <v>44582</v>
      </c>
    </row>
    <row r="1366" spans="1:17">
      <c r="A1366" s="1">
        <v>10</v>
      </c>
      <c r="F1366" s="22">
        <v>21122017</v>
      </c>
      <c r="M1366" s="2" t="s">
        <v>339</v>
      </c>
      <c r="N1366" s="54" t="s">
        <v>338</v>
      </c>
      <c r="O1366" s="18">
        <v>44582</v>
      </c>
    </row>
    <row r="1367" spans="1:17">
      <c r="A1367" s="1">
        <v>11</v>
      </c>
      <c r="F1367" s="22">
        <v>21122018</v>
      </c>
      <c r="N1367" s="54" t="s">
        <v>340</v>
      </c>
      <c r="O1367" s="18">
        <v>44585</v>
      </c>
    </row>
    <row r="1368" spans="1:17">
      <c r="A1368" s="1">
        <v>12</v>
      </c>
      <c r="F1368" s="22">
        <v>21122019</v>
      </c>
      <c r="N1368" s="54" t="s">
        <v>106</v>
      </c>
      <c r="O1368" s="18">
        <v>44589</v>
      </c>
    </row>
    <row r="1369" spans="1:17">
      <c r="A1369" s="1">
        <v>13</v>
      </c>
      <c r="F1369" s="22">
        <v>21122020</v>
      </c>
      <c r="N1369" s="54" t="s">
        <v>341</v>
      </c>
      <c r="O1369" s="18">
        <v>44587</v>
      </c>
    </row>
    <row r="1370" spans="1:17">
      <c r="A1370" s="1">
        <v>14</v>
      </c>
      <c r="F1370" s="22">
        <v>21122021</v>
      </c>
      <c r="N1370" s="54" t="s">
        <v>341</v>
      </c>
      <c r="O1370" s="18">
        <v>44587</v>
      </c>
    </row>
    <row r="1371" spans="1:17">
      <c r="A1371" s="1">
        <v>15</v>
      </c>
      <c r="F1371" s="22">
        <v>21122022</v>
      </c>
      <c r="M1371" s="2" t="s">
        <v>343</v>
      </c>
      <c r="N1371" s="54" t="s">
        <v>342</v>
      </c>
      <c r="O1371" s="18">
        <v>44581</v>
      </c>
    </row>
    <row r="1372" spans="1:17">
      <c r="A1372" s="1">
        <v>16</v>
      </c>
      <c r="F1372" s="22">
        <v>21122023</v>
      </c>
      <c r="M1372" s="2" t="s">
        <v>343</v>
      </c>
      <c r="N1372" s="54" t="s">
        <v>342</v>
      </c>
      <c r="O1372" s="18">
        <v>44581</v>
      </c>
    </row>
    <row r="1373" spans="1:17">
      <c r="A1373" s="8"/>
      <c r="B1373" s="58"/>
      <c r="C1373" s="159"/>
      <c r="D1373" s="8"/>
      <c r="E1373" s="8"/>
      <c r="F1373" s="9"/>
      <c r="G1373" s="8"/>
      <c r="H1373" s="8"/>
      <c r="I1373" s="8"/>
      <c r="J1373" s="132"/>
      <c r="K1373" s="8"/>
      <c r="L1373" s="58"/>
      <c r="M1373" s="8"/>
      <c r="N1373" s="133"/>
      <c r="O1373" s="58"/>
      <c r="P1373" s="8"/>
      <c r="Q1373" s="8"/>
    </row>
    <row r="1374" spans="1:17">
      <c r="A1374" s="1">
        <v>1</v>
      </c>
      <c r="B1374" s="11" t="s">
        <v>7018</v>
      </c>
      <c r="C1374" s="160">
        <v>110</v>
      </c>
      <c r="E1374" s="1" t="s">
        <v>344</v>
      </c>
      <c r="F1374" s="22">
        <v>21122672</v>
      </c>
      <c r="I1374" s="2" t="s">
        <v>46</v>
      </c>
      <c r="N1374" s="54" t="s">
        <v>345</v>
      </c>
      <c r="O1374" s="18">
        <v>44613</v>
      </c>
      <c r="P1374" s="1" t="s">
        <v>346</v>
      </c>
    </row>
    <row r="1375" spans="1:17">
      <c r="A1375" s="1">
        <v>2</v>
      </c>
      <c r="F1375" s="22">
        <v>22012951</v>
      </c>
      <c r="I1375" s="2" t="s">
        <v>46</v>
      </c>
      <c r="M1375" s="2" t="s">
        <v>348</v>
      </c>
      <c r="N1375" s="54" t="s">
        <v>347</v>
      </c>
      <c r="O1375" s="18">
        <v>44613</v>
      </c>
      <c r="P1375" s="1" t="s">
        <v>349</v>
      </c>
    </row>
    <row r="1376" spans="1:17">
      <c r="A1376" s="1">
        <v>3</v>
      </c>
      <c r="F1376" s="22">
        <v>22012689</v>
      </c>
      <c r="I1376" s="2" t="s">
        <v>46</v>
      </c>
      <c r="N1376" s="54" t="s">
        <v>350</v>
      </c>
      <c r="O1376" s="18">
        <v>44613</v>
      </c>
      <c r="P1376" s="1" t="s">
        <v>351</v>
      </c>
    </row>
    <row r="1377" spans="1:17">
      <c r="A1377" s="1">
        <v>4</v>
      </c>
      <c r="E1377" s="1" t="s">
        <v>352</v>
      </c>
      <c r="F1377" s="22">
        <v>22020331</v>
      </c>
      <c r="I1377" s="2" t="s">
        <v>46</v>
      </c>
      <c r="N1377" s="54" t="s">
        <v>353</v>
      </c>
      <c r="O1377" s="18">
        <v>44610</v>
      </c>
      <c r="P1377" s="1" t="s">
        <v>354</v>
      </c>
    </row>
    <row r="1378" spans="1:17">
      <c r="A1378" s="1">
        <v>5</v>
      </c>
      <c r="F1378" s="22">
        <v>22020332</v>
      </c>
      <c r="I1378" s="2" t="s">
        <v>46</v>
      </c>
      <c r="N1378" s="54" t="s">
        <v>345</v>
      </c>
      <c r="O1378" s="18">
        <v>44613</v>
      </c>
      <c r="P1378" s="1" t="s">
        <v>355</v>
      </c>
    </row>
    <row r="1379" spans="1:17">
      <c r="A1379" s="1">
        <v>6</v>
      </c>
      <c r="F1379" s="22">
        <v>22020333</v>
      </c>
      <c r="I1379" s="2" t="s">
        <v>46</v>
      </c>
      <c r="N1379" s="54" t="s">
        <v>356</v>
      </c>
      <c r="O1379" s="18">
        <v>44606</v>
      </c>
      <c r="P1379" s="1" t="s">
        <v>357</v>
      </c>
    </row>
    <row r="1380" spans="1:17">
      <c r="A1380" s="1">
        <v>7</v>
      </c>
      <c r="F1380" s="22">
        <v>22020334</v>
      </c>
      <c r="I1380" s="2" t="s">
        <v>46</v>
      </c>
      <c r="N1380" s="54" t="s">
        <v>358</v>
      </c>
      <c r="O1380" s="18">
        <v>44613</v>
      </c>
      <c r="P1380" s="1" t="s">
        <v>359</v>
      </c>
    </row>
    <row r="1381" spans="1:17">
      <c r="A1381" s="1">
        <v>8</v>
      </c>
      <c r="F1381" s="22">
        <v>22020335</v>
      </c>
      <c r="I1381" s="2" t="s">
        <v>46</v>
      </c>
      <c r="M1381" s="2" t="s">
        <v>361</v>
      </c>
      <c r="N1381" s="54" t="s">
        <v>360</v>
      </c>
      <c r="O1381" s="18">
        <v>44602</v>
      </c>
      <c r="P1381" s="1" t="s">
        <v>362</v>
      </c>
    </row>
    <row r="1382" spans="1:17">
      <c r="A1382" s="1">
        <v>9</v>
      </c>
      <c r="F1382" s="22">
        <v>22020336</v>
      </c>
      <c r="I1382" s="2" t="s">
        <v>46</v>
      </c>
      <c r="M1382" s="2" t="s">
        <v>364</v>
      </c>
      <c r="N1382" s="54" t="s">
        <v>363</v>
      </c>
      <c r="O1382" s="18">
        <v>44606</v>
      </c>
      <c r="P1382" s="1" t="s">
        <v>365</v>
      </c>
    </row>
    <row r="1383" spans="1:17">
      <c r="A1383" s="1">
        <v>10</v>
      </c>
      <c r="F1383" s="22">
        <v>22020337</v>
      </c>
      <c r="I1383" s="2" t="s">
        <v>46</v>
      </c>
      <c r="N1383" s="54" t="s">
        <v>157</v>
      </c>
      <c r="O1383" s="18">
        <v>44609</v>
      </c>
      <c r="P1383" s="1" t="s">
        <v>366</v>
      </c>
    </row>
    <row r="1384" spans="1:17">
      <c r="A1384" s="1">
        <v>11</v>
      </c>
      <c r="F1384" s="22">
        <v>22020338</v>
      </c>
      <c r="I1384" s="2" t="s">
        <v>46</v>
      </c>
      <c r="N1384" s="54" t="s">
        <v>157</v>
      </c>
      <c r="O1384" s="18">
        <v>44609</v>
      </c>
      <c r="P1384" s="1" t="s">
        <v>367</v>
      </c>
    </row>
    <row r="1385" spans="1:17">
      <c r="A1385" s="1">
        <v>12</v>
      </c>
      <c r="F1385" s="22">
        <v>22020339</v>
      </c>
      <c r="I1385" s="2" t="s">
        <v>46</v>
      </c>
      <c r="N1385" s="54" t="s">
        <v>143</v>
      </c>
      <c r="O1385" s="18">
        <v>44603</v>
      </c>
      <c r="P1385" s="1" t="s">
        <v>368</v>
      </c>
    </row>
    <row r="1386" spans="1:17">
      <c r="A1386" s="1">
        <v>13</v>
      </c>
      <c r="F1386" s="22">
        <v>22020340</v>
      </c>
      <c r="I1386" s="2" t="s">
        <v>46</v>
      </c>
      <c r="M1386" s="2" t="s">
        <v>370</v>
      </c>
      <c r="N1386" s="54" t="s">
        <v>369</v>
      </c>
      <c r="O1386" s="18">
        <v>44606</v>
      </c>
      <c r="P1386" s="1" t="s">
        <v>371</v>
      </c>
    </row>
    <row r="1387" spans="1:17">
      <c r="A1387" s="8"/>
      <c r="B1387" s="58"/>
      <c r="C1387" s="159"/>
      <c r="D1387" s="8"/>
      <c r="E1387" s="8"/>
      <c r="F1387" s="9"/>
      <c r="G1387" s="8"/>
      <c r="H1387" s="8"/>
      <c r="I1387" s="8"/>
      <c r="J1387" s="132"/>
      <c r="K1387" s="8"/>
      <c r="L1387" s="58"/>
      <c r="M1387" s="8"/>
      <c r="N1387" s="133"/>
      <c r="O1387" s="58"/>
      <c r="P1387" s="8"/>
      <c r="Q1387" s="8"/>
    </row>
    <row r="1388" spans="1:17">
      <c r="A1388" s="1">
        <v>1</v>
      </c>
      <c r="B1388" s="11" t="s">
        <v>7019</v>
      </c>
      <c r="C1388" s="160">
        <v>170</v>
      </c>
      <c r="E1388" s="1" t="s">
        <v>372</v>
      </c>
      <c r="F1388" s="22">
        <v>22021353</v>
      </c>
      <c r="I1388" s="2" t="s">
        <v>46</v>
      </c>
      <c r="N1388" s="54" t="s">
        <v>3232</v>
      </c>
      <c r="O1388" s="18">
        <v>44621</v>
      </c>
      <c r="P1388" s="1" t="s">
        <v>373</v>
      </c>
    </row>
    <row r="1389" spans="1:17">
      <c r="A1389" s="1">
        <v>2</v>
      </c>
      <c r="F1389" s="22">
        <v>22021354</v>
      </c>
      <c r="I1389" s="2" t="s">
        <v>46</v>
      </c>
      <c r="N1389" s="54" t="s">
        <v>3232</v>
      </c>
      <c r="O1389" s="18">
        <v>44621</v>
      </c>
      <c r="P1389" s="1" t="s">
        <v>374</v>
      </c>
    </row>
    <row r="1390" spans="1:17">
      <c r="A1390" s="1">
        <v>3</v>
      </c>
      <c r="F1390" s="22">
        <v>22021361</v>
      </c>
      <c r="I1390" s="2" t="s">
        <v>46</v>
      </c>
      <c r="M1390" s="2" t="s">
        <v>3621</v>
      </c>
      <c r="N1390" s="54" t="s">
        <v>3232</v>
      </c>
      <c r="O1390" s="18">
        <v>44630</v>
      </c>
      <c r="P1390" s="1" t="s">
        <v>375</v>
      </c>
    </row>
    <row r="1391" spans="1:17">
      <c r="A1391" s="1">
        <v>4</v>
      </c>
      <c r="F1391" s="22">
        <v>22021362</v>
      </c>
      <c r="I1391" s="2" t="s">
        <v>46</v>
      </c>
      <c r="M1391" s="2" t="s">
        <v>3621</v>
      </c>
      <c r="N1391" s="54" t="s">
        <v>3232</v>
      </c>
      <c r="O1391" s="18">
        <v>44630</v>
      </c>
      <c r="P1391" s="1" t="s">
        <v>376</v>
      </c>
    </row>
    <row r="1392" spans="1:17">
      <c r="A1392" s="1">
        <v>5</v>
      </c>
      <c r="F1392" s="22">
        <v>22021363</v>
      </c>
      <c r="I1392" s="2" t="s">
        <v>46</v>
      </c>
      <c r="N1392" s="54" t="s">
        <v>3946</v>
      </c>
      <c r="O1392" s="18">
        <v>44625</v>
      </c>
      <c r="P1392" s="1" t="s">
        <v>377</v>
      </c>
    </row>
    <row r="1393" spans="1:17">
      <c r="A1393" s="1">
        <v>6</v>
      </c>
      <c r="F1393" s="22">
        <v>22021364</v>
      </c>
      <c r="I1393" s="2" t="s">
        <v>46</v>
      </c>
      <c r="M1393" s="2" t="s">
        <v>3622</v>
      </c>
      <c r="N1393" s="54" t="s">
        <v>3999</v>
      </c>
      <c r="P1393" s="1" t="s">
        <v>378</v>
      </c>
    </row>
    <row r="1394" spans="1:17">
      <c r="A1394" s="1">
        <v>7</v>
      </c>
      <c r="F1394" s="22">
        <v>22021365</v>
      </c>
      <c r="P1394" s="1" t="s">
        <v>379</v>
      </c>
    </row>
    <row r="1395" spans="1:17">
      <c r="A1395" s="1">
        <v>8</v>
      </c>
      <c r="F1395" s="22">
        <v>22021366</v>
      </c>
      <c r="P1395" s="1" t="s">
        <v>380</v>
      </c>
    </row>
    <row r="1396" spans="1:17">
      <c r="A1396" s="1">
        <v>9</v>
      </c>
      <c r="F1396" s="22">
        <v>22021367</v>
      </c>
      <c r="I1396" s="2" t="s">
        <v>46</v>
      </c>
      <c r="N1396" s="54" t="s">
        <v>4000</v>
      </c>
      <c r="O1396" s="18">
        <v>44630</v>
      </c>
    </row>
    <row r="1397" spans="1:17">
      <c r="A1397" s="1">
        <v>10</v>
      </c>
      <c r="F1397" s="22">
        <v>22021368</v>
      </c>
      <c r="I1397" s="2" t="s">
        <v>46</v>
      </c>
      <c r="N1397" s="54" t="s">
        <v>95</v>
      </c>
      <c r="O1397" s="18">
        <v>44630</v>
      </c>
    </row>
    <row r="1398" spans="1:17">
      <c r="A1398" s="8"/>
      <c r="B1398" s="58"/>
      <c r="C1398" s="159"/>
      <c r="D1398" s="8"/>
      <c r="E1398" s="8"/>
      <c r="F1398" s="9"/>
      <c r="G1398" s="8"/>
      <c r="H1398" s="8"/>
      <c r="I1398" s="8"/>
      <c r="J1398" s="132"/>
      <c r="K1398" s="8"/>
      <c r="L1398" s="58"/>
      <c r="M1398" s="8"/>
      <c r="N1398" s="133"/>
      <c r="O1398" s="58"/>
      <c r="P1398" s="8"/>
      <c r="Q1398" s="8"/>
    </row>
    <row r="1399" spans="1:17">
      <c r="A1399" s="1">
        <v>1</v>
      </c>
      <c r="B1399" s="11">
        <v>44631</v>
      </c>
      <c r="C1399" s="160">
        <v>968</v>
      </c>
      <c r="E1399" s="1" t="s">
        <v>381</v>
      </c>
      <c r="F1399" s="22">
        <v>4016000137406</v>
      </c>
      <c r="N1399" s="54" t="s">
        <v>382</v>
      </c>
      <c r="O1399" s="18">
        <v>44632</v>
      </c>
    </row>
    <row r="1400" spans="1:17">
      <c r="A1400" s="1">
        <v>2</v>
      </c>
      <c r="F1400" s="22">
        <v>4016000137407</v>
      </c>
      <c r="N1400" s="54" t="s">
        <v>3235</v>
      </c>
      <c r="O1400" s="18">
        <v>44636</v>
      </c>
    </row>
    <row r="1401" spans="1:17">
      <c r="A1401" s="8"/>
      <c r="B1401" s="58"/>
      <c r="C1401" s="159"/>
      <c r="D1401" s="8"/>
      <c r="E1401" s="8"/>
      <c r="F1401" s="9"/>
      <c r="G1401" s="8"/>
      <c r="H1401" s="8"/>
      <c r="I1401" s="8"/>
      <c r="J1401" s="132"/>
      <c r="K1401" s="8"/>
      <c r="L1401" s="58"/>
      <c r="M1401" s="8"/>
      <c r="N1401" s="133"/>
      <c r="O1401" s="58"/>
      <c r="P1401" s="8"/>
      <c r="Q1401" s="8"/>
    </row>
    <row r="1402" spans="1:17">
      <c r="A1402" s="1">
        <v>1</v>
      </c>
      <c r="B1402" s="11">
        <v>44652</v>
      </c>
      <c r="C1402" s="249">
        <v>297</v>
      </c>
      <c r="E1402" s="1" t="s">
        <v>3263</v>
      </c>
      <c r="F1402" s="22">
        <v>22031302</v>
      </c>
      <c r="I1402" s="2" t="s">
        <v>44</v>
      </c>
      <c r="P1402" s="1" t="s">
        <v>4103</v>
      </c>
    </row>
    <row r="1403" spans="1:17">
      <c r="A1403" s="1">
        <v>2</v>
      </c>
      <c r="F1403" s="22">
        <v>22031303</v>
      </c>
      <c r="I1403" s="2" t="s">
        <v>44</v>
      </c>
      <c r="P1403" s="1" t="s">
        <v>4104</v>
      </c>
    </row>
    <row r="1404" spans="1:17">
      <c r="A1404" s="1">
        <v>3</v>
      </c>
      <c r="F1404" s="22">
        <v>22031304</v>
      </c>
      <c r="I1404" s="2" t="s">
        <v>44</v>
      </c>
      <c r="P1404" s="1" t="s">
        <v>4105</v>
      </c>
    </row>
    <row r="1405" spans="1:17">
      <c r="A1405" s="1">
        <v>4</v>
      </c>
      <c r="F1405" s="22">
        <v>22031305</v>
      </c>
      <c r="I1405" s="2" t="s">
        <v>44</v>
      </c>
      <c r="P1405" s="1" t="s">
        <v>4106</v>
      </c>
    </row>
    <row r="1406" spans="1:17">
      <c r="A1406" s="1">
        <v>5</v>
      </c>
      <c r="F1406" s="22">
        <v>22031306</v>
      </c>
      <c r="I1406" s="2" t="s">
        <v>44</v>
      </c>
      <c r="P1406" s="1" t="s">
        <v>4107</v>
      </c>
    </row>
    <row r="1407" spans="1:17">
      <c r="A1407" s="1">
        <v>6</v>
      </c>
      <c r="F1407" s="22">
        <v>22031307</v>
      </c>
      <c r="I1407" s="2" t="s">
        <v>44</v>
      </c>
      <c r="P1407" s="1" t="s">
        <v>4108</v>
      </c>
    </row>
    <row r="1408" spans="1:17">
      <c r="A1408" s="1">
        <v>7</v>
      </c>
      <c r="F1408" s="22">
        <v>22031308</v>
      </c>
      <c r="I1408" s="2" t="s">
        <v>44</v>
      </c>
      <c r="P1408" s="1" t="s">
        <v>4109</v>
      </c>
    </row>
    <row r="1409" spans="1:16">
      <c r="A1409" s="1">
        <v>8</v>
      </c>
      <c r="F1409" s="22">
        <v>22031309</v>
      </c>
      <c r="I1409" s="2" t="s">
        <v>44</v>
      </c>
      <c r="P1409" s="1" t="s">
        <v>4110</v>
      </c>
    </row>
    <row r="1410" spans="1:16">
      <c r="A1410" s="1">
        <v>9</v>
      </c>
      <c r="F1410" s="22">
        <v>22031310</v>
      </c>
      <c r="I1410" s="2" t="s">
        <v>44</v>
      </c>
      <c r="P1410" s="1" t="s">
        <v>4111</v>
      </c>
    </row>
    <row r="1411" spans="1:16">
      <c r="A1411" s="1">
        <v>10</v>
      </c>
      <c r="F1411" s="22">
        <v>22031311</v>
      </c>
      <c r="I1411" s="2" t="s">
        <v>44</v>
      </c>
      <c r="P1411" s="1" t="s">
        <v>4112</v>
      </c>
    </row>
    <row r="1412" spans="1:16">
      <c r="A1412" s="1">
        <v>11</v>
      </c>
      <c r="F1412" s="22">
        <v>22031312</v>
      </c>
      <c r="I1412" s="2" t="s">
        <v>44</v>
      </c>
      <c r="P1412" s="1" t="s">
        <v>8431</v>
      </c>
    </row>
    <row r="1413" spans="1:16">
      <c r="A1413" s="1">
        <v>12</v>
      </c>
      <c r="F1413" s="22">
        <v>22031313</v>
      </c>
      <c r="I1413" s="2" t="s">
        <v>44</v>
      </c>
    </row>
    <row r="1414" spans="1:16">
      <c r="A1414" s="1">
        <v>13</v>
      </c>
      <c r="F1414" s="22">
        <v>22031314</v>
      </c>
      <c r="I1414" s="2" t="s">
        <v>44</v>
      </c>
    </row>
    <row r="1415" spans="1:16">
      <c r="A1415" s="1">
        <v>14</v>
      </c>
      <c r="F1415" s="22">
        <v>22031315</v>
      </c>
      <c r="I1415" s="2" t="s">
        <v>44</v>
      </c>
    </row>
    <row r="1416" spans="1:16">
      <c r="A1416" s="1">
        <v>15</v>
      </c>
      <c r="F1416" s="22">
        <v>22031316</v>
      </c>
      <c r="I1416" s="2" t="s">
        <v>44</v>
      </c>
    </row>
    <row r="1417" spans="1:16">
      <c r="A1417" s="1">
        <v>16</v>
      </c>
      <c r="F1417" s="22">
        <v>22031317</v>
      </c>
      <c r="I1417" s="2" t="s">
        <v>44</v>
      </c>
    </row>
    <row r="1418" spans="1:16">
      <c r="A1418" s="8"/>
      <c r="B1418" s="58"/>
      <c r="C1418" s="159"/>
      <c r="D1418" s="8"/>
      <c r="E1418" s="8"/>
      <c r="F1418" s="9"/>
      <c r="G1418" s="8"/>
      <c r="H1418" s="8"/>
      <c r="I1418" s="8"/>
      <c r="J1418" s="132"/>
      <c r="K1418" s="8"/>
      <c r="L1418" s="58"/>
      <c r="M1418" s="8"/>
      <c r="N1418" s="133"/>
      <c r="O1418" s="58"/>
      <c r="P1418" s="8"/>
    </row>
    <row r="1419" spans="1:16">
      <c r="A1419" s="1">
        <v>1</v>
      </c>
      <c r="B1419" s="11">
        <v>44650</v>
      </c>
      <c r="C1419" s="160">
        <v>1162</v>
      </c>
      <c r="D1419" s="1" t="s">
        <v>8534</v>
      </c>
      <c r="E1419" s="1" t="s">
        <v>8535</v>
      </c>
      <c r="F1419" s="22">
        <v>220363248226</v>
      </c>
      <c r="I1419" s="2" t="s">
        <v>46</v>
      </c>
      <c r="M1419" s="2" t="s">
        <v>8479</v>
      </c>
      <c r="O1419" s="18">
        <v>44658</v>
      </c>
    </row>
    <row r="1420" spans="1:16">
      <c r="A1420" s="1">
        <v>2</v>
      </c>
      <c r="F1420" s="22">
        <v>220363248239</v>
      </c>
      <c r="I1420" s="2" t="s">
        <v>46</v>
      </c>
      <c r="M1420" s="2" t="s">
        <v>8479</v>
      </c>
      <c r="O1420" s="18">
        <v>44658</v>
      </c>
    </row>
    <row r="1421" spans="1:16">
      <c r="A1421" s="1">
        <v>3</v>
      </c>
      <c r="F1421" s="22">
        <v>220363248256</v>
      </c>
      <c r="I1421" s="2" t="s">
        <v>46</v>
      </c>
      <c r="M1421" s="2" t="s">
        <v>8536</v>
      </c>
      <c r="O1421" s="18">
        <v>44658</v>
      </c>
    </row>
    <row r="1422" spans="1:16">
      <c r="A1422" s="1">
        <v>4</v>
      </c>
      <c r="F1422" s="22">
        <v>220363248232</v>
      </c>
      <c r="I1422" s="2" t="s">
        <v>46</v>
      </c>
      <c r="M1422" s="2" t="s">
        <v>8479</v>
      </c>
      <c r="O1422" s="18">
        <v>44658</v>
      </c>
    </row>
    <row r="1423" spans="1:16">
      <c r="A1423" s="1">
        <v>5</v>
      </c>
      <c r="F1423" s="22">
        <v>220363248245</v>
      </c>
      <c r="I1423" s="2" t="s">
        <v>46</v>
      </c>
      <c r="M1423" s="2" t="s">
        <v>8479</v>
      </c>
      <c r="O1423" s="18">
        <v>44658</v>
      </c>
    </row>
    <row r="1424" spans="1:16">
      <c r="A1424" s="1">
        <v>6</v>
      </c>
      <c r="F1424" s="22">
        <v>220363248228</v>
      </c>
      <c r="I1424" s="2" t="s">
        <v>46</v>
      </c>
      <c r="M1424" s="2" t="s">
        <v>8479</v>
      </c>
      <c r="O1424" s="18">
        <v>44658</v>
      </c>
    </row>
    <row r="1425" spans="1:15">
      <c r="A1425" s="1">
        <v>7</v>
      </c>
      <c r="F1425" s="22">
        <v>220363248309</v>
      </c>
      <c r="I1425" s="2" t="s">
        <v>46</v>
      </c>
      <c r="M1425" s="2" t="s">
        <v>8479</v>
      </c>
      <c r="O1425" s="18">
        <v>44662</v>
      </c>
    </row>
    <row r="1426" spans="1:15">
      <c r="A1426" s="1">
        <v>8</v>
      </c>
      <c r="F1426" s="22">
        <v>220363248299</v>
      </c>
      <c r="I1426" s="2" t="s">
        <v>46</v>
      </c>
      <c r="M1426" s="2" t="s">
        <v>8479</v>
      </c>
      <c r="O1426" s="18">
        <v>44662</v>
      </c>
    </row>
    <row r="1427" spans="1:15">
      <c r="A1427" s="1">
        <v>9</v>
      </c>
      <c r="F1427" s="22">
        <v>220363248236</v>
      </c>
      <c r="I1427" s="2" t="s">
        <v>46</v>
      </c>
      <c r="M1427" s="2" t="s">
        <v>8479</v>
      </c>
      <c r="O1427" s="18">
        <v>44662</v>
      </c>
    </row>
    <row r="1428" spans="1:15">
      <c r="A1428" s="1">
        <v>10</v>
      </c>
      <c r="F1428" s="22">
        <v>220363248257</v>
      </c>
      <c r="I1428" s="2" t="s">
        <v>46</v>
      </c>
      <c r="M1428" s="2" t="s">
        <v>8479</v>
      </c>
      <c r="O1428" s="18">
        <v>44662</v>
      </c>
    </row>
    <row r="1429" spans="1:15">
      <c r="A1429" s="1">
        <v>11</v>
      </c>
      <c r="F1429" s="22">
        <v>220363248243</v>
      </c>
      <c r="I1429" s="2" t="s">
        <v>46</v>
      </c>
      <c r="M1429" s="2" t="s">
        <v>8479</v>
      </c>
      <c r="O1429" s="18">
        <v>44662</v>
      </c>
    </row>
    <row r="1430" spans="1:15">
      <c r="A1430" s="1">
        <v>12</v>
      </c>
      <c r="F1430" s="22">
        <v>220363248227</v>
      </c>
      <c r="I1430" s="2" t="s">
        <v>46</v>
      </c>
      <c r="M1430" s="2" t="s">
        <v>8479</v>
      </c>
      <c r="O1430" s="18">
        <v>44662</v>
      </c>
    </row>
    <row r="1431" spans="1:15">
      <c r="A1431" s="1">
        <v>13</v>
      </c>
      <c r="F1431" s="22">
        <v>220363248316</v>
      </c>
      <c r="I1431" s="2" t="s">
        <v>46</v>
      </c>
      <c r="M1431" s="2" t="s">
        <v>3921</v>
      </c>
      <c r="O1431" s="18">
        <v>44677</v>
      </c>
    </row>
    <row r="1432" spans="1:15">
      <c r="A1432" s="1">
        <v>14</v>
      </c>
      <c r="F1432" s="22">
        <v>220363248225</v>
      </c>
      <c r="I1432" s="2" t="s">
        <v>46</v>
      </c>
      <c r="M1432" s="2" t="s">
        <v>3702</v>
      </c>
      <c r="O1432" s="18">
        <v>44677</v>
      </c>
    </row>
    <row r="1433" spans="1:15">
      <c r="A1433" s="1">
        <v>15</v>
      </c>
      <c r="F1433" s="22">
        <v>220363248266</v>
      </c>
      <c r="I1433" s="2" t="s">
        <v>46</v>
      </c>
      <c r="M1433" s="2" t="s">
        <v>8482</v>
      </c>
      <c r="O1433" s="18">
        <v>44693</v>
      </c>
    </row>
    <row r="1434" spans="1:15">
      <c r="A1434" s="1">
        <v>16</v>
      </c>
      <c r="F1434" s="22">
        <v>220363248286</v>
      </c>
      <c r="I1434" s="2" t="s">
        <v>46</v>
      </c>
      <c r="M1434" s="2" t="s">
        <v>8482</v>
      </c>
      <c r="O1434" s="18">
        <v>44693</v>
      </c>
    </row>
    <row r="1435" spans="1:15">
      <c r="A1435" s="1">
        <v>17</v>
      </c>
      <c r="F1435" s="22">
        <v>220363248249</v>
      </c>
      <c r="I1435" s="2" t="s">
        <v>46</v>
      </c>
      <c r="M1435" s="2" t="s">
        <v>8482</v>
      </c>
      <c r="O1435" s="18">
        <v>44665</v>
      </c>
    </row>
    <row r="1436" spans="1:15">
      <c r="A1436" s="1">
        <v>18</v>
      </c>
      <c r="F1436" s="22">
        <v>220363248247</v>
      </c>
      <c r="I1436" s="2" t="s">
        <v>46</v>
      </c>
      <c r="M1436" s="2" t="s">
        <v>8482</v>
      </c>
      <c r="O1436" s="18">
        <v>44665</v>
      </c>
    </row>
    <row r="1437" spans="1:15">
      <c r="A1437" s="1">
        <v>19</v>
      </c>
      <c r="F1437" s="22">
        <v>220363248301</v>
      </c>
      <c r="I1437" s="2" t="s">
        <v>46</v>
      </c>
      <c r="M1437" s="2" t="s">
        <v>8479</v>
      </c>
      <c r="O1437" s="18">
        <v>44669</v>
      </c>
    </row>
    <row r="1438" spans="1:15">
      <c r="A1438" s="1">
        <v>20</v>
      </c>
      <c r="F1438" s="22">
        <v>220363248270</v>
      </c>
      <c r="I1438" s="2" t="s">
        <v>46</v>
      </c>
      <c r="M1438" s="2" t="s">
        <v>8537</v>
      </c>
      <c r="O1438" s="18">
        <v>44670</v>
      </c>
    </row>
    <row r="1439" spans="1:15">
      <c r="A1439" s="1">
        <v>21</v>
      </c>
      <c r="F1439" s="22">
        <v>220363248224</v>
      </c>
      <c r="I1439" s="2" t="s">
        <v>46</v>
      </c>
      <c r="M1439" s="2" t="s">
        <v>8482</v>
      </c>
      <c r="O1439" s="18">
        <v>44665</v>
      </c>
    </row>
    <row r="1440" spans="1:15">
      <c r="A1440" s="1">
        <v>22</v>
      </c>
      <c r="F1440" s="22">
        <v>220363248230</v>
      </c>
      <c r="I1440" s="2" t="s">
        <v>46</v>
      </c>
      <c r="M1440" s="2" t="s">
        <v>8482</v>
      </c>
      <c r="O1440" s="18">
        <v>44665</v>
      </c>
    </row>
    <row r="1441" spans="1:16">
      <c r="A1441" s="8"/>
      <c r="B1441" s="58"/>
      <c r="C1441" s="159"/>
      <c r="D1441" s="8"/>
      <c r="E1441" s="8"/>
      <c r="F1441" s="9"/>
      <c r="G1441" s="8"/>
      <c r="H1441" s="8"/>
      <c r="I1441" s="8"/>
      <c r="J1441" s="132"/>
      <c r="K1441" s="8"/>
      <c r="L1441" s="58"/>
      <c r="M1441" s="8"/>
      <c r="N1441" s="133"/>
      <c r="O1441" s="58"/>
      <c r="P1441" s="8"/>
    </row>
    <row r="1442" spans="1:16">
      <c r="A1442" s="1">
        <v>1</v>
      </c>
      <c r="B1442" s="11">
        <v>44656</v>
      </c>
      <c r="C1442" s="160">
        <v>1264</v>
      </c>
      <c r="D1442" s="1" t="s">
        <v>8538</v>
      </c>
      <c r="E1442" s="1" t="s">
        <v>8535</v>
      </c>
      <c r="F1442" s="22">
        <v>220463249416</v>
      </c>
      <c r="I1442" s="2" t="s">
        <v>46</v>
      </c>
      <c r="M1442" s="2" t="s">
        <v>3971</v>
      </c>
      <c r="O1442" s="18">
        <v>44705</v>
      </c>
      <c r="P1442" s="1" t="s">
        <v>8539</v>
      </c>
    </row>
    <row r="1443" spans="1:16">
      <c r="A1443" s="1">
        <v>2</v>
      </c>
      <c r="F1443" s="22">
        <v>220463249374</v>
      </c>
      <c r="I1443" s="2" t="s">
        <v>46</v>
      </c>
      <c r="M1443" s="2" t="s">
        <v>8540</v>
      </c>
      <c r="O1443" s="18">
        <v>44705</v>
      </c>
      <c r="P1443" s="1" t="s">
        <v>8541</v>
      </c>
    </row>
    <row r="1444" spans="1:16">
      <c r="A1444" s="1">
        <v>3</v>
      </c>
      <c r="F1444" s="22">
        <v>220463249344</v>
      </c>
      <c r="I1444" s="2" t="s">
        <v>46</v>
      </c>
      <c r="M1444" s="2" t="s">
        <v>8542</v>
      </c>
      <c r="O1444" s="18">
        <v>44677</v>
      </c>
    </row>
    <row r="1445" spans="1:16">
      <c r="A1445" s="1">
        <v>4</v>
      </c>
      <c r="F1445" s="22">
        <v>220463249358</v>
      </c>
      <c r="I1445" s="2" t="s">
        <v>46</v>
      </c>
      <c r="M1445" s="2" t="s">
        <v>8542</v>
      </c>
      <c r="O1445" s="18">
        <v>44677</v>
      </c>
    </row>
    <row r="1446" spans="1:16">
      <c r="A1446" s="1">
        <v>5</v>
      </c>
      <c r="F1446" s="22">
        <v>220463249417</v>
      </c>
      <c r="I1446" s="2" t="s">
        <v>46</v>
      </c>
      <c r="M1446" s="2" t="s">
        <v>3921</v>
      </c>
      <c r="O1446" s="18">
        <v>44692</v>
      </c>
    </row>
    <row r="1447" spans="1:16">
      <c r="A1447" s="1">
        <v>6</v>
      </c>
      <c r="F1447" s="22">
        <v>220463249345</v>
      </c>
      <c r="I1447" s="2" t="s">
        <v>46</v>
      </c>
      <c r="M1447" s="2" t="s">
        <v>3921</v>
      </c>
      <c r="O1447" s="18">
        <v>44692</v>
      </c>
    </row>
    <row r="1448" spans="1:16">
      <c r="A1448" s="1">
        <v>7</v>
      </c>
      <c r="F1448" s="22">
        <v>220463249369</v>
      </c>
      <c r="I1448" s="2" t="s">
        <v>46</v>
      </c>
      <c r="M1448" s="2" t="s">
        <v>8479</v>
      </c>
      <c r="O1448" s="18">
        <v>44665</v>
      </c>
    </row>
    <row r="1449" spans="1:16">
      <c r="A1449" s="1">
        <v>8</v>
      </c>
      <c r="F1449" s="22">
        <v>220463249371</v>
      </c>
      <c r="I1449" s="2" t="s">
        <v>46</v>
      </c>
      <c r="M1449" s="2" t="s">
        <v>8479</v>
      </c>
      <c r="O1449" s="18">
        <v>44665</v>
      </c>
    </row>
    <row r="1450" spans="1:16">
      <c r="A1450" s="1">
        <v>9</v>
      </c>
      <c r="F1450" s="22">
        <v>220463249338</v>
      </c>
      <c r="I1450" s="2" t="s">
        <v>46</v>
      </c>
      <c r="M1450" s="2" t="s">
        <v>8536</v>
      </c>
      <c r="O1450" s="18">
        <v>44694</v>
      </c>
    </row>
    <row r="1451" spans="1:16">
      <c r="A1451" s="1">
        <v>10</v>
      </c>
      <c r="F1451" s="22">
        <v>220463249362</v>
      </c>
      <c r="I1451" s="2" t="s">
        <v>46</v>
      </c>
      <c r="M1451" s="2" t="s">
        <v>8536</v>
      </c>
      <c r="O1451" s="18">
        <v>44694</v>
      </c>
    </row>
    <row r="1452" spans="1:16">
      <c r="A1452" s="1">
        <v>11</v>
      </c>
      <c r="F1452" s="22">
        <v>220463249351</v>
      </c>
      <c r="I1452" s="2" t="s">
        <v>46</v>
      </c>
      <c r="M1452" s="2" t="s">
        <v>8486</v>
      </c>
      <c r="O1452" s="18">
        <v>44697</v>
      </c>
    </row>
    <row r="1453" spans="1:16">
      <c r="A1453" s="1">
        <v>12</v>
      </c>
      <c r="F1453" s="22">
        <v>220463249359</v>
      </c>
      <c r="I1453" s="2" t="s">
        <v>46</v>
      </c>
      <c r="M1453" s="2" t="s">
        <v>8486</v>
      </c>
      <c r="O1453" s="18">
        <v>44697</v>
      </c>
    </row>
    <row r="1454" spans="1:16">
      <c r="A1454" s="1">
        <v>13</v>
      </c>
      <c r="F1454" s="22">
        <v>220463249402</v>
      </c>
      <c r="I1454" s="2" t="s">
        <v>46</v>
      </c>
      <c r="M1454" s="2" t="s">
        <v>3996</v>
      </c>
      <c r="O1454" s="18">
        <v>44672</v>
      </c>
    </row>
    <row r="1455" spans="1:16">
      <c r="A1455" s="1">
        <v>14</v>
      </c>
      <c r="F1455" s="22">
        <v>220463249354</v>
      </c>
      <c r="I1455" s="2" t="s">
        <v>46</v>
      </c>
      <c r="M1455" s="2" t="s">
        <v>3996</v>
      </c>
      <c r="O1455" s="18">
        <v>44672</v>
      </c>
    </row>
    <row r="1456" spans="1:16">
      <c r="A1456" s="1">
        <v>15</v>
      </c>
      <c r="F1456" s="22">
        <v>220463249368</v>
      </c>
      <c r="I1456" s="2" t="s">
        <v>46</v>
      </c>
      <c r="M1456" s="2" t="s">
        <v>3921</v>
      </c>
      <c r="O1456" s="18">
        <v>44677</v>
      </c>
    </row>
    <row r="1457" spans="1:16">
      <c r="A1457" s="1">
        <v>16</v>
      </c>
      <c r="F1457" s="22">
        <v>220463249325</v>
      </c>
      <c r="I1457" s="2" t="s">
        <v>46</v>
      </c>
      <c r="M1457" s="2" t="s">
        <v>3921</v>
      </c>
      <c r="O1457" s="18">
        <v>44677</v>
      </c>
    </row>
    <row r="1458" spans="1:16">
      <c r="A1458" s="1">
        <v>17</v>
      </c>
      <c r="F1458" s="22">
        <v>220463249370</v>
      </c>
      <c r="I1458" s="2" t="s">
        <v>46</v>
      </c>
      <c r="M1458" s="2" t="s">
        <v>3921</v>
      </c>
      <c r="O1458" s="18">
        <v>44677</v>
      </c>
    </row>
    <row r="1459" spans="1:16">
      <c r="A1459" s="1">
        <v>18</v>
      </c>
      <c r="F1459" s="22">
        <v>220463249367</v>
      </c>
      <c r="I1459" s="2" t="s">
        <v>46</v>
      </c>
      <c r="M1459" s="2" t="s">
        <v>8474</v>
      </c>
      <c r="O1459" s="18">
        <v>44676</v>
      </c>
    </row>
    <row r="1460" spans="1:16">
      <c r="A1460" s="1">
        <v>19</v>
      </c>
      <c r="F1460" s="22">
        <v>220463249346</v>
      </c>
      <c r="I1460" s="2" t="s">
        <v>46</v>
      </c>
      <c r="M1460" s="2" t="s">
        <v>8486</v>
      </c>
      <c r="O1460" s="18">
        <v>44697</v>
      </c>
    </row>
    <row r="1461" spans="1:16">
      <c r="A1461" s="1">
        <v>20</v>
      </c>
      <c r="F1461" s="22">
        <v>220463249360</v>
      </c>
      <c r="I1461" s="2" t="s">
        <v>46</v>
      </c>
      <c r="M1461" s="2" t="s">
        <v>8486</v>
      </c>
      <c r="O1461" s="18">
        <v>44697</v>
      </c>
    </row>
    <row r="1462" spans="1:16">
      <c r="A1462" s="8"/>
      <c r="B1462" s="58"/>
      <c r="C1462" s="159"/>
      <c r="D1462" s="8"/>
      <c r="E1462" s="8"/>
      <c r="F1462" s="9"/>
      <c r="G1462" s="8"/>
      <c r="H1462" s="8"/>
      <c r="I1462" s="8"/>
      <c r="J1462" s="132"/>
      <c r="K1462" s="8"/>
      <c r="L1462" s="58"/>
      <c r="M1462" s="8"/>
      <c r="N1462" s="133"/>
      <c r="O1462" s="58"/>
      <c r="P1462" s="8"/>
    </row>
    <row r="1463" spans="1:16">
      <c r="A1463" s="1">
        <v>1</v>
      </c>
      <c r="B1463" s="11">
        <v>44663</v>
      </c>
      <c r="C1463" s="160">
        <v>468</v>
      </c>
      <c r="D1463" s="1" t="s">
        <v>8543</v>
      </c>
      <c r="E1463" s="1" t="s">
        <v>8544</v>
      </c>
      <c r="F1463" s="22">
        <v>437847</v>
      </c>
      <c r="I1463" s="2" t="s">
        <v>44</v>
      </c>
      <c r="M1463" s="2" t="s">
        <v>8545</v>
      </c>
      <c r="O1463" s="18">
        <v>44670</v>
      </c>
    </row>
    <row r="1464" spans="1:16">
      <c r="A1464" s="1">
        <v>2</v>
      </c>
      <c r="F1464" s="22">
        <v>437895</v>
      </c>
      <c r="I1464" s="2" t="s">
        <v>44</v>
      </c>
      <c r="M1464" s="2" t="s">
        <v>8545</v>
      </c>
      <c r="O1464" s="18">
        <v>44670</v>
      </c>
    </row>
    <row r="1465" spans="1:16">
      <c r="A1465" s="1">
        <v>3</v>
      </c>
      <c r="F1465" s="22">
        <v>438366</v>
      </c>
      <c r="I1465" s="2" t="s">
        <v>44</v>
      </c>
      <c r="M1465" s="2" t="s">
        <v>8545</v>
      </c>
      <c r="O1465" s="18">
        <v>44670</v>
      </c>
    </row>
    <row r="1466" spans="1:16">
      <c r="A1466" s="1">
        <v>4</v>
      </c>
      <c r="F1466" s="22">
        <v>438555</v>
      </c>
      <c r="I1466" s="2" t="s">
        <v>44</v>
      </c>
      <c r="M1466" s="2" t="s">
        <v>8545</v>
      </c>
      <c r="O1466" s="18">
        <v>44670</v>
      </c>
    </row>
    <row r="1467" spans="1:16">
      <c r="A1467" s="1">
        <v>5</v>
      </c>
      <c r="F1467" s="22">
        <v>438480</v>
      </c>
      <c r="I1467" s="2" t="s">
        <v>44</v>
      </c>
      <c r="M1467" s="2" t="s">
        <v>8545</v>
      </c>
      <c r="O1467" s="18">
        <v>44670</v>
      </c>
    </row>
    <row r="1468" spans="1:16">
      <c r="A1468" s="8"/>
      <c r="B1468" s="58"/>
      <c r="C1468" s="159"/>
      <c r="D1468" s="8"/>
      <c r="E1468" s="8"/>
      <c r="F1468" s="9"/>
      <c r="G1468" s="8"/>
      <c r="H1468" s="8"/>
      <c r="I1468" s="8"/>
      <c r="J1468" s="132"/>
      <c r="K1468" s="8"/>
      <c r="L1468" s="58"/>
      <c r="M1468" s="8"/>
      <c r="N1468" s="133"/>
      <c r="O1468" s="58"/>
      <c r="P1468" s="8"/>
    </row>
    <row r="1469" spans="1:16">
      <c r="A1469" s="1">
        <v>1</v>
      </c>
      <c r="B1469" s="11">
        <v>44671</v>
      </c>
      <c r="C1469" s="160">
        <v>1543</v>
      </c>
      <c r="D1469" s="1" t="s">
        <v>8534</v>
      </c>
      <c r="E1469" s="1" t="s">
        <v>8546</v>
      </c>
      <c r="F1469" s="22">
        <v>220463251665</v>
      </c>
      <c r="I1469" s="2" t="s">
        <v>46</v>
      </c>
      <c r="M1469" s="2" t="s">
        <v>8486</v>
      </c>
      <c r="O1469" s="18">
        <v>44697</v>
      </c>
      <c r="P1469" s="1" t="s">
        <v>8547</v>
      </c>
    </row>
    <row r="1470" spans="1:16">
      <c r="A1470" s="1">
        <v>2</v>
      </c>
      <c r="F1470" s="22">
        <v>220463251661</v>
      </c>
      <c r="I1470" s="2" t="s">
        <v>46</v>
      </c>
      <c r="M1470" s="2" t="s">
        <v>8486</v>
      </c>
      <c r="N1470" s="54" t="s">
        <v>8548</v>
      </c>
      <c r="O1470" s="18">
        <v>44697</v>
      </c>
      <c r="P1470" s="1" t="s">
        <v>8549</v>
      </c>
    </row>
    <row r="1471" spans="1:16">
      <c r="A1471" s="1">
        <v>3</v>
      </c>
      <c r="F1471" s="22">
        <v>220463252016</v>
      </c>
      <c r="I1471" s="2" t="s">
        <v>46</v>
      </c>
      <c r="M1471" s="2" t="s">
        <v>8486</v>
      </c>
      <c r="O1471" s="18">
        <v>44697</v>
      </c>
      <c r="P1471" s="1" t="s">
        <v>8550</v>
      </c>
    </row>
    <row r="1472" spans="1:16">
      <c r="A1472" s="1">
        <v>4</v>
      </c>
      <c r="F1472" s="22">
        <v>220463251990</v>
      </c>
      <c r="I1472" s="2" t="s">
        <v>46</v>
      </c>
      <c r="M1472" s="2" t="s">
        <v>8486</v>
      </c>
      <c r="O1472" s="18">
        <v>44697</v>
      </c>
      <c r="P1472" s="1" t="s">
        <v>8551</v>
      </c>
    </row>
    <row r="1473" spans="1:16">
      <c r="A1473" s="1">
        <v>5</v>
      </c>
      <c r="F1473" s="22">
        <v>220463251670</v>
      </c>
      <c r="I1473" s="2" t="s">
        <v>46</v>
      </c>
      <c r="M1473" s="2" t="s">
        <v>8486</v>
      </c>
      <c r="O1473" s="18">
        <v>44697</v>
      </c>
      <c r="P1473" s="1" t="s">
        <v>8552</v>
      </c>
    </row>
    <row r="1474" spans="1:16">
      <c r="A1474" s="1">
        <v>6</v>
      </c>
      <c r="F1474" s="22">
        <v>220463251697</v>
      </c>
      <c r="I1474" s="2" t="s">
        <v>46</v>
      </c>
      <c r="M1474" s="2" t="s">
        <v>8486</v>
      </c>
      <c r="O1474" s="18">
        <v>44697</v>
      </c>
    </row>
    <row r="1475" spans="1:16">
      <c r="A1475" s="1">
        <v>7</v>
      </c>
      <c r="F1475" s="22">
        <v>220463251345</v>
      </c>
      <c r="I1475" s="2" t="s">
        <v>44</v>
      </c>
    </row>
    <row r="1476" spans="1:16">
      <c r="A1476" s="1">
        <v>8</v>
      </c>
      <c r="F1476" s="22">
        <v>220463251513</v>
      </c>
      <c r="I1476" s="2" t="s">
        <v>44</v>
      </c>
    </row>
    <row r="1477" spans="1:16">
      <c r="A1477" s="1">
        <v>9</v>
      </c>
      <c r="F1477" s="22">
        <v>220463251719</v>
      </c>
      <c r="I1477" s="2" t="s">
        <v>44</v>
      </c>
    </row>
    <row r="1478" spans="1:16">
      <c r="A1478" s="1">
        <v>10</v>
      </c>
      <c r="F1478" s="22">
        <v>220463251751</v>
      </c>
      <c r="I1478" s="2" t="s">
        <v>44</v>
      </c>
    </row>
    <row r="1479" spans="1:16">
      <c r="A1479" s="1">
        <v>11</v>
      </c>
      <c r="F1479" s="22">
        <v>220463251693</v>
      </c>
      <c r="I1479" s="2" t="s">
        <v>46</v>
      </c>
      <c r="M1479" s="2" t="s">
        <v>3968</v>
      </c>
      <c r="O1479" s="18">
        <v>44699</v>
      </c>
    </row>
    <row r="1480" spans="1:16">
      <c r="A1480" s="1">
        <v>12</v>
      </c>
      <c r="F1480" s="22">
        <v>220463251635</v>
      </c>
      <c r="I1480" s="2" t="s">
        <v>46</v>
      </c>
      <c r="M1480" s="2" t="s">
        <v>3242</v>
      </c>
      <c r="O1480" s="18">
        <v>44698</v>
      </c>
    </row>
    <row r="1481" spans="1:16">
      <c r="A1481" s="1">
        <v>13</v>
      </c>
      <c r="F1481" s="22">
        <v>220463251723</v>
      </c>
      <c r="I1481" s="2" t="s">
        <v>46</v>
      </c>
      <c r="M1481" s="2" t="s">
        <v>3702</v>
      </c>
      <c r="O1481" s="18">
        <v>44711</v>
      </c>
    </row>
    <row r="1482" spans="1:16">
      <c r="A1482" s="1">
        <v>14</v>
      </c>
      <c r="F1482" s="22">
        <v>220463251758</v>
      </c>
      <c r="I1482" s="2" t="s">
        <v>46</v>
      </c>
      <c r="M1482" s="2" t="s">
        <v>8490</v>
      </c>
      <c r="O1482" s="18">
        <v>44699</v>
      </c>
    </row>
    <row r="1483" spans="1:16">
      <c r="A1483" s="1">
        <v>15</v>
      </c>
      <c r="F1483" s="22">
        <v>220463252053</v>
      </c>
      <c r="I1483" s="2" t="s">
        <v>44</v>
      </c>
      <c r="M1483" s="2" t="s">
        <v>8529</v>
      </c>
      <c r="O1483" s="18">
        <v>44713</v>
      </c>
    </row>
    <row r="1484" spans="1:16">
      <c r="A1484" s="1">
        <v>16</v>
      </c>
      <c r="F1484" s="22">
        <v>220463252070</v>
      </c>
      <c r="I1484" s="2" t="s">
        <v>46</v>
      </c>
      <c r="M1484" s="2" t="s">
        <v>83</v>
      </c>
      <c r="O1484" s="18">
        <v>44706</v>
      </c>
    </row>
    <row r="1485" spans="1:16">
      <c r="A1485" s="1">
        <v>17</v>
      </c>
      <c r="F1485" s="22">
        <v>220463251655</v>
      </c>
      <c r="I1485" s="2" t="s">
        <v>47</v>
      </c>
      <c r="M1485" s="2" t="s">
        <v>8529</v>
      </c>
      <c r="O1485" s="18">
        <v>44713</v>
      </c>
    </row>
    <row r="1486" spans="1:16">
      <c r="A1486" s="1">
        <v>18</v>
      </c>
      <c r="F1486" s="22">
        <v>220463251649</v>
      </c>
      <c r="I1486" s="2" t="s">
        <v>46</v>
      </c>
      <c r="M1486" s="2" t="s">
        <v>8486</v>
      </c>
      <c r="O1486" s="18">
        <v>44708</v>
      </c>
    </row>
    <row r="1487" spans="1:16">
      <c r="A1487" s="1">
        <v>19</v>
      </c>
      <c r="F1487" s="22">
        <v>220463251798</v>
      </c>
      <c r="I1487" s="2" t="s">
        <v>44</v>
      </c>
    </row>
    <row r="1488" spans="1:16">
      <c r="A1488" s="1">
        <v>20</v>
      </c>
      <c r="F1488" s="22">
        <v>220463251792</v>
      </c>
      <c r="I1488" s="2" t="s">
        <v>44</v>
      </c>
    </row>
    <row r="1489" spans="1:16">
      <c r="A1489" s="8"/>
      <c r="B1489" s="58"/>
      <c r="C1489" s="159"/>
      <c r="D1489" s="8"/>
      <c r="E1489" s="8"/>
      <c r="F1489" s="9"/>
      <c r="G1489" s="8"/>
      <c r="H1489" s="8"/>
      <c r="I1489" s="8"/>
      <c r="J1489" s="132"/>
      <c r="K1489" s="8"/>
      <c r="L1489" s="58"/>
      <c r="M1489" s="8"/>
      <c r="N1489" s="133"/>
      <c r="O1489" s="58"/>
      <c r="P1489" s="8"/>
    </row>
    <row r="1490" spans="1:16">
      <c r="A1490" s="1">
        <v>1</v>
      </c>
      <c r="B1490" s="11">
        <v>44692</v>
      </c>
      <c r="C1490" s="160">
        <v>573</v>
      </c>
      <c r="D1490" s="1" t="s">
        <v>8543</v>
      </c>
      <c r="E1490" s="1" t="s">
        <v>8553</v>
      </c>
      <c r="F1490" s="22">
        <v>439105</v>
      </c>
      <c r="I1490" s="2" t="s">
        <v>46</v>
      </c>
      <c r="M1490" s="2" t="s">
        <v>8545</v>
      </c>
      <c r="O1490" s="18">
        <v>44706</v>
      </c>
    </row>
    <row r="1491" spans="1:16">
      <c r="A1491" s="1">
        <v>2</v>
      </c>
      <c r="F1491" s="22">
        <v>438951</v>
      </c>
      <c r="I1491" s="2" t="s">
        <v>46</v>
      </c>
      <c r="M1491" s="2" t="s">
        <v>8545</v>
      </c>
      <c r="O1491" s="18">
        <v>44706</v>
      </c>
    </row>
    <row r="1492" spans="1:16">
      <c r="A1492" s="1">
        <v>3</v>
      </c>
      <c r="F1492" s="22">
        <v>438383</v>
      </c>
      <c r="I1492" s="2" t="s">
        <v>46</v>
      </c>
      <c r="M1492" s="2" t="s">
        <v>8545</v>
      </c>
      <c r="O1492" s="18">
        <v>44699</v>
      </c>
    </row>
    <row r="1493" spans="1:16">
      <c r="A1493" s="8"/>
      <c r="B1493" s="58"/>
      <c r="C1493" s="159"/>
      <c r="D1493" s="8"/>
      <c r="E1493" s="8"/>
      <c r="F1493" s="9"/>
      <c r="G1493" s="8"/>
      <c r="H1493" s="8"/>
      <c r="I1493" s="8"/>
      <c r="J1493" s="132"/>
      <c r="K1493" s="8"/>
      <c r="L1493" s="58"/>
      <c r="M1493" s="8"/>
      <c r="N1493" s="133"/>
      <c r="O1493" s="58"/>
      <c r="P1493" s="8"/>
    </row>
    <row r="1494" spans="1:16">
      <c r="A1494" s="1">
        <v>1</v>
      </c>
      <c r="B1494" s="11">
        <v>44700</v>
      </c>
      <c r="C1494" s="160">
        <v>437</v>
      </c>
      <c r="D1494" s="1" t="s">
        <v>8554</v>
      </c>
      <c r="E1494" s="1" t="s">
        <v>8555</v>
      </c>
      <c r="F1494" s="22">
        <v>22033424</v>
      </c>
      <c r="I1494" s="2" t="s">
        <v>46</v>
      </c>
      <c r="M1494" s="2" t="s">
        <v>3682</v>
      </c>
      <c r="O1494" s="18">
        <v>44705</v>
      </c>
    </row>
    <row r="1495" spans="1:16">
      <c r="A1495" s="8"/>
      <c r="B1495" s="58"/>
      <c r="C1495" s="159"/>
      <c r="D1495" s="8"/>
      <c r="E1495" s="8"/>
      <c r="F1495" s="9"/>
      <c r="G1495" s="8"/>
      <c r="H1495" s="8"/>
      <c r="I1495" s="8"/>
      <c r="J1495" s="132"/>
      <c r="K1495" s="8"/>
      <c r="L1495" s="58"/>
      <c r="M1495" s="8"/>
      <c r="N1495" s="133"/>
      <c r="O1495" s="58"/>
      <c r="P1495" s="8"/>
    </row>
    <row r="1496" spans="1:16">
      <c r="A1496" s="1">
        <v>1</v>
      </c>
      <c r="D1496" s="1" t="s">
        <v>8534</v>
      </c>
      <c r="E1496" s="1" t="s">
        <v>8556</v>
      </c>
      <c r="F1496" s="22">
        <v>220463259509</v>
      </c>
      <c r="I1496" s="2" t="s">
        <v>46</v>
      </c>
      <c r="M1496" s="2" t="s">
        <v>8557</v>
      </c>
      <c r="N1496" s="54" t="s">
        <v>8558</v>
      </c>
      <c r="O1496" s="18">
        <v>44718</v>
      </c>
      <c r="P1496" s="1" t="s">
        <v>8559</v>
      </c>
    </row>
    <row r="1497" spans="1:16">
      <c r="A1497" s="1">
        <v>2</v>
      </c>
      <c r="F1497" s="22">
        <v>220463259490</v>
      </c>
      <c r="I1497" s="2" t="s">
        <v>44</v>
      </c>
    </row>
    <row r="1498" spans="1:16">
      <c r="A1498" s="1">
        <v>3</v>
      </c>
      <c r="F1498" s="22">
        <v>220463258682</v>
      </c>
      <c r="I1498" s="2" t="s">
        <v>44</v>
      </c>
    </row>
    <row r="1499" spans="1:16">
      <c r="A1499" s="1">
        <v>4</v>
      </c>
      <c r="F1499" s="22">
        <v>220463258654</v>
      </c>
      <c r="I1499" s="2" t="s">
        <v>44</v>
      </c>
    </row>
    <row r="1500" spans="1:16">
      <c r="A1500" s="1">
        <v>5</v>
      </c>
      <c r="F1500" s="22">
        <v>220463258848</v>
      </c>
      <c r="I1500" s="2" t="s">
        <v>44</v>
      </c>
    </row>
    <row r="1501" spans="1:16">
      <c r="A1501" s="1">
        <v>6</v>
      </c>
      <c r="F1501" s="22">
        <v>220463258876</v>
      </c>
      <c r="I1501" s="2" t="s">
        <v>44</v>
      </c>
    </row>
    <row r="1502" spans="1:16">
      <c r="A1502" s="1">
        <v>7</v>
      </c>
      <c r="F1502" s="22">
        <v>220463258851</v>
      </c>
      <c r="I1502" s="2" t="s">
        <v>44</v>
      </c>
    </row>
    <row r="1503" spans="1:16">
      <c r="A1503" s="1">
        <v>8</v>
      </c>
      <c r="F1503" s="22">
        <v>220463258854</v>
      </c>
      <c r="I1503" s="2" t="s">
        <v>44</v>
      </c>
    </row>
    <row r="1504" spans="1:16">
      <c r="A1504" s="1">
        <v>9</v>
      </c>
      <c r="F1504" s="22">
        <v>220463258875</v>
      </c>
      <c r="I1504" s="2" t="s">
        <v>44</v>
      </c>
    </row>
    <row r="1505" spans="1:16">
      <c r="A1505" s="1">
        <v>10</v>
      </c>
      <c r="F1505" s="22">
        <v>220463258865</v>
      </c>
      <c r="I1505" s="2" t="s">
        <v>44</v>
      </c>
    </row>
    <row r="1506" spans="1:16">
      <c r="A1506" s="1">
        <v>11</v>
      </c>
      <c r="F1506" s="22">
        <v>220463258845</v>
      </c>
      <c r="I1506" s="2" t="s">
        <v>44</v>
      </c>
    </row>
    <row r="1507" spans="1:16">
      <c r="A1507" s="1">
        <v>12</v>
      </c>
      <c r="F1507" s="22">
        <v>220463258897</v>
      </c>
      <c r="I1507" s="2" t="s">
        <v>44</v>
      </c>
    </row>
    <row r="1508" spans="1:16">
      <c r="A1508" s="1">
        <v>13</v>
      </c>
      <c r="F1508" s="22">
        <v>220463258872</v>
      </c>
      <c r="I1508" s="2" t="s">
        <v>44</v>
      </c>
    </row>
    <row r="1509" spans="1:16">
      <c r="A1509" s="1">
        <v>14</v>
      </c>
      <c r="F1509" s="22">
        <v>220463258874</v>
      </c>
      <c r="I1509" s="2" t="s">
        <v>44</v>
      </c>
    </row>
    <row r="1510" spans="1:16">
      <c r="A1510" s="1">
        <v>15</v>
      </c>
      <c r="F1510" s="22">
        <v>220463258911</v>
      </c>
      <c r="I1510" s="2" t="s">
        <v>44</v>
      </c>
    </row>
    <row r="1511" spans="1:16">
      <c r="A1511" s="1">
        <v>16</v>
      </c>
      <c r="F1511" s="22">
        <v>220463258922</v>
      </c>
      <c r="I1511" s="2" t="s">
        <v>44</v>
      </c>
    </row>
    <row r="1512" spans="1:16">
      <c r="A1512" s="1">
        <v>17</v>
      </c>
      <c r="F1512" s="22">
        <v>220463258956</v>
      </c>
      <c r="I1512" s="2" t="s">
        <v>46</v>
      </c>
      <c r="M1512" s="2" t="s">
        <v>2322</v>
      </c>
      <c r="O1512" s="18">
        <v>44715</v>
      </c>
      <c r="P1512" s="1" t="s">
        <v>8560</v>
      </c>
    </row>
    <row r="1513" spans="1:16">
      <c r="A1513" s="1">
        <v>18</v>
      </c>
      <c r="F1513" s="22">
        <v>220463258809</v>
      </c>
      <c r="I1513" s="2" t="s">
        <v>46</v>
      </c>
      <c r="M1513" s="2" t="s">
        <v>2322</v>
      </c>
      <c r="O1513" s="18">
        <v>44715</v>
      </c>
      <c r="P1513" s="1" t="s">
        <v>8560</v>
      </c>
    </row>
    <row r="1514" spans="1:16">
      <c r="A1514" s="1">
        <v>19</v>
      </c>
      <c r="F1514" s="22">
        <v>220463258608</v>
      </c>
      <c r="I1514" s="2" t="s">
        <v>44</v>
      </c>
    </row>
    <row r="1515" spans="1:16">
      <c r="A1515" s="1">
        <v>20</v>
      </c>
      <c r="F1515" s="22">
        <v>220463258672</v>
      </c>
      <c r="I1515" s="2" t="s">
        <v>44</v>
      </c>
    </row>
    <row r="1516" spans="1:16">
      <c r="A1516" s="8"/>
      <c r="B1516" s="58"/>
      <c r="C1516" s="159"/>
      <c r="D1516" s="8"/>
      <c r="E1516" s="8"/>
      <c r="F1516" s="9"/>
      <c r="G1516" s="8"/>
      <c r="H1516" s="8"/>
      <c r="I1516" s="8"/>
      <c r="J1516" s="132"/>
      <c r="K1516" s="8"/>
      <c r="L1516" s="58"/>
      <c r="M1516" s="8"/>
      <c r="N1516" s="133"/>
      <c r="O1516" s="58"/>
      <c r="P1516" s="8"/>
    </row>
    <row r="1517" spans="1:16">
      <c r="A1517" s="1">
        <v>1</v>
      </c>
      <c r="B1517" s="11">
        <v>44714</v>
      </c>
      <c r="C1517" s="160">
        <v>486</v>
      </c>
      <c r="D1517" s="1" t="s">
        <v>8554</v>
      </c>
      <c r="E1517" s="1" t="s">
        <v>8561</v>
      </c>
      <c r="F1517" s="22">
        <v>22050431</v>
      </c>
      <c r="I1517" s="2" t="s">
        <v>46</v>
      </c>
      <c r="M1517" s="2" t="s">
        <v>8531</v>
      </c>
      <c r="O1517" s="18">
        <v>44726</v>
      </c>
      <c r="P1517" s="1" t="s">
        <v>8517</v>
      </c>
    </row>
    <row r="1518" spans="1:16">
      <c r="A1518" s="1">
        <v>2</v>
      </c>
      <c r="F1518" s="22">
        <v>22050579</v>
      </c>
      <c r="I1518" s="2" t="s">
        <v>44</v>
      </c>
    </row>
    <row r="1519" spans="1:16">
      <c r="A1519" s="1">
        <v>3</v>
      </c>
      <c r="F1519" s="22">
        <v>22050580</v>
      </c>
      <c r="I1519" s="2" t="s">
        <v>46</v>
      </c>
      <c r="M1519" s="2" t="s">
        <v>8562</v>
      </c>
      <c r="O1519" s="18">
        <v>44726</v>
      </c>
      <c r="P1519" s="1" t="s">
        <v>8559</v>
      </c>
    </row>
    <row r="1520" spans="1:16">
      <c r="A1520" s="1">
        <v>4</v>
      </c>
      <c r="F1520" s="22">
        <v>22050581</v>
      </c>
      <c r="I1520" s="2" t="s">
        <v>47</v>
      </c>
      <c r="M1520" s="2" t="s">
        <v>8563</v>
      </c>
      <c r="O1520" s="18">
        <v>44720</v>
      </c>
    </row>
    <row r="1521" spans="1:16">
      <c r="A1521" s="1">
        <v>5</v>
      </c>
      <c r="F1521" s="22">
        <v>22050582</v>
      </c>
      <c r="I1521" s="2" t="s">
        <v>44</v>
      </c>
    </row>
    <row r="1522" spans="1:16">
      <c r="A1522" s="1">
        <v>6</v>
      </c>
      <c r="F1522" s="22">
        <v>22050583</v>
      </c>
      <c r="H1522" s="1" t="s">
        <v>8739</v>
      </c>
      <c r="I1522" s="2" t="s">
        <v>46</v>
      </c>
      <c r="J1522" s="61">
        <v>44729</v>
      </c>
      <c r="K1522" s="1" t="s">
        <v>46</v>
      </c>
      <c r="M1522" s="2" t="s">
        <v>8564</v>
      </c>
      <c r="O1522" s="18">
        <v>44727</v>
      </c>
      <c r="P1522" s="1" t="s">
        <v>8560</v>
      </c>
    </row>
    <row r="1523" spans="1:16">
      <c r="A1523" s="1">
        <v>7</v>
      </c>
      <c r="F1523" s="22">
        <v>22050584</v>
      </c>
      <c r="H1523" s="1" t="s">
        <v>8739</v>
      </c>
      <c r="I1523" s="2" t="s">
        <v>46</v>
      </c>
      <c r="J1523" s="61">
        <v>44729</v>
      </c>
      <c r="K1523" s="1" t="s">
        <v>46</v>
      </c>
      <c r="M1523" s="2" t="s">
        <v>8564</v>
      </c>
      <c r="O1523" s="18">
        <v>44727</v>
      </c>
      <c r="P1523" s="1" t="s">
        <v>8560</v>
      </c>
    </row>
    <row r="1524" spans="1:16">
      <c r="A1524" s="1">
        <v>8</v>
      </c>
      <c r="F1524" s="22">
        <v>22050585</v>
      </c>
      <c r="I1524" s="2" t="s">
        <v>46</v>
      </c>
      <c r="M1524" s="2" t="s">
        <v>8565</v>
      </c>
      <c r="O1524" s="18">
        <v>44727</v>
      </c>
      <c r="P1524" s="1" t="s">
        <v>8566</v>
      </c>
    </row>
    <row r="1525" spans="1:16">
      <c r="A1525" s="1">
        <v>9</v>
      </c>
      <c r="F1525" s="22">
        <v>22050586</v>
      </c>
      <c r="I1525" s="2" t="s">
        <v>46</v>
      </c>
      <c r="M1525" s="2" t="s">
        <v>8529</v>
      </c>
      <c r="O1525" s="18">
        <v>44727</v>
      </c>
    </row>
    <row r="1526" spans="1:16">
      <c r="A1526" s="1">
        <v>10</v>
      </c>
      <c r="F1526" s="22">
        <v>22050587</v>
      </c>
      <c r="I1526" s="2" t="s">
        <v>44</v>
      </c>
      <c r="M1526" s="2" t="s">
        <v>8529</v>
      </c>
      <c r="O1526" s="18">
        <v>44727</v>
      </c>
    </row>
    <row r="1527" spans="1:16">
      <c r="A1527" s="1">
        <v>11</v>
      </c>
      <c r="F1527" s="22">
        <v>22050588</v>
      </c>
      <c r="I1527" s="2" t="s">
        <v>44</v>
      </c>
      <c r="M1527" s="2" t="s">
        <v>8529</v>
      </c>
      <c r="O1527" s="18">
        <v>44727</v>
      </c>
    </row>
    <row r="1528" spans="1:16">
      <c r="A1528" s="1">
        <v>12</v>
      </c>
      <c r="F1528" s="22">
        <v>22050589</v>
      </c>
      <c r="I1528" s="2" t="s">
        <v>44</v>
      </c>
    </row>
    <row r="1529" spans="1:16">
      <c r="A1529" s="1">
        <v>13</v>
      </c>
      <c r="F1529" s="22">
        <v>22050590</v>
      </c>
      <c r="I1529" s="2" t="s">
        <v>46</v>
      </c>
      <c r="M1529" s="2" t="s">
        <v>8563</v>
      </c>
      <c r="O1529" s="18">
        <v>44722</v>
      </c>
    </row>
    <row r="1530" spans="1:16">
      <c r="A1530" s="1">
        <v>14</v>
      </c>
      <c r="F1530" s="22">
        <v>22050615</v>
      </c>
      <c r="I1530" s="2" t="s">
        <v>46</v>
      </c>
      <c r="M1530" s="2" t="s">
        <v>8567</v>
      </c>
      <c r="O1530" s="18">
        <v>44727</v>
      </c>
      <c r="P1530" s="1" t="s">
        <v>8568</v>
      </c>
    </row>
    <row r="1531" spans="1:16">
      <c r="A1531" s="8"/>
      <c r="B1531" s="58"/>
      <c r="C1531" s="159"/>
      <c r="D1531" s="8"/>
      <c r="E1531" s="8"/>
      <c r="F1531" s="9"/>
      <c r="G1531" s="8"/>
      <c r="H1531" s="8"/>
      <c r="I1531" s="8"/>
      <c r="J1531" s="132"/>
      <c r="K1531" s="8"/>
      <c r="L1531" s="58"/>
      <c r="M1531" s="8"/>
      <c r="N1531" s="133"/>
      <c r="O1531" s="58"/>
      <c r="P1531" s="8"/>
    </row>
    <row r="1532" spans="1:16">
      <c r="A1532" s="1">
        <v>1</v>
      </c>
      <c r="B1532" s="11">
        <v>44718</v>
      </c>
      <c r="C1532" s="160">
        <v>708</v>
      </c>
      <c r="D1532" s="1" t="s">
        <v>8569</v>
      </c>
      <c r="E1532" s="1" t="s">
        <v>8570</v>
      </c>
      <c r="F1532" s="22">
        <v>433133</v>
      </c>
      <c r="I1532" s="2" t="s">
        <v>44</v>
      </c>
    </row>
    <row r="1533" spans="1:16">
      <c r="A1533" s="1">
        <v>2</v>
      </c>
      <c r="F1533" s="22">
        <v>440558</v>
      </c>
    </row>
    <row r="1534" spans="1:16">
      <c r="A1534" s="8"/>
      <c r="B1534" s="58"/>
      <c r="C1534" s="159"/>
      <c r="D1534" s="8"/>
      <c r="E1534" s="8"/>
      <c r="F1534" s="9"/>
      <c r="G1534" s="8"/>
      <c r="H1534" s="8"/>
      <c r="I1534" s="8"/>
      <c r="J1534" s="132"/>
      <c r="K1534" s="8"/>
      <c r="L1534" s="58"/>
      <c r="M1534" s="8"/>
      <c r="N1534" s="133"/>
      <c r="O1534" s="58"/>
      <c r="P1534" s="8"/>
    </row>
    <row r="1535" spans="1:16">
      <c r="A1535" s="1">
        <v>1</v>
      </c>
      <c r="B1535" s="11">
        <v>44722</v>
      </c>
      <c r="C1535" s="160">
        <v>509</v>
      </c>
      <c r="D1535" s="1" t="s">
        <v>8554</v>
      </c>
      <c r="E1535" s="1" t="s">
        <v>8571</v>
      </c>
      <c r="F1535" s="22">
        <v>22033425</v>
      </c>
      <c r="I1535" s="2" t="s">
        <v>44</v>
      </c>
    </row>
    <row r="1536" spans="1:16">
      <c r="A1536" s="1">
        <v>2</v>
      </c>
      <c r="F1536" s="22">
        <v>22033426</v>
      </c>
      <c r="I1536" s="2" t="s">
        <v>44</v>
      </c>
    </row>
    <row r="1537" spans="1:10">
      <c r="A1537" s="1">
        <v>3</v>
      </c>
      <c r="E1537" s="1" t="s">
        <v>8572</v>
      </c>
      <c r="F1537" s="22">
        <v>18050126</v>
      </c>
      <c r="I1537" s="2" t="s">
        <v>44</v>
      </c>
    </row>
    <row r="1538" spans="1:10">
      <c r="A1538" s="1">
        <v>4</v>
      </c>
      <c r="E1538" s="1" t="s">
        <v>8573</v>
      </c>
      <c r="F1538" s="22">
        <v>22050869</v>
      </c>
      <c r="I1538" s="2" t="s">
        <v>44</v>
      </c>
    </row>
    <row r="1539" spans="1:10">
      <c r="A1539" s="1">
        <v>5</v>
      </c>
      <c r="F1539" s="22">
        <v>22050871</v>
      </c>
      <c r="I1539" s="2" t="s">
        <v>44</v>
      </c>
    </row>
    <row r="1540" spans="1:10">
      <c r="A1540" s="1">
        <v>6</v>
      </c>
      <c r="F1540" s="22">
        <v>22050870</v>
      </c>
      <c r="I1540" s="2" t="s">
        <v>44</v>
      </c>
    </row>
    <row r="1541" spans="1:10">
      <c r="A1541" s="1">
        <v>7</v>
      </c>
      <c r="F1541" s="22">
        <v>22050872</v>
      </c>
      <c r="I1541" s="2" t="s">
        <v>44</v>
      </c>
    </row>
    <row r="1542" spans="1:10">
      <c r="A1542" s="1">
        <v>8</v>
      </c>
      <c r="F1542" s="22">
        <v>22051019</v>
      </c>
      <c r="I1542" s="2" t="s">
        <v>44</v>
      </c>
    </row>
    <row r="1543" spans="1:10">
      <c r="A1543" s="1">
        <v>9</v>
      </c>
      <c r="F1543" s="22">
        <v>22051020</v>
      </c>
      <c r="I1543" s="2" t="s">
        <v>44</v>
      </c>
    </row>
    <row r="1544" spans="1:10">
      <c r="A1544" s="1">
        <v>10</v>
      </c>
      <c r="F1544" s="22">
        <v>22050898</v>
      </c>
      <c r="I1544" s="2" t="s">
        <v>44</v>
      </c>
    </row>
    <row r="1545" spans="1:10">
      <c r="A1545" s="1">
        <v>11</v>
      </c>
      <c r="F1545" s="22">
        <v>22050958</v>
      </c>
      <c r="I1545" s="2" t="s">
        <v>44</v>
      </c>
    </row>
    <row r="1546" spans="1:10">
      <c r="A1546" s="1">
        <v>12</v>
      </c>
      <c r="F1546" s="22">
        <v>22050899</v>
      </c>
      <c r="I1546" s="2" t="s">
        <v>44</v>
      </c>
    </row>
    <row r="1547" spans="1:10">
      <c r="A1547" s="1">
        <v>13</v>
      </c>
      <c r="F1547" s="22">
        <v>22050900</v>
      </c>
      <c r="I1547" s="2" t="s">
        <v>44</v>
      </c>
    </row>
    <row r="1548" spans="1:10">
      <c r="A1548" s="1">
        <v>14</v>
      </c>
      <c r="F1548" s="22" t="s">
        <v>8738</v>
      </c>
      <c r="I1548" s="2" t="s">
        <v>44</v>
      </c>
      <c r="J1548" s="61">
        <v>44635</v>
      </c>
    </row>
  </sheetData>
  <dataValidations count="1">
    <dataValidation type="list" allowBlank="1" showErrorMessage="1" sqref="I2:I1440 I1535:I1048576 I1442:I1461 I1463:I1467 I1469:I1488 I1490:I1492 I1494 I1496:I1515 I1532 I1517:I1530">
      <formula1>Текущий_статус</formula1>
    </dataValidation>
  </dataValidation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6"/>
  <dimension ref="A1:P604"/>
  <sheetViews>
    <sheetView workbookViewId="0">
      <pane xSplit="3" ySplit="1" topLeftCell="D577" activePane="bottomRight" state="frozen"/>
      <selection pane="topRight" activeCell="D1" sqref="D1"/>
      <selection pane="bottomLeft" activeCell="A2" sqref="A2"/>
      <selection pane="bottomRight" activeCell="I583" sqref="I583"/>
    </sheetView>
  </sheetViews>
  <sheetFormatPr defaultRowHeight="15" outlineLevelRow="1"/>
  <cols>
    <col min="1" max="1" width="9.140625" style="1"/>
    <col min="2" max="2" width="16" style="11" customWidth="1"/>
    <col min="3" max="3" width="16" style="160" customWidth="1"/>
    <col min="4" max="5" width="20.28515625" style="1" bestFit="1" customWidth="1"/>
    <col min="6" max="6" width="16.5703125" style="2" bestFit="1" customWidth="1"/>
    <col min="7" max="8" width="12.5703125" style="1" customWidth="1"/>
    <col min="9" max="9" width="9.140625" style="2"/>
    <col min="10" max="10" width="14" style="11" customWidth="1"/>
    <col min="11" max="11" width="14" style="1" customWidth="1"/>
    <col min="12" max="12" width="18" style="11" customWidth="1"/>
    <col min="13" max="13" width="13.140625" style="2" customWidth="1"/>
    <col min="14" max="14" width="9.140625" style="2"/>
    <col min="15" max="15" width="10.140625" style="18" bestFit="1" customWidth="1"/>
    <col min="16" max="16" width="12.7109375" style="24" customWidth="1"/>
  </cols>
  <sheetData>
    <row r="1" spans="1:16" s="41" customFormat="1" ht="25.5">
      <c r="A1" s="38" t="s">
        <v>1</v>
      </c>
      <c r="B1" s="42" t="s">
        <v>469</v>
      </c>
      <c r="C1" s="154" t="s">
        <v>488</v>
      </c>
      <c r="D1" s="38" t="s">
        <v>3</v>
      </c>
      <c r="E1" s="38" t="s">
        <v>4</v>
      </c>
      <c r="F1" s="43" t="s">
        <v>5</v>
      </c>
      <c r="G1" s="38" t="s">
        <v>15</v>
      </c>
      <c r="H1" s="38" t="s">
        <v>320</v>
      </c>
      <c r="I1" s="43" t="s">
        <v>6</v>
      </c>
      <c r="J1" s="42" t="s">
        <v>7</v>
      </c>
      <c r="K1" s="39" t="s">
        <v>478</v>
      </c>
      <c r="L1" s="42" t="s">
        <v>477</v>
      </c>
      <c r="M1" s="43" t="s">
        <v>9</v>
      </c>
      <c r="N1" s="43" t="s">
        <v>8</v>
      </c>
      <c r="O1" s="45" t="s">
        <v>16</v>
      </c>
      <c r="P1" s="245" t="s">
        <v>12</v>
      </c>
    </row>
    <row r="2" spans="1:16">
      <c r="A2" s="8">
        <v>2019</v>
      </c>
      <c r="B2" s="135"/>
      <c r="C2" s="164"/>
      <c r="D2" s="136"/>
      <c r="E2" s="136"/>
      <c r="F2" s="137"/>
      <c r="G2" s="138"/>
      <c r="H2" s="138"/>
      <c r="I2" s="139"/>
      <c r="J2" s="140"/>
      <c r="K2" s="141"/>
      <c r="L2" s="140"/>
      <c r="M2" s="142"/>
      <c r="N2" s="143"/>
      <c r="O2" s="144"/>
      <c r="P2" s="58"/>
    </row>
    <row r="3" spans="1:16" ht="114.75" hidden="1" outlineLevel="1">
      <c r="A3" s="26">
        <v>1</v>
      </c>
      <c r="B3" s="71">
        <v>43475</v>
      </c>
      <c r="C3" s="165" t="s">
        <v>7032</v>
      </c>
      <c r="D3" s="27"/>
      <c r="E3" s="27" t="s">
        <v>4116</v>
      </c>
      <c r="F3" s="72">
        <v>69943696061</v>
      </c>
      <c r="G3" s="28"/>
      <c r="H3" s="28"/>
      <c r="I3" s="73"/>
      <c r="J3" s="62"/>
      <c r="K3" s="29"/>
      <c r="L3" s="62"/>
      <c r="M3" s="31" t="s">
        <v>4826</v>
      </c>
      <c r="N3" s="30" t="s">
        <v>4570</v>
      </c>
      <c r="O3" s="32">
        <v>43482</v>
      </c>
      <c r="P3" s="24">
        <v>43845</v>
      </c>
    </row>
    <row r="4" spans="1:16" ht="51" hidden="1" outlineLevel="1">
      <c r="A4" s="26">
        <v>2</v>
      </c>
      <c r="B4" s="71"/>
      <c r="C4" s="165"/>
      <c r="D4" s="27"/>
      <c r="E4" s="27"/>
      <c r="F4" s="72">
        <v>69575899061</v>
      </c>
      <c r="G4" s="28"/>
      <c r="H4" s="28"/>
      <c r="I4" s="73"/>
      <c r="J4" s="62"/>
      <c r="K4" s="29"/>
      <c r="L4" s="62"/>
      <c r="M4" s="31" t="s">
        <v>4827</v>
      </c>
      <c r="N4" s="30" t="s">
        <v>4571</v>
      </c>
      <c r="O4" s="32">
        <v>43487</v>
      </c>
      <c r="P4" s="24">
        <v>43845</v>
      </c>
    </row>
    <row r="5" spans="1:16" ht="38.25" hidden="1" outlineLevel="1">
      <c r="A5" s="26">
        <v>3</v>
      </c>
      <c r="B5" s="71"/>
      <c r="C5" s="165"/>
      <c r="D5" s="27"/>
      <c r="E5" s="27"/>
      <c r="F5" s="72">
        <v>69774408061</v>
      </c>
      <c r="G5" s="28"/>
      <c r="H5" s="28"/>
      <c r="I5" s="73"/>
      <c r="J5" s="62"/>
      <c r="K5" s="29"/>
      <c r="L5" s="62"/>
      <c r="M5" s="31" t="s">
        <v>4828</v>
      </c>
      <c r="N5" s="30" t="s">
        <v>4572</v>
      </c>
      <c r="O5" s="32">
        <v>43483</v>
      </c>
      <c r="P5" s="24">
        <v>43845</v>
      </c>
    </row>
    <row r="6" spans="1:16" ht="51" hidden="1" outlineLevel="1">
      <c r="A6" s="26">
        <v>4</v>
      </c>
      <c r="B6" s="71"/>
      <c r="C6" s="165"/>
      <c r="D6" s="27"/>
      <c r="E6" s="27"/>
      <c r="F6" s="72">
        <v>70023669061</v>
      </c>
      <c r="G6" s="28"/>
      <c r="H6" s="28"/>
      <c r="I6" s="73"/>
      <c r="J6" s="62"/>
      <c r="K6" s="29"/>
      <c r="L6" s="62"/>
      <c r="M6" s="31" t="s">
        <v>4829</v>
      </c>
      <c r="N6" s="30" t="s">
        <v>4573</v>
      </c>
      <c r="O6" s="32">
        <v>43494</v>
      </c>
      <c r="P6" s="24">
        <v>43845</v>
      </c>
    </row>
    <row r="7" spans="1:16" ht="102" hidden="1" outlineLevel="1">
      <c r="A7" s="26">
        <v>5</v>
      </c>
      <c r="B7" s="71"/>
      <c r="C7" s="165"/>
      <c r="D7" s="27"/>
      <c r="E7" s="27"/>
      <c r="F7" s="72">
        <v>70230104061</v>
      </c>
      <c r="G7" s="28"/>
      <c r="H7" s="28"/>
      <c r="I7" s="73"/>
      <c r="J7" s="62"/>
      <c r="K7" s="29"/>
      <c r="L7" s="62"/>
      <c r="M7" s="31" t="s">
        <v>4830</v>
      </c>
      <c r="N7" s="30" t="s">
        <v>4574</v>
      </c>
      <c r="O7" s="32">
        <v>43495</v>
      </c>
      <c r="P7" s="24">
        <v>43845</v>
      </c>
    </row>
    <row r="8" spans="1:16" ht="38.25" hidden="1" outlineLevel="1">
      <c r="A8" s="26">
        <v>6</v>
      </c>
      <c r="B8" s="71"/>
      <c r="C8" s="165"/>
      <c r="D8" s="27"/>
      <c r="E8" s="27"/>
      <c r="F8" s="72">
        <v>69651887061</v>
      </c>
      <c r="G8" s="28"/>
      <c r="H8" s="28"/>
      <c r="I8" s="73"/>
      <c r="J8" s="62"/>
      <c r="K8" s="29"/>
      <c r="L8" s="62"/>
      <c r="M8" s="31" t="s">
        <v>4831</v>
      </c>
      <c r="N8" s="30" t="s">
        <v>4575</v>
      </c>
      <c r="O8" s="32">
        <v>43494</v>
      </c>
      <c r="P8" s="24">
        <v>43845</v>
      </c>
    </row>
    <row r="9" spans="1:16" ht="38.25" hidden="1" outlineLevel="1">
      <c r="A9" s="26">
        <v>7</v>
      </c>
      <c r="B9" s="71"/>
      <c r="C9" s="165"/>
      <c r="D9" s="27"/>
      <c r="E9" s="27"/>
      <c r="F9" s="72">
        <v>68885092061</v>
      </c>
      <c r="G9" s="28"/>
      <c r="H9" s="28"/>
      <c r="I9" s="73"/>
      <c r="J9" s="62"/>
      <c r="K9" s="29"/>
      <c r="L9" s="62"/>
      <c r="M9" s="31" t="s">
        <v>4832</v>
      </c>
      <c r="N9" s="30" t="s">
        <v>4576</v>
      </c>
      <c r="O9" s="32">
        <v>43497</v>
      </c>
      <c r="P9" s="24">
        <v>43845</v>
      </c>
    </row>
    <row r="10" spans="1:16" ht="38.25" hidden="1" outlineLevel="1">
      <c r="A10" s="26">
        <v>8</v>
      </c>
      <c r="B10" s="71"/>
      <c r="C10" s="165"/>
      <c r="D10" s="27"/>
      <c r="E10" s="27"/>
      <c r="F10" s="72">
        <v>70337448061</v>
      </c>
      <c r="G10" s="28"/>
      <c r="H10" s="28"/>
      <c r="I10" s="73"/>
      <c r="J10" s="62"/>
      <c r="K10" s="29"/>
      <c r="L10" s="62"/>
      <c r="M10" s="31" t="s">
        <v>4833</v>
      </c>
      <c r="N10" s="30" t="s">
        <v>4577</v>
      </c>
      <c r="O10" s="32">
        <v>43498</v>
      </c>
      <c r="P10" s="24">
        <v>43845</v>
      </c>
    </row>
    <row r="11" spans="1:16" ht="38.25" hidden="1" outlineLevel="1">
      <c r="A11" s="26">
        <v>9</v>
      </c>
      <c r="B11" s="71"/>
      <c r="C11" s="165"/>
      <c r="D11" s="27"/>
      <c r="E11" s="27"/>
      <c r="F11" s="72">
        <v>70152172061</v>
      </c>
      <c r="G11" s="28"/>
      <c r="H11" s="28"/>
      <c r="I11" s="73"/>
      <c r="J11" s="62"/>
      <c r="K11" s="29"/>
      <c r="L11" s="62"/>
      <c r="M11" s="31" t="s">
        <v>4834</v>
      </c>
      <c r="N11" s="30" t="s">
        <v>4577</v>
      </c>
      <c r="O11" s="32">
        <v>43498</v>
      </c>
      <c r="P11" s="24">
        <v>43845</v>
      </c>
    </row>
    <row r="12" spans="1:16" hidden="1" outlineLevel="1">
      <c r="A12" s="134"/>
      <c r="B12" s="135"/>
      <c r="C12" s="164"/>
      <c r="D12" s="136"/>
      <c r="E12" s="136"/>
      <c r="F12" s="137"/>
      <c r="G12" s="138"/>
      <c r="H12" s="138"/>
      <c r="I12" s="139"/>
      <c r="J12" s="140"/>
      <c r="K12" s="141"/>
      <c r="L12" s="140"/>
      <c r="M12" s="142"/>
      <c r="N12" s="143"/>
      <c r="O12" s="144"/>
      <c r="P12" s="58"/>
    </row>
    <row r="13" spans="1:16" ht="89.25" hidden="1" outlineLevel="1">
      <c r="A13" s="26">
        <v>1</v>
      </c>
      <c r="B13" s="71">
        <v>43497</v>
      </c>
      <c r="C13" s="165" t="s">
        <v>7031</v>
      </c>
      <c r="D13" s="27"/>
      <c r="E13" s="27" t="s">
        <v>4116</v>
      </c>
      <c r="F13" s="72">
        <v>62538402061</v>
      </c>
      <c r="G13" s="28"/>
      <c r="H13" s="28"/>
      <c r="I13" s="73"/>
      <c r="J13" s="62"/>
      <c r="K13" s="29"/>
      <c r="L13" s="62"/>
      <c r="M13" s="31" t="s">
        <v>4835</v>
      </c>
      <c r="N13" s="30" t="s">
        <v>4578</v>
      </c>
      <c r="O13" s="32">
        <v>43503</v>
      </c>
      <c r="P13" s="24">
        <v>43845</v>
      </c>
    </row>
    <row r="14" spans="1:16" ht="51" hidden="1" outlineLevel="1">
      <c r="A14" s="26">
        <v>2</v>
      </c>
      <c r="B14" s="71"/>
      <c r="C14" s="165"/>
      <c r="D14" s="27"/>
      <c r="E14" s="27"/>
      <c r="F14" s="72">
        <v>62279875061</v>
      </c>
      <c r="G14" s="28"/>
      <c r="H14" s="28"/>
      <c r="I14" s="73"/>
      <c r="J14" s="62"/>
      <c r="K14" s="29"/>
      <c r="L14" s="62"/>
      <c r="M14" s="31" t="s">
        <v>4836</v>
      </c>
      <c r="N14" s="30" t="s">
        <v>4579</v>
      </c>
      <c r="O14" s="32">
        <v>43503</v>
      </c>
      <c r="P14" s="24">
        <v>43845</v>
      </c>
    </row>
    <row r="15" spans="1:16" ht="76.5" hidden="1" outlineLevel="1">
      <c r="A15" s="26">
        <v>3</v>
      </c>
      <c r="B15" s="71"/>
      <c r="C15" s="165"/>
      <c r="D15" s="27"/>
      <c r="E15" s="27"/>
      <c r="F15" s="72">
        <v>62697674061</v>
      </c>
      <c r="G15" s="28"/>
      <c r="H15" s="28"/>
      <c r="I15" s="73"/>
      <c r="J15" s="62"/>
      <c r="K15" s="29"/>
      <c r="L15" s="62"/>
      <c r="M15" s="31" t="s">
        <v>4837</v>
      </c>
      <c r="N15" s="30" t="s">
        <v>4580</v>
      </c>
      <c r="O15" s="32">
        <v>43510</v>
      </c>
      <c r="P15" s="24">
        <v>43845</v>
      </c>
    </row>
    <row r="16" spans="1:16" ht="38.25" hidden="1" outlineLevel="1">
      <c r="A16" s="26">
        <v>4</v>
      </c>
      <c r="B16" s="71"/>
      <c r="C16" s="165"/>
      <c r="D16" s="27"/>
      <c r="E16" s="27"/>
      <c r="F16" s="72">
        <v>62673568061</v>
      </c>
      <c r="G16" s="28"/>
      <c r="H16" s="28"/>
      <c r="I16" s="73"/>
      <c r="J16" s="62"/>
      <c r="K16" s="29"/>
      <c r="L16" s="62"/>
      <c r="M16" s="31" t="s">
        <v>4838</v>
      </c>
      <c r="N16" s="30" t="s">
        <v>4581</v>
      </c>
      <c r="O16" s="32">
        <v>43516</v>
      </c>
      <c r="P16" s="24">
        <v>43845</v>
      </c>
    </row>
    <row r="17" spans="1:16" ht="89.25" hidden="1" outlineLevel="1">
      <c r="A17" s="26">
        <v>5</v>
      </c>
      <c r="B17" s="71"/>
      <c r="C17" s="165"/>
      <c r="D17" s="27"/>
      <c r="E17" s="27"/>
      <c r="F17" s="72">
        <v>61537791061</v>
      </c>
      <c r="G17" s="28"/>
      <c r="H17" s="28"/>
      <c r="I17" s="73"/>
      <c r="J17" s="62"/>
      <c r="K17" s="29"/>
      <c r="L17" s="62"/>
      <c r="M17" s="31" t="s">
        <v>4839</v>
      </c>
      <c r="N17" s="30" t="s">
        <v>4582</v>
      </c>
      <c r="O17" s="32">
        <v>43510</v>
      </c>
      <c r="P17" s="24">
        <v>43845</v>
      </c>
    </row>
    <row r="18" spans="1:16" ht="63.75" hidden="1" outlineLevel="1">
      <c r="A18" s="26">
        <v>6</v>
      </c>
      <c r="B18" s="71"/>
      <c r="C18" s="165"/>
      <c r="D18" s="27"/>
      <c r="E18" s="27"/>
      <c r="F18" s="72">
        <v>62537141061</v>
      </c>
      <c r="G18" s="28"/>
      <c r="H18" s="28"/>
      <c r="I18" s="73"/>
      <c r="J18" s="62"/>
      <c r="K18" s="29"/>
      <c r="L18" s="62"/>
      <c r="M18" s="31" t="s">
        <v>4840</v>
      </c>
      <c r="N18" s="30" t="s">
        <v>4583</v>
      </c>
      <c r="O18" s="32">
        <v>43521</v>
      </c>
      <c r="P18" s="24">
        <v>43845</v>
      </c>
    </row>
    <row r="19" spans="1:16" hidden="1" outlineLevel="1">
      <c r="A19" s="26">
        <v>7</v>
      </c>
      <c r="B19" s="71"/>
      <c r="C19" s="165"/>
      <c r="D19" s="27"/>
      <c r="E19" s="27"/>
      <c r="F19" s="72">
        <v>62587192061</v>
      </c>
      <c r="G19" s="28"/>
      <c r="H19" s="28"/>
      <c r="I19" s="73"/>
      <c r="J19" s="62"/>
      <c r="K19" s="29"/>
      <c r="L19" s="62"/>
      <c r="M19" s="31"/>
      <c r="N19" s="30"/>
      <c r="O19" s="32"/>
    </row>
    <row r="20" spans="1:16" hidden="1" outlineLevel="1">
      <c r="A20" s="4">
        <v>8</v>
      </c>
      <c r="B20" s="24"/>
      <c r="C20" s="158"/>
      <c r="D20" s="4"/>
      <c r="E20" s="4"/>
      <c r="F20" s="2">
        <v>61521736061</v>
      </c>
      <c r="G20" s="4"/>
      <c r="H20" s="4"/>
      <c r="I20" s="73"/>
      <c r="J20" s="24"/>
      <c r="K20" s="4"/>
      <c r="L20" s="24"/>
      <c r="M20" s="2" t="s">
        <v>4841</v>
      </c>
      <c r="N20" s="2" t="s">
        <v>4584</v>
      </c>
      <c r="O20" s="18">
        <v>43537</v>
      </c>
      <c r="P20" s="24">
        <v>43845</v>
      </c>
    </row>
    <row r="21" spans="1:16" hidden="1" outlineLevel="1">
      <c r="A21" s="1">
        <v>9</v>
      </c>
      <c r="F21" s="2">
        <v>62509885061</v>
      </c>
      <c r="M21" s="2" t="s">
        <v>4842</v>
      </c>
      <c r="N21" s="2" t="s">
        <v>4585</v>
      </c>
      <c r="O21" s="18">
        <v>43543</v>
      </c>
      <c r="P21" s="24">
        <v>43845</v>
      </c>
    </row>
    <row r="22" spans="1:16" hidden="1" outlineLevel="1">
      <c r="A22" s="8"/>
      <c r="B22" s="58"/>
      <c r="C22" s="159"/>
      <c r="D22" s="8"/>
      <c r="E22" s="8"/>
      <c r="F22" s="8"/>
      <c r="G22" s="8"/>
      <c r="H22" s="8"/>
      <c r="I22" s="8"/>
      <c r="J22" s="58"/>
      <c r="K22" s="8"/>
      <c r="L22" s="58"/>
      <c r="M22" s="8"/>
      <c r="N22" s="8"/>
      <c r="O22" s="58"/>
      <c r="P22" s="58"/>
    </row>
    <row r="23" spans="1:16" hidden="1" outlineLevel="1">
      <c r="A23" s="1">
        <v>1</v>
      </c>
      <c r="B23" s="11">
        <v>43503</v>
      </c>
      <c r="C23" s="160" t="s">
        <v>7030</v>
      </c>
      <c r="E23" s="1" t="s">
        <v>4116</v>
      </c>
      <c r="F23" s="2">
        <v>29053422061</v>
      </c>
      <c r="M23" s="2" t="s">
        <v>4843</v>
      </c>
      <c r="N23" s="2" t="s">
        <v>4586</v>
      </c>
      <c r="O23" s="18">
        <v>43539</v>
      </c>
      <c r="P23" s="24">
        <v>43845</v>
      </c>
    </row>
    <row r="24" spans="1:16" hidden="1" outlineLevel="1">
      <c r="A24" s="1">
        <v>2</v>
      </c>
      <c r="F24" s="2">
        <v>28397590061</v>
      </c>
      <c r="M24" s="2" t="s">
        <v>4844</v>
      </c>
      <c r="N24" s="2" t="s">
        <v>4587</v>
      </c>
      <c r="O24" s="18">
        <v>43543</v>
      </c>
      <c r="P24" s="24">
        <v>43845</v>
      </c>
    </row>
    <row r="25" spans="1:16" hidden="1" outlineLevel="1">
      <c r="A25" s="1">
        <v>3</v>
      </c>
      <c r="F25" s="2">
        <v>28383785061</v>
      </c>
      <c r="M25" s="2" t="s">
        <v>438</v>
      </c>
      <c r="N25" s="2" t="s">
        <v>4588</v>
      </c>
      <c r="O25" s="18">
        <v>43538</v>
      </c>
      <c r="P25" s="24">
        <v>43845</v>
      </c>
    </row>
    <row r="26" spans="1:16" hidden="1" outlineLevel="1">
      <c r="A26" s="1">
        <v>4</v>
      </c>
      <c r="F26" s="2">
        <v>28960481061</v>
      </c>
    </row>
    <row r="27" spans="1:16" hidden="1" outlineLevel="1">
      <c r="A27" s="1">
        <v>5</v>
      </c>
      <c r="F27" s="2">
        <v>29042876061</v>
      </c>
      <c r="M27" s="2" t="s">
        <v>4845</v>
      </c>
      <c r="N27" s="2" t="s">
        <v>4589</v>
      </c>
      <c r="O27" s="18">
        <v>43536</v>
      </c>
      <c r="P27" s="24">
        <v>43845</v>
      </c>
    </row>
    <row r="28" spans="1:16" hidden="1" outlineLevel="1">
      <c r="A28" s="1">
        <v>6</v>
      </c>
      <c r="F28" s="2">
        <v>29118673061</v>
      </c>
      <c r="M28" s="2" t="s">
        <v>4846</v>
      </c>
      <c r="N28" s="2" t="s">
        <v>4590</v>
      </c>
      <c r="O28" s="18">
        <v>43528</v>
      </c>
      <c r="P28" s="24">
        <v>43845</v>
      </c>
    </row>
    <row r="29" spans="1:16" hidden="1" outlineLevel="1">
      <c r="A29" s="1">
        <v>7</v>
      </c>
      <c r="F29" s="2">
        <v>27719581061</v>
      </c>
      <c r="M29" s="2" t="s">
        <v>4847</v>
      </c>
      <c r="N29" s="2" t="s">
        <v>4591</v>
      </c>
      <c r="O29" s="18">
        <v>43531</v>
      </c>
      <c r="P29" s="24">
        <v>43845</v>
      </c>
    </row>
    <row r="30" spans="1:16" hidden="1" outlineLevel="1">
      <c r="A30" s="1">
        <v>8</v>
      </c>
      <c r="F30" s="2">
        <v>28480755061</v>
      </c>
      <c r="M30" s="2" t="s">
        <v>4848</v>
      </c>
      <c r="N30" s="2" t="s">
        <v>4592</v>
      </c>
      <c r="O30" s="18">
        <v>43515</v>
      </c>
      <c r="P30" s="24">
        <v>43845</v>
      </c>
    </row>
    <row r="31" spans="1:16" hidden="1" outlineLevel="1">
      <c r="A31" s="1">
        <v>9</v>
      </c>
      <c r="F31" s="2">
        <v>27620181061</v>
      </c>
      <c r="M31" s="2" t="s">
        <v>4849</v>
      </c>
      <c r="N31" s="2" t="s">
        <v>4592</v>
      </c>
      <c r="O31" s="18">
        <v>43515</v>
      </c>
      <c r="P31" s="24">
        <v>43845</v>
      </c>
    </row>
    <row r="32" spans="1:16" hidden="1" outlineLevel="1">
      <c r="A32" s="8"/>
      <c r="B32" s="58"/>
      <c r="C32" s="159"/>
      <c r="D32" s="8"/>
      <c r="E32" s="8"/>
      <c r="F32" s="8"/>
      <c r="G32" s="8"/>
      <c r="H32" s="8"/>
      <c r="I32" s="8"/>
      <c r="J32" s="58"/>
      <c r="K32" s="8"/>
      <c r="L32" s="58"/>
      <c r="M32" s="8"/>
      <c r="N32" s="8"/>
      <c r="O32" s="58"/>
      <c r="P32" s="58">
        <v>43845</v>
      </c>
    </row>
    <row r="33" spans="1:16" hidden="1" outlineLevel="1">
      <c r="A33" s="4">
        <v>1</v>
      </c>
      <c r="B33" s="24">
        <v>43535</v>
      </c>
      <c r="C33" s="158" t="s">
        <v>7029</v>
      </c>
      <c r="D33" s="4"/>
      <c r="E33" s="4" t="s">
        <v>4116</v>
      </c>
      <c r="G33" s="4"/>
      <c r="H33" s="4"/>
      <c r="J33" s="24"/>
      <c r="K33" s="4"/>
      <c r="L33" s="24"/>
      <c r="P33" s="24">
        <v>43845</v>
      </c>
    </row>
    <row r="34" spans="1:16" hidden="1" outlineLevel="1">
      <c r="A34" s="4">
        <v>2</v>
      </c>
      <c r="B34" s="24"/>
      <c r="C34" s="158"/>
      <c r="D34" s="4"/>
      <c r="E34" s="4"/>
      <c r="G34" s="4"/>
      <c r="H34" s="4"/>
      <c r="J34" s="24"/>
      <c r="K34" s="4"/>
      <c r="L34" s="24"/>
      <c r="P34" s="24">
        <v>43845</v>
      </c>
    </row>
    <row r="35" spans="1:16" hidden="1" outlineLevel="1">
      <c r="A35" s="4">
        <v>3</v>
      </c>
      <c r="B35" s="24"/>
      <c r="C35" s="158"/>
      <c r="D35" s="4"/>
      <c r="E35" s="4"/>
      <c r="G35" s="4"/>
      <c r="H35" s="4"/>
      <c r="J35" s="24"/>
      <c r="K35" s="4"/>
      <c r="L35" s="24"/>
      <c r="P35" s="24">
        <v>43845</v>
      </c>
    </row>
    <row r="36" spans="1:16" hidden="1" outlineLevel="1">
      <c r="A36" s="8"/>
      <c r="B36" s="58"/>
      <c r="C36" s="159"/>
      <c r="D36" s="8"/>
      <c r="E36" s="8"/>
      <c r="F36" s="8"/>
      <c r="G36" s="8"/>
      <c r="H36" s="8"/>
      <c r="I36" s="8"/>
      <c r="J36" s="58"/>
      <c r="K36" s="8"/>
      <c r="L36" s="58"/>
      <c r="M36" s="8"/>
      <c r="N36" s="8"/>
      <c r="O36" s="58"/>
      <c r="P36" s="58"/>
    </row>
    <row r="37" spans="1:16" hidden="1" outlineLevel="1">
      <c r="A37" s="1">
        <v>1</v>
      </c>
      <c r="B37" s="11">
        <v>43542</v>
      </c>
      <c r="C37" s="160" t="s">
        <v>7028</v>
      </c>
      <c r="E37" s="1" t="s">
        <v>4117</v>
      </c>
      <c r="F37" s="2">
        <v>23667547062</v>
      </c>
    </row>
    <row r="38" spans="1:16" hidden="1" outlineLevel="1">
      <c r="A38" s="1">
        <v>2</v>
      </c>
      <c r="F38" s="2">
        <v>56579308062</v>
      </c>
      <c r="M38" s="2" t="s">
        <v>4850</v>
      </c>
      <c r="N38" s="2" t="s">
        <v>4593</v>
      </c>
      <c r="O38" s="18">
        <v>43549</v>
      </c>
      <c r="P38" s="24">
        <v>43845</v>
      </c>
    </row>
    <row r="39" spans="1:16" hidden="1" outlineLevel="1">
      <c r="A39" s="1">
        <v>3</v>
      </c>
      <c r="F39" s="2">
        <v>746434062</v>
      </c>
      <c r="M39" s="2" t="s">
        <v>4851</v>
      </c>
      <c r="N39" s="2" t="s">
        <v>4594</v>
      </c>
      <c r="O39" s="18">
        <v>43563</v>
      </c>
      <c r="P39" s="24">
        <v>43845</v>
      </c>
    </row>
    <row r="40" spans="1:16" hidden="1" outlineLevel="1">
      <c r="A40" s="1">
        <v>4</v>
      </c>
      <c r="F40" s="2">
        <v>63185874062</v>
      </c>
      <c r="M40" s="2" t="s">
        <v>4852</v>
      </c>
      <c r="N40" s="2" t="s">
        <v>4595</v>
      </c>
      <c r="O40" s="18">
        <v>43551</v>
      </c>
      <c r="P40" s="24">
        <v>43845</v>
      </c>
    </row>
    <row r="41" spans="1:16" hidden="1" outlineLevel="1">
      <c r="A41" s="1">
        <v>5</v>
      </c>
      <c r="F41" s="2">
        <v>32497004062</v>
      </c>
      <c r="M41" s="2" t="s">
        <v>4853</v>
      </c>
      <c r="N41" s="2" t="s">
        <v>4596</v>
      </c>
      <c r="O41" s="18">
        <v>43552</v>
      </c>
      <c r="P41" s="24">
        <v>43845</v>
      </c>
    </row>
    <row r="42" spans="1:16" hidden="1" outlineLevel="1">
      <c r="A42" s="1">
        <v>6</v>
      </c>
      <c r="F42" s="2">
        <v>76609466062</v>
      </c>
    </row>
    <row r="43" spans="1:16" hidden="1" outlineLevel="1">
      <c r="A43" s="1">
        <v>7</v>
      </c>
      <c r="F43" s="2">
        <v>13639879062</v>
      </c>
      <c r="M43" s="2" t="s">
        <v>4854</v>
      </c>
      <c r="N43" s="2" t="s">
        <v>4596</v>
      </c>
      <c r="O43" s="18">
        <v>43553</v>
      </c>
      <c r="P43" s="24">
        <v>43845</v>
      </c>
    </row>
    <row r="44" spans="1:16" hidden="1" outlineLevel="1">
      <c r="A44" s="1">
        <v>8</v>
      </c>
      <c r="F44" s="2">
        <v>17027499062</v>
      </c>
      <c r="M44" s="2" t="s">
        <v>4855</v>
      </c>
      <c r="N44" s="2" t="s">
        <v>4596</v>
      </c>
      <c r="O44" s="18">
        <v>43553</v>
      </c>
      <c r="P44" s="24">
        <v>43845</v>
      </c>
    </row>
    <row r="45" spans="1:16" hidden="1" outlineLevel="1">
      <c r="A45" s="1">
        <v>9</v>
      </c>
      <c r="F45" s="2">
        <v>20418132062</v>
      </c>
      <c r="M45" s="2" t="s">
        <v>4856</v>
      </c>
      <c r="N45" s="2" t="s">
        <v>4597</v>
      </c>
      <c r="O45" s="18">
        <v>43591</v>
      </c>
      <c r="P45" s="24">
        <v>43845</v>
      </c>
    </row>
    <row r="46" spans="1:16" hidden="1" outlineLevel="1">
      <c r="A46" s="8"/>
      <c r="B46" s="58"/>
      <c r="C46" s="159"/>
      <c r="D46" s="8"/>
      <c r="E46" s="8"/>
      <c r="F46" s="8"/>
      <c r="G46" s="8"/>
      <c r="H46" s="8"/>
      <c r="I46" s="8"/>
      <c r="J46" s="58"/>
      <c r="K46" s="8"/>
      <c r="L46" s="58"/>
      <c r="M46" s="8"/>
      <c r="N46" s="8"/>
      <c r="O46" s="58"/>
      <c r="P46" s="58"/>
    </row>
    <row r="47" spans="1:16" hidden="1" outlineLevel="1">
      <c r="A47" s="1">
        <v>1</v>
      </c>
      <c r="B47" s="11">
        <v>43546</v>
      </c>
      <c r="C47" s="160" t="s">
        <v>7027</v>
      </c>
      <c r="E47" s="1" t="s">
        <v>4118</v>
      </c>
      <c r="F47" s="2" t="s">
        <v>4135</v>
      </c>
      <c r="M47" s="2" t="s">
        <v>4857</v>
      </c>
      <c r="N47" s="2" t="s">
        <v>1257</v>
      </c>
      <c r="O47" s="18">
        <v>43560</v>
      </c>
      <c r="P47" s="24">
        <v>43845</v>
      </c>
    </row>
    <row r="48" spans="1:16" hidden="1" outlineLevel="1">
      <c r="A48" s="1">
        <v>2</v>
      </c>
      <c r="C48" s="11" t="s">
        <v>4113</v>
      </c>
      <c r="F48" s="2" t="s">
        <v>4136</v>
      </c>
      <c r="M48" s="2" t="s">
        <v>1257</v>
      </c>
      <c r="N48" s="2" t="s">
        <v>1257</v>
      </c>
      <c r="O48" s="18">
        <v>43560</v>
      </c>
      <c r="P48" s="24">
        <v>43845</v>
      </c>
    </row>
    <row r="49" spans="1:16" hidden="1" outlineLevel="1">
      <c r="A49" s="1">
        <v>3</v>
      </c>
      <c r="F49" s="2" t="s">
        <v>4137</v>
      </c>
      <c r="M49" s="2" t="s">
        <v>4858</v>
      </c>
      <c r="N49" s="2" t="s">
        <v>1257</v>
      </c>
      <c r="O49" s="18">
        <v>43560</v>
      </c>
      <c r="P49" s="24">
        <v>43845</v>
      </c>
    </row>
    <row r="50" spans="1:16" hidden="1" outlineLevel="1">
      <c r="A50" s="1">
        <v>4</v>
      </c>
      <c r="F50" s="2" t="s">
        <v>4138</v>
      </c>
      <c r="M50" s="2" t="s">
        <v>4859</v>
      </c>
      <c r="N50" s="2" t="s">
        <v>1257</v>
      </c>
      <c r="O50" s="18">
        <v>43560</v>
      </c>
      <c r="P50" s="24">
        <v>43845</v>
      </c>
    </row>
    <row r="51" spans="1:16" hidden="1" outlineLevel="1">
      <c r="A51" s="1">
        <v>5</v>
      </c>
      <c r="F51" s="2" t="s">
        <v>4139</v>
      </c>
    </row>
    <row r="52" spans="1:16" hidden="1" outlineLevel="1">
      <c r="A52" s="1">
        <v>6</v>
      </c>
      <c r="F52" s="2" t="s">
        <v>4140</v>
      </c>
      <c r="M52" s="2" t="s">
        <v>4860</v>
      </c>
      <c r="N52" s="2" t="s">
        <v>4598</v>
      </c>
      <c r="O52" s="18">
        <v>43571</v>
      </c>
      <c r="P52" s="24">
        <v>43845</v>
      </c>
    </row>
    <row r="53" spans="1:16" hidden="1" outlineLevel="1">
      <c r="A53" s="1">
        <v>7</v>
      </c>
      <c r="F53" s="2" t="s">
        <v>4141</v>
      </c>
    </row>
    <row r="54" spans="1:16" hidden="1" outlineLevel="1">
      <c r="A54" s="1">
        <v>8</v>
      </c>
      <c r="F54" s="2" t="s">
        <v>4142</v>
      </c>
      <c r="M54" s="2" t="s">
        <v>4861</v>
      </c>
      <c r="N54" s="2" t="s">
        <v>1257</v>
      </c>
      <c r="O54" s="18">
        <v>43560</v>
      </c>
      <c r="P54" s="24">
        <v>43845</v>
      </c>
    </row>
    <row r="55" spans="1:16" hidden="1" outlineLevel="1">
      <c r="A55" s="1">
        <v>9</v>
      </c>
      <c r="F55" s="2" t="s">
        <v>4143</v>
      </c>
      <c r="M55" s="2" t="s">
        <v>4862</v>
      </c>
      <c r="N55" s="2" t="s">
        <v>1257</v>
      </c>
      <c r="O55" s="18">
        <v>43560</v>
      </c>
      <c r="P55" s="24">
        <v>43845</v>
      </c>
    </row>
    <row r="56" spans="1:16" hidden="1" outlineLevel="1">
      <c r="A56" s="1">
        <v>10</v>
      </c>
      <c r="F56" s="2" t="s">
        <v>4144</v>
      </c>
      <c r="M56" s="2" t="s">
        <v>4863</v>
      </c>
      <c r="N56" s="2" t="s">
        <v>1257</v>
      </c>
      <c r="O56" s="18">
        <v>43560</v>
      </c>
      <c r="P56" s="24">
        <v>43845</v>
      </c>
    </row>
    <row r="57" spans="1:16" hidden="1" outlineLevel="1">
      <c r="A57" s="1">
        <v>11</v>
      </c>
      <c r="F57" s="2" t="s">
        <v>4145</v>
      </c>
      <c r="M57" s="2" t="s">
        <v>4864</v>
      </c>
      <c r="N57" s="2" t="s">
        <v>1257</v>
      </c>
      <c r="O57" s="18">
        <v>43560</v>
      </c>
      <c r="P57" s="24">
        <v>43845</v>
      </c>
    </row>
    <row r="58" spans="1:16" hidden="1" outlineLevel="1">
      <c r="A58" s="1">
        <v>12</v>
      </c>
      <c r="F58" s="2" t="s">
        <v>4146</v>
      </c>
      <c r="M58" s="2" t="s">
        <v>4865</v>
      </c>
      <c r="N58" s="2" t="s">
        <v>1257</v>
      </c>
      <c r="O58" s="18">
        <v>43560</v>
      </c>
      <c r="P58" s="24">
        <v>43845</v>
      </c>
    </row>
    <row r="59" spans="1:16" hidden="1" outlineLevel="1">
      <c r="A59" s="8"/>
      <c r="B59" s="58"/>
      <c r="C59" s="159"/>
      <c r="D59" s="8"/>
      <c r="E59" s="8"/>
      <c r="F59" s="8"/>
      <c r="G59" s="8"/>
      <c r="H59" s="8"/>
      <c r="I59" s="8"/>
      <c r="J59" s="58"/>
      <c r="K59" s="8"/>
      <c r="L59" s="58"/>
      <c r="M59" s="8"/>
      <c r="N59" s="8"/>
      <c r="O59" s="58"/>
      <c r="P59" s="58"/>
    </row>
    <row r="60" spans="1:16" hidden="1" outlineLevel="1">
      <c r="A60" s="1">
        <v>1</v>
      </c>
      <c r="B60" s="11">
        <v>43553</v>
      </c>
      <c r="C60" s="160" t="s">
        <v>7026</v>
      </c>
      <c r="E60" s="1" t="s">
        <v>4119</v>
      </c>
      <c r="F60" s="2" t="s">
        <v>4147</v>
      </c>
    </row>
    <row r="61" spans="1:16" hidden="1" outlineLevel="1">
      <c r="A61" s="1">
        <v>2</v>
      </c>
      <c r="F61" s="2" t="s">
        <v>4148</v>
      </c>
      <c r="M61" s="2" t="s">
        <v>4866</v>
      </c>
      <c r="N61" s="2" t="s">
        <v>3153</v>
      </c>
      <c r="O61" s="18">
        <v>43559</v>
      </c>
      <c r="P61" s="24">
        <v>43845</v>
      </c>
    </row>
    <row r="62" spans="1:16" hidden="1" outlineLevel="1">
      <c r="A62" s="1">
        <v>3</v>
      </c>
      <c r="F62" s="2" t="s">
        <v>4149</v>
      </c>
      <c r="M62" s="2" t="s">
        <v>4867</v>
      </c>
      <c r="N62" s="2" t="s">
        <v>4599</v>
      </c>
      <c r="O62" s="18">
        <v>43559</v>
      </c>
      <c r="P62" s="24">
        <v>43845</v>
      </c>
    </row>
    <row r="63" spans="1:16" hidden="1" outlineLevel="1">
      <c r="A63" s="1">
        <v>4</v>
      </c>
      <c r="F63" s="2" t="s">
        <v>4150</v>
      </c>
      <c r="M63" s="2" t="s">
        <v>4868</v>
      </c>
      <c r="N63" s="2" t="s">
        <v>4600</v>
      </c>
      <c r="O63" s="18">
        <v>43564</v>
      </c>
      <c r="P63" s="24">
        <v>43845</v>
      </c>
    </row>
    <row r="64" spans="1:16" hidden="1" outlineLevel="1">
      <c r="A64" s="1">
        <v>5</v>
      </c>
      <c r="F64" s="2" t="s">
        <v>4151</v>
      </c>
      <c r="M64" s="2" t="s">
        <v>4869</v>
      </c>
      <c r="N64" s="2" t="s">
        <v>1257</v>
      </c>
      <c r="O64" s="18">
        <v>43560</v>
      </c>
      <c r="P64" s="24">
        <v>43845</v>
      </c>
    </row>
    <row r="65" spans="1:16" hidden="1" outlineLevel="1">
      <c r="A65" s="1">
        <v>6</v>
      </c>
      <c r="F65" s="2" t="s">
        <v>4152</v>
      </c>
      <c r="M65" s="2" t="s">
        <v>4870</v>
      </c>
      <c r="N65" s="2" t="s">
        <v>4601</v>
      </c>
      <c r="O65" s="18">
        <v>43566</v>
      </c>
      <c r="P65" s="24">
        <v>43845</v>
      </c>
    </row>
    <row r="66" spans="1:16" hidden="1" outlineLevel="1">
      <c r="A66" s="1">
        <v>7</v>
      </c>
      <c r="F66" s="2" t="s">
        <v>4153</v>
      </c>
      <c r="M66" s="2" t="s">
        <v>4871</v>
      </c>
      <c r="N66" s="2" t="s">
        <v>4601</v>
      </c>
      <c r="O66" s="18">
        <v>43566</v>
      </c>
      <c r="P66" s="24">
        <v>43845</v>
      </c>
    </row>
    <row r="67" spans="1:16" hidden="1" outlineLevel="1">
      <c r="A67" s="1">
        <v>8</v>
      </c>
      <c r="F67" s="2" t="s">
        <v>4154</v>
      </c>
      <c r="M67" s="2" t="s">
        <v>4872</v>
      </c>
      <c r="N67" s="2" t="s">
        <v>4602</v>
      </c>
      <c r="O67" s="18">
        <v>43570</v>
      </c>
      <c r="P67" s="24">
        <v>43845</v>
      </c>
    </row>
    <row r="68" spans="1:16" hidden="1" outlineLevel="1">
      <c r="A68" s="1">
        <v>9</v>
      </c>
      <c r="F68" s="2" t="s">
        <v>4155</v>
      </c>
      <c r="M68" s="2" t="s">
        <v>4873</v>
      </c>
      <c r="N68" s="2" t="s">
        <v>4603</v>
      </c>
      <c r="O68" s="18">
        <v>43572</v>
      </c>
      <c r="P68" s="24">
        <v>43845</v>
      </c>
    </row>
    <row r="69" spans="1:16" hidden="1" outlineLevel="1">
      <c r="A69" s="8"/>
      <c r="B69" s="58"/>
      <c r="C69" s="159"/>
      <c r="D69" s="8"/>
      <c r="E69" s="8"/>
      <c r="F69" s="8"/>
      <c r="G69" s="8"/>
      <c r="H69" s="8"/>
      <c r="I69" s="8"/>
      <c r="J69" s="58"/>
      <c r="K69" s="8"/>
      <c r="L69" s="58"/>
      <c r="M69" s="8"/>
      <c r="N69" s="8"/>
      <c r="O69" s="58"/>
      <c r="P69" s="58"/>
    </row>
    <row r="70" spans="1:16" hidden="1" outlineLevel="1">
      <c r="A70" s="1">
        <v>1</v>
      </c>
      <c r="B70" s="11">
        <v>43565</v>
      </c>
      <c r="C70" s="160" t="s">
        <v>7025</v>
      </c>
      <c r="E70" s="1" t="s">
        <v>4119</v>
      </c>
      <c r="F70" s="2" t="s">
        <v>4156</v>
      </c>
      <c r="M70" s="2" t="s">
        <v>4874</v>
      </c>
      <c r="N70" s="2" t="s">
        <v>4604</v>
      </c>
      <c r="O70" s="18">
        <v>43581</v>
      </c>
      <c r="P70" s="24">
        <v>43845</v>
      </c>
    </row>
    <row r="71" spans="1:16" hidden="1" outlineLevel="1">
      <c r="A71" s="1">
        <v>2</v>
      </c>
      <c r="F71" s="2" t="s">
        <v>4157</v>
      </c>
      <c r="M71" s="2" t="s">
        <v>4875</v>
      </c>
      <c r="N71" s="2" t="s">
        <v>4605</v>
      </c>
      <c r="O71" s="18">
        <v>43584</v>
      </c>
      <c r="P71" s="24">
        <v>43845</v>
      </c>
    </row>
    <row r="72" spans="1:16" hidden="1" outlineLevel="1">
      <c r="A72" s="1">
        <v>3</v>
      </c>
      <c r="F72" s="2" t="s">
        <v>4158</v>
      </c>
      <c r="M72" s="2" t="s">
        <v>4876</v>
      </c>
      <c r="N72" s="2" t="s">
        <v>4606</v>
      </c>
      <c r="O72" s="18">
        <v>43585</v>
      </c>
      <c r="P72" s="24">
        <v>43845</v>
      </c>
    </row>
    <row r="73" spans="1:16" hidden="1" outlineLevel="1">
      <c r="A73" s="1">
        <v>4</v>
      </c>
      <c r="F73" s="2" t="s">
        <v>4159</v>
      </c>
      <c r="M73" s="2" t="s">
        <v>4877</v>
      </c>
      <c r="N73" s="2" t="s">
        <v>4607</v>
      </c>
      <c r="O73" s="18">
        <v>43572</v>
      </c>
      <c r="P73" s="24">
        <v>43845</v>
      </c>
    </row>
    <row r="74" spans="1:16" hidden="1" outlineLevel="1">
      <c r="A74" s="1">
        <v>5</v>
      </c>
      <c r="F74" s="2" t="s">
        <v>4160</v>
      </c>
      <c r="M74" s="2" t="s">
        <v>4878</v>
      </c>
      <c r="N74" s="2" t="s">
        <v>4608</v>
      </c>
      <c r="O74" s="18">
        <v>43678</v>
      </c>
      <c r="P74" s="24">
        <v>43845</v>
      </c>
    </row>
    <row r="75" spans="1:16" hidden="1" outlineLevel="1">
      <c r="A75" s="1">
        <v>6</v>
      </c>
      <c r="F75" s="2" t="s">
        <v>4161</v>
      </c>
      <c r="M75" s="2" t="s">
        <v>4879</v>
      </c>
      <c r="N75" s="2" t="s">
        <v>4609</v>
      </c>
      <c r="O75" s="18">
        <v>43579</v>
      </c>
      <c r="P75" s="24">
        <v>43845</v>
      </c>
    </row>
    <row r="76" spans="1:16" hidden="1" outlineLevel="1">
      <c r="A76" s="1">
        <v>7</v>
      </c>
      <c r="F76" s="2" t="s">
        <v>4162</v>
      </c>
      <c r="M76" s="2" t="s">
        <v>4880</v>
      </c>
      <c r="N76" s="2" t="s">
        <v>4610</v>
      </c>
      <c r="O76" s="18">
        <v>43591</v>
      </c>
      <c r="P76" s="24">
        <v>43845</v>
      </c>
    </row>
    <row r="77" spans="1:16" hidden="1" outlineLevel="1">
      <c r="A77" s="1">
        <v>8</v>
      </c>
      <c r="F77" s="2" t="s">
        <v>4163</v>
      </c>
      <c r="M77" s="2" t="s">
        <v>4881</v>
      </c>
      <c r="N77" s="2" t="s">
        <v>4611</v>
      </c>
      <c r="O77" s="18">
        <v>43584</v>
      </c>
      <c r="P77" s="24">
        <v>43845</v>
      </c>
    </row>
    <row r="78" spans="1:16" hidden="1" outlineLevel="1">
      <c r="A78" s="1">
        <v>9</v>
      </c>
      <c r="F78" s="2" t="s">
        <v>4164</v>
      </c>
      <c r="M78" s="2" t="s">
        <v>4882</v>
      </c>
      <c r="N78" s="2" t="s">
        <v>4603</v>
      </c>
      <c r="O78" s="18">
        <v>43572</v>
      </c>
      <c r="P78" s="24">
        <v>43845</v>
      </c>
    </row>
    <row r="79" spans="1:16" hidden="1" outlineLevel="1">
      <c r="A79" s="8"/>
      <c r="B79" s="58"/>
      <c r="C79" s="159"/>
      <c r="D79" s="8"/>
      <c r="E79" s="8"/>
      <c r="F79" s="8"/>
      <c r="G79" s="8"/>
      <c r="H79" s="8"/>
      <c r="I79" s="8"/>
      <c r="J79" s="58"/>
      <c r="K79" s="8"/>
      <c r="L79" s="58"/>
      <c r="M79" s="8"/>
      <c r="N79" s="8"/>
      <c r="O79" s="58"/>
      <c r="P79" s="58"/>
    </row>
    <row r="80" spans="1:16" hidden="1" outlineLevel="1">
      <c r="A80" s="1">
        <v>1</v>
      </c>
      <c r="B80" s="11">
        <v>43585</v>
      </c>
      <c r="C80" s="160" t="s">
        <v>7024</v>
      </c>
      <c r="E80" s="1" t="s">
        <v>4119</v>
      </c>
      <c r="F80" s="2" t="s">
        <v>4165</v>
      </c>
      <c r="M80" s="2" t="s">
        <v>4883</v>
      </c>
      <c r="N80" s="2" t="s">
        <v>4612</v>
      </c>
      <c r="O80" s="18">
        <v>43593</v>
      </c>
      <c r="P80" s="24">
        <v>43845</v>
      </c>
    </row>
    <row r="81" spans="1:16" hidden="1" outlineLevel="1">
      <c r="A81" s="1">
        <v>2</v>
      </c>
      <c r="F81" s="2" t="s">
        <v>4166</v>
      </c>
      <c r="M81" s="2" t="s">
        <v>4884</v>
      </c>
      <c r="N81" s="2" t="s">
        <v>4613</v>
      </c>
      <c r="O81" s="18">
        <v>43606</v>
      </c>
      <c r="P81" s="24">
        <v>43845</v>
      </c>
    </row>
    <row r="82" spans="1:16" hidden="1" outlineLevel="1">
      <c r="A82" s="1">
        <v>3</v>
      </c>
      <c r="F82" s="2" t="s">
        <v>4167</v>
      </c>
      <c r="M82" s="2" t="s">
        <v>4885</v>
      </c>
      <c r="N82" s="2" t="s">
        <v>4614</v>
      </c>
      <c r="O82" s="18">
        <v>43598</v>
      </c>
      <c r="P82" s="24">
        <v>43845</v>
      </c>
    </row>
    <row r="83" spans="1:16" hidden="1" outlineLevel="1">
      <c r="A83" s="1">
        <v>4</v>
      </c>
      <c r="F83" s="2" t="s">
        <v>4168</v>
      </c>
      <c r="M83" s="2" t="s">
        <v>4886</v>
      </c>
      <c r="N83" s="2" t="s">
        <v>4615</v>
      </c>
      <c r="O83" s="18">
        <v>43607</v>
      </c>
      <c r="P83" s="24">
        <v>43845</v>
      </c>
    </row>
    <row r="84" spans="1:16" hidden="1" outlineLevel="1">
      <c r="A84" s="1">
        <v>5</v>
      </c>
      <c r="F84" s="2" t="s">
        <v>4169</v>
      </c>
      <c r="M84" s="2" t="s">
        <v>4887</v>
      </c>
      <c r="N84" s="2" t="s">
        <v>4616</v>
      </c>
      <c r="O84" s="18">
        <v>43599</v>
      </c>
      <c r="P84" s="24">
        <v>43845</v>
      </c>
    </row>
    <row r="85" spans="1:16" hidden="1" outlineLevel="1">
      <c r="A85" s="1">
        <v>6</v>
      </c>
      <c r="F85" s="2" t="s">
        <v>4170</v>
      </c>
      <c r="M85" s="2" t="s">
        <v>4888</v>
      </c>
      <c r="N85" s="2" t="s">
        <v>4613</v>
      </c>
      <c r="O85" s="18">
        <v>43606</v>
      </c>
      <c r="P85" s="24">
        <v>43845</v>
      </c>
    </row>
    <row r="86" spans="1:16" hidden="1" outlineLevel="1">
      <c r="A86" s="1">
        <v>7</v>
      </c>
      <c r="F86" s="2" t="s">
        <v>4171</v>
      </c>
    </row>
    <row r="87" spans="1:16" hidden="1" outlineLevel="1">
      <c r="A87" s="1">
        <v>8</v>
      </c>
      <c r="F87" s="2" t="s">
        <v>4172</v>
      </c>
      <c r="M87" s="2" t="s">
        <v>4889</v>
      </c>
      <c r="N87" s="2" t="s">
        <v>4617</v>
      </c>
      <c r="O87" s="18">
        <v>43601</v>
      </c>
      <c r="P87" s="24">
        <v>43845</v>
      </c>
    </row>
    <row r="88" spans="1:16" hidden="1" outlineLevel="1">
      <c r="A88" s="1">
        <v>9</v>
      </c>
      <c r="F88" s="2" t="s">
        <v>4173</v>
      </c>
      <c r="M88" s="2" t="s">
        <v>4890</v>
      </c>
      <c r="N88" s="2" t="s">
        <v>4613</v>
      </c>
      <c r="O88" s="18">
        <v>43606</v>
      </c>
      <c r="P88" s="24">
        <v>43845</v>
      </c>
    </row>
    <row r="89" spans="1:16" hidden="1" outlineLevel="1">
      <c r="A89" s="8"/>
      <c r="B89" s="58"/>
      <c r="C89" s="159"/>
      <c r="D89" s="8"/>
      <c r="E89" s="8"/>
      <c r="F89" s="8"/>
      <c r="G89" s="8"/>
      <c r="H89" s="8"/>
      <c r="I89" s="8"/>
      <c r="J89" s="58"/>
      <c r="K89" s="8"/>
      <c r="L89" s="58"/>
      <c r="M89" s="8"/>
      <c r="N89" s="8"/>
      <c r="O89" s="58"/>
      <c r="P89" s="58"/>
    </row>
    <row r="90" spans="1:16" hidden="1" outlineLevel="1">
      <c r="A90" s="1">
        <v>1</v>
      </c>
      <c r="B90" s="11">
        <v>43602</v>
      </c>
      <c r="C90" s="160" t="s">
        <v>7023</v>
      </c>
      <c r="E90" s="1" t="s">
        <v>4119</v>
      </c>
      <c r="F90" s="2" t="s">
        <v>4174</v>
      </c>
      <c r="M90" s="2" t="s">
        <v>4891</v>
      </c>
      <c r="N90" s="2" t="s">
        <v>4618</v>
      </c>
      <c r="O90" s="18">
        <v>43619</v>
      </c>
      <c r="P90" s="24">
        <v>43845</v>
      </c>
    </row>
    <row r="91" spans="1:16" hidden="1" outlineLevel="1">
      <c r="A91" s="1">
        <v>2</v>
      </c>
      <c r="F91" s="2" t="s">
        <v>4175</v>
      </c>
      <c r="M91" s="2" t="s">
        <v>4892</v>
      </c>
      <c r="N91" s="2" t="s">
        <v>4619</v>
      </c>
      <c r="O91" s="18">
        <v>43613</v>
      </c>
      <c r="P91" s="24">
        <v>43845</v>
      </c>
    </row>
    <row r="92" spans="1:16" hidden="1" outlineLevel="1">
      <c r="A92" s="1">
        <v>3</v>
      </c>
      <c r="F92" s="2" t="s">
        <v>4176</v>
      </c>
    </row>
    <row r="93" spans="1:16" hidden="1" outlineLevel="1">
      <c r="A93" s="1">
        <v>4</v>
      </c>
      <c r="F93" s="2" t="s">
        <v>4177</v>
      </c>
      <c r="M93" s="2" t="s">
        <v>4893</v>
      </c>
      <c r="N93" s="2" t="s">
        <v>4620</v>
      </c>
      <c r="O93" s="18">
        <v>43616</v>
      </c>
      <c r="P93" s="24">
        <v>43845</v>
      </c>
    </row>
    <row r="94" spans="1:16" hidden="1" outlineLevel="1">
      <c r="A94" s="1">
        <v>5</v>
      </c>
      <c r="F94" s="2" t="s">
        <v>4178</v>
      </c>
      <c r="M94" s="2" t="s">
        <v>4894</v>
      </c>
      <c r="N94" s="2" t="s">
        <v>4621</v>
      </c>
      <c r="O94" s="18">
        <v>43637</v>
      </c>
      <c r="P94" s="24">
        <v>43845</v>
      </c>
    </row>
    <row r="95" spans="1:16" hidden="1" outlineLevel="1">
      <c r="A95" s="1">
        <v>6</v>
      </c>
      <c r="F95" s="2" t="s">
        <v>4179</v>
      </c>
      <c r="M95" s="2" t="s">
        <v>4895</v>
      </c>
      <c r="N95" s="2" t="s">
        <v>4622</v>
      </c>
      <c r="O95" s="18">
        <v>43607</v>
      </c>
      <c r="P95" s="24">
        <v>43845</v>
      </c>
    </row>
    <row r="96" spans="1:16" hidden="1" outlineLevel="1">
      <c r="A96" s="1">
        <v>7</v>
      </c>
      <c r="F96" s="2" t="s">
        <v>4180</v>
      </c>
      <c r="M96" s="2" t="s">
        <v>4896</v>
      </c>
      <c r="N96" s="2" t="s">
        <v>4623</v>
      </c>
      <c r="O96" s="18">
        <v>43620</v>
      </c>
      <c r="P96" s="24">
        <v>43845</v>
      </c>
    </row>
    <row r="97" spans="1:16" hidden="1" outlineLevel="1">
      <c r="A97" s="1">
        <v>8</v>
      </c>
      <c r="F97" s="2" t="s">
        <v>4181</v>
      </c>
      <c r="M97" s="2" t="s">
        <v>4897</v>
      </c>
      <c r="N97" s="2" t="s">
        <v>4624</v>
      </c>
      <c r="O97" s="18">
        <v>43626</v>
      </c>
      <c r="P97" s="24">
        <v>43845</v>
      </c>
    </row>
    <row r="98" spans="1:16" hidden="1" outlineLevel="1">
      <c r="A98" s="1">
        <v>9</v>
      </c>
      <c r="F98" s="2" t="s">
        <v>4182</v>
      </c>
      <c r="M98" s="2" t="s">
        <v>4898</v>
      </c>
      <c r="N98" s="2" t="s">
        <v>4625</v>
      </c>
      <c r="O98" s="18">
        <v>43620</v>
      </c>
      <c r="P98" s="24">
        <v>43845</v>
      </c>
    </row>
    <row r="99" spans="1:16" hidden="1" outlineLevel="1">
      <c r="A99" s="1">
        <v>10</v>
      </c>
      <c r="E99" s="1" t="s">
        <v>4116</v>
      </c>
      <c r="F99" s="2">
        <v>12487218065</v>
      </c>
      <c r="M99" s="2" t="s">
        <v>4899</v>
      </c>
      <c r="N99" s="2" t="s">
        <v>4626</v>
      </c>
      <c r="O99" s="18">
        <v>43608</v>
      </c>
      <c r="P99" s="24">
        <v>43845</v>
      </c>
    </row>
    <row r="100" spans="1:16" hidden="1" outlineLevel="1">
      <c r="A100" s="8"/>
      <c r="B100" s="58"/>
      <c r="C100" s="159"/>
      <c r="D100" s="8"/>
      <c r="E100" s="8"/>
      <c r="F100" s="8"/>
      <c r="G100" s="8"/>
      <c r="H100" s="8"/>
      <c r="I100" s="8"/>
      <c r="J100" s="58"/>
      <c r="K100" s="8"/>
      <c r="L100" s="58"/>
      <c r="M100" s="8"/>
      <c r="N100" s="8"/>
      <c r="O100" s="58"/>
      <c r="P100" s="58"/>
    </row>
    <row r="101" spans="1:16" hidden="1" outlineLevel="1">
      <c r="A101" s="1">
        <v>1</v>
      </c>
      <c r="B101" s="11">
        <v>43616</v>
      </c>
      <c r="C101" s="160" t="s">
        <v>7022</v>
      </c>
      <c r="E101" s="1" t="s">
        <v>4116</v>
      </c>
      <c r="F101" s="2">
        <v>91387088066</v>
      </c>
    </row>
    <row r="102" spans="1:16" hidden="1" outlineLevel="1">
      <c r="A102" s="8"/>
      <c r="B102" s="58"/>
      <c r="C102" s="159"/>
      <c r="D102" s="8"/>
      <c r="E102" s="8"/>
      <c r="F102" s="8"/>
      <c r="G102" s="8"/>
      <c r="H102" s="8"/>
      <c r="I102" s="8"/>
      <c r="J102" s="58"/>
      <c r="K102" s="8"/>
      <c r="L102" s="58"/>
      <c r="M102" s="8"/>
      <c r="N102" s="8"/>
      <c r="O102" s="58"/>
      <c r="P102" s="58"/>
    </row>
    <row r="103" spans="1:16" hidden="1" outlineLevel="1">
      <c r="A103" s="1">
        <v>1</v>
      </c>
      <c r="B103" s="11">
        <v>43621</v>
      </c>
      <c r="C103" s="160">
        <v>4882</v>
      </c>
      <c r="E103" s="1" t="s">
        <v>4119</v>
      </c>
      <c r="F103" s="2" t="s">
        <v>4183</v>
      </c>
      <c r="M103" s="2" t="s">
        <v>4900</v>
      </c>
      <c r="N103" s="2" t="s">
        <v>4627</v>
      </c>
      <c r="O103" s="18">
        <v>43635</v>
      </c>
      <c r="P103" s="24">
        <v>43845</v>
      </c>
    </row>
    <row r="104" spans="1:16" hidden="1" outlineLevel="1">
      <c r="A104" s="1">
        <v>2</v>
      </c>
      <c r="F104" s="2" t="s">
        <v>4184</v>
      </c>
      <c r="M104" s="2" t="s">
        <v>4901</v>
      </c>
      <c r="N104" s="2" t="s">
        <v>4628</v>
      </c>
      <c r="O104" s="18">
        <v>43629</v>
      </c>
      <c r="P104" s="24">
        <v>43845</v>
      </c>
    </row>
    <row r="105" spans="1:16" hidden="1" outlineLevel="1">
      <c r="A105" s="1">
        <v>3</v>
      </c>
      <c r="E105" s="1" t="s">
        <v>4120</v>
      </c>
      <c r="F105" s="2" t="s">
        <v>4185</v>
      </c>
      <c r="M105" s="2" t="s">
        <v>4902</v>
      </c>
      <c r="N105" s="2" t="s">
        <v>4629</v>
      </c>
      <c r="O105" s="18">
        <v>43677</v>
      </c>
    </row>
    <row r="106" spans="1:16" hidden="1" outlineLevel="1">
      <c r="A106" s="1">
        <v>4</v>
      </c>
      <c r="F106" s="2" t="s">
        <v>4186</v>
      </c>
      <c r="M106" s="2" t="s">
        <v>4903</v>
      </c>
      <c r="N106" s="2" t="s">
        <v>4630</v>
      </c>
      <c r="O106" s="18">
        <v>43647</v>
      </c>
      <c r="P106" s="24">
        <v>43845</v>
      </c>
    </row>
    <row r="107" spans="1:16" hidden="1" outlineLevel="1">
      <c r="A107" s="1">
        <v>5</v>
      </c>
      <c r="F107" s="2" t="s">
        <v>4187</v>
      </c>
      <c r="M107" s="2" t="s">
        <v>4904</v>
      </c>
      <c r="N107" s="2" t="s">
        <v>4631</v>
      </c>
      <c r="O107" s="18">
        <v>43649</v>
      </c>
      <c r="P107" s="24">
        <v>43845</v>
      </c>
    </row>
    <row r="108" spans="1:16" hidden="1" outlineLevel="1">
      <c r="A108" s="1">
        <v>6</v>
      </c>
      <c r="F108" s="2" t="s">
        <v>4188</v>
      </c>
      <c r="M108" s="2" t="s">
        <v>4905</v>
      </c>
      <c r="N108" s="2" t="s">
        <v>4630</v>
      </c>
      <c r="O108" s="18">
        <v>43647</v>
      </c>
      <c r="P108" s="24">
        <v>43845</v>
      </c>
    </row>
    <row r="109" spans="1:16" hidden="1" outlineLevel="1">
      <c r="A109" s="1">
        <v>7</v>
      </c>
      <c r="F109" s="2" t="s">
        <v>4189</v>
      </c>
      <c r="M109" s="2" t="s">
        <v>4906</v>
      </c>
      <c r="N109" s="2" t="s">
        <v>4632</v>
      </c>
      <c r="O109" s="18">
        <v>43643</v>
      </c>
      <c r="P109" s="24">
        <v>43845</v>
      </c>
    </row>
    <row r="110" spans="1:16" hidden="1" outlineLevel="1">
      <c r="A110" s="1">
        <v>8</v>
      </c>
      <c r="F110" s="2" t="s">
        <v>4190</v>
      </c>
      <c r="M110" s="2" t="s">
        <v>4907</v>
      </c>
      <c r="N110" s="2" t="s">
        <v>4633</v>
      </c>
      <c r="O110" s="18">
        <v>43641</v>
      </c>
      <c r="P110" s="24">
        <v>43845</v>
      </c>
    </row>
    <row r="111" spans="1:16" hidden="1" outlineLevel="1">
      <c r="A111" s="1">
        <v>9</v>
      </c>
      <c r="F111" s="2" t="s">
        <v>4191</v>
      </c>
      <c r="M111" s="2" t="s">
        <v>4908</v>
      </c>
      <c r="N111" s="2" t="s">
        <v>4630</v>
      </c>
      <c r="O111" s="18">
        <v>43648</v>
      </c>
      <c r="P111" s="24">
        <v>43845</v>
      </c>
    </row>
    <row r="112" spans="1:16" hidden="1" outlineLevel="1">
      <c r="A112" s="8"/>
      <c r="B112" s="58"/>
      <c r="C112" s="159"/>
      <c r="D112" s="8"/>
      <c r="E112" s="8"/>
      <c r="F112" s="8"/>
      <c r="G112" s="8"/>
      <c r="H112" s="8"/>
      <c r="I112" s="8"/>
      <c r="J112" s="58"/>
      <c r="K112" s="8"/>
      <c r="L112" s="58"/>
      <c r="M112" s="8"/>
      <c r="N112" s="8"/>
      <c r="O112" s="58"/>
      <c r="P112" s="58"/>
    </row>
    <row r="113" spans="1:16" hidden="1" outlineLevel="1">
      <c r="A113" s="1">
        <v>1</v>
      </c>
      <c r="B113" s="11">
        <v>43648</v>
      </c>
      <c r="C113" s="160">
        <v>5715</v>
      </c>
      <c r="E113" s="1" t="s">
        <v>4119</v>
      </c>
      <c r="F113" s="2" t="s">
        <v>4192</v>
      </c>
      <c r="M113" s="2" t="s">
        <v>4909</v>
      </c>
      <c r="N113" s="2" t="s">
        <v>4634</v>
      </c>
      <c r="O113" s="18">
        <v>43664</v>
      </c>
      <c r="P113" s="24">
        <v>43845</v>
      </c>
    </row>
    <row r="114" spans="1:16" hidden="1" outlineLevel="1">
      <c r="A114" s="1">
        <v>2</v>
      </c>
      <c r="F114" s="2" t="s">
        <v>4193</v>
      </c>
      <c r="M114" s="2" t="s">
        <v>4910</v>
      </c>
      <c r="N114" s="2" t="s">
        <v>4635</v>
      </c>
      <c r="O114" s="18">
        <v>43663</v>
      </c>
      <c r="P114" s="24">
        <v>43845</v>
      </c>
    </row>
    <row r="115" spans="1:16" hidden="1" outlineLevel="1">
      <c r="A115" s="1">
        <v>3</v>
      </c>
      <c r="F115" s="2" t="s">
        <v>4194</v>
      </c>
      <c r="M115" s="2" t="s">
        <v>4911</v>
      </c>
      <c r="N115" s="2" t="s">
        <v>4636</v>
      </c>
      <c r="O115" s="18">
        <v>43656</v>
      </c>
      <c r="P115" s="24">
        <v>43845</v>
      </c>
    </row>
    <row r="116" spans="1:16" hidden="1" outlineLevel="1">
      <c r="A116" s="1">
        <v>4</v>
      </c>
      <c r="F116" s="2" t="s">
        <v>4195</v>
      </c>
      <c r="M116" s="2" t="s">
        <v>4912</v>
      </c>
      <c r="N116" s="2" t="s">
        <v>4637</v>
      </c>
      <c r="O116" s="18">
        <v>43656</v>
      </c>
      <c r="P116" s="24">
        <v>43845</v>
      </c>
    </row>
    <row r="117" spans="1:16" hidden="1" outlineLevel="1">
      <c r="A117" s="1">
        <v>5</v>
      </c>
      <c r="F117" s="2" t="s">
        <v>4196</v>
      </c>
      <c r="M117" s="2" t="s">
        <v>4913</v>
      </c>
      <c r="N117" s="2" t="s">
        <v>4638</v>
      </c>
      <c r="O117" s="18">
        <v>43669</v>
      </c>
      <c r="P117" s="24">
        <v>43845</v>
      </c>
    </row>
    <row r="118" spans="1:16" hidden="1" outlineLevel="1">
      <c r="A118" s="1">
        <v>6</v>
      </c>
      <c r="F118" s="2" t="s">
        <v>4197</v>
      </c>
      <c r="M118" s="2" t="s">
        <v>4914</v>
      </c>
      <c r="N118" s="2" t="s">
        <v>919</v>
      </c>
      <c r="O118" s="18">
        <v>43676</v>
      </c>
      <c r="P118" s="24">
        <v>43845</v>
      </c>
    </row>
    <row r="119" spans="1:16" hidden="1" outlineLevel="1">
      <c r="A119" s="1">
        <v>7</v>
      </c>
      <c r="F119" s="2" t="s">
        <v>4198</v>
      </c>
      <c r="M119" s="2" t="s">
        <v>4915</v>
      </c>
      <c r="N119" s="2" t="s">
        <v>4598</v>
      </c>
      <c r="O119" s="18">
        <v>43670</v>
      </c>
      <c r="P119" s="24">
        <v>43845</v>
      </c>
    </row>
    <row r="120" spans="1:16" hidden="1" outlineLevel="1">
      <c r="A120" s="1">
        <v>8</v>
      </c>
      <c r="E120" s="1" t="s">
        <v>4121</v>
      </c>
      <c r="F120" s="2" t="s">
        <v>4199</v>
      </c>
      <c r="M120" s="2" t="s">
        <v>4916</v>
      </c>
      <c r="N120" s="2" t="s">
        <v>4623</v>
      </c>
      <c r="O120" s="18">
        <v>43664</v>
      </c>
    </row>
    <row r="121" spans="1:16" hidden="1" outlineLevel="1">
      <c r="A121" s="1">
        <v>9</v>
      </c>
      <c r="F121" s="2" t="s">
        <v>4200</v>
      </c>
      <c r="M121" s="2" t="s">
        <v>4917</v>
      </c>
      <c r="N121" s="2" t="s">
        <v>4623</v>
      </c>
      <c r="O121" s="18">
        <v>43664</v>
      </c>
      <c r="P121" s="24">
        <v>43845</v>
      </c>
    </row>
    <row r="122" spans="1:16" hidden="1" outlineLevel="1">
      <c r="A122" s="8"/>
      <c r="B122" s="58"/>
      <c r="C122" s="159"/>
      <c r="D122" s="8"/>
      <c r="E122" s="8"/>
      <c r="F122" s="8"/>
      <c r="G122" s="8"/>
      <c r="H122" s="8"/>
      <c r="I122" s="8"/>
      <c r="J122" s="58"/>
      <c r="K122" s="8"/>
      <c r="L122" s="58"/>
      <c r="M122" s="8"/>
      <c r="N122" s="8"/>
      <c r="O122" s="58"/>
      <c r="P122" s="58"/>
    </row>
    <row r="123" spans="1:16" hidden="1" outlineLevel="1">
      <c r="A123" s="1">
        <v>1</v>
      </c>
      <c r="B123" s="11">
        <v>43670</v>
      </c>
      <c r="C123" s="160">
        <v>6194</v>
      </c>
      <c r="E123" s="1" t="s">
        <v>4119</v>
      </c>
      <c r="F123" s="2" t="s">
        <v>4201</v>
      </c>
      <c r="M123" s="2" t="s">
        <v>4918</v>
      </c>
      <c r="N123" s="2" t="s">
        <v>267</v>
      </c>
      <c r="O123" s="18">
        <v>43677</v>
      </c>
      <c r="P123" s="24">
        <v>43845</v>
      </c>
    </row>
    <row r="124" spans="1:16" hidden="1" outlineLevel="1">
      <c r="A124" s="1">
        <v>2</v>
      </c>
      <c r="F124" s="2" t="s">
        <v>4202</v>
      </c>
      <c r="M124" s="2" t="s">
        <v>4919</v>
      </c>
      <c r="N124" s="2" t="s">
        <v>4639</v>
      </c>
      <c r="O124" s="18">
        <v>43683</v>
      </c>
      <c r="P124" s="24">
        <v>43845</v>
      </c>
    </row>
    <row r="125" spans="1:16" hidden="1" outlineLevel="1">
      <c r="A125" s="1">
        <v>3</v>
      </c>
      <c r="F125" s="2" t="s">
        <v>4203</v>
      </c>
      <c r="M125" s="2" t="s">
        <v>4920</v>
      </c>
      <c r="N125" s="2" t="s">
        <v>4639</v>
      </c>
      <c r="O125" s="18">
        <v>43683</v>
      </c>
      <c r="P125" s="24">
        <v>43845</v>
      </c>
    </row>
    <row r="126" spans="1:16" hidden="1" outlineLevel="1">
      <c r="A126" s="1">
        <v>4</v>
      </c>
      <c r="F126" s="2" t="s">
        <v>4204</v>
      </c>
      <c r="M126" s="2" t="s">
        <v>4921</v>
      </c>
      <c r="N126" s="2" t="s">
        <v>4639</v>
      </c>
      <c r="O126" s="18">
        <v>43683</v>
      </c>
      <c r="P126" s="24">
        <v>43845</v>
      </c>
    </row>
    <row r="127" spans="1:16" hidden="1" outlineLevel="1">
      <c r="A127" s="1">
        <v>5</v>
      </c>
      <c r="F127" s="2" t="s">
        <v>4205</v>
      </c>
      <c r="M127" s="2" t="s">
        <v>4922</v>
      </c>
      <c r="N127" s="2" t="s">
        <v>4639</v>
      </c>
      <c r="O127" s="18">
        <v>43683</v>
      </c>
      <c r="P127" s="24">
        <v>43845</v>
      </c>
    </row>
    <row r="128" spans="1:16" hidden="1" outlineLevel="1">
      <c r="A128" s="1">
        <v>6</v>
      </c>
      <c r="F128" s="2" t="s">
        <v>4206</v>
      </c>
      <c r="M128" s="2" t="s">
        <v>4923</v>
      </c>
      <c r="N128" s="2" t="s">
        <v>1206</v>
      </c>
      <c r="O128" s="18">
        <v>43685</v>
      </c>
      <c r="P128" s="24">
        <v>43845</v>
      </c>
    </row>
    <row r="129" spans="1:16" hidden="1" outlineLevel="1">
      <c r="A129" s="1">
        <v>7</v>
      </c>
      <c r="F129" s="2" t="s">
        <v>4207</v>
      </c>
      <c r="M129" s="2" t="s">
        <v>4924</v>
      </c>
      <c r="N129" s="2" t="s">
        <v>4640</v>
      </c>
      <c r="O129" s="18">
        <v>43692</v>
      </c>
      <c r="P129" s="24">
        <v>43845</v>
      </c>
    </row>
    <row r="130" spans="1:16" hidden="1" outlineLevel="1">
      <c r="A130" s="1">
        <v>8</v>
      </c>
      <c r="F130" s="2" t="s">
        <v>4208</v>
      </c>
      <c r="M130" s="2" t="s">
        <v>4925</v>
      </c>
      <c r="N130" s="2" t="s">
        <v>919</v>
      </c>
      <c r="O130" s="18">
        <v>43693</v>
      </c>
      <c r="P130" s="24">
        <v>43845</v>
      </c>
    </row>
    <row r="131" spans="1:16" hidden="1" outlineLevel="1">
      <c r="A131" s="1">
        <v>9</v>
      </c>
      <c r="F131" s="2" t="s">
        <v>4209</v>
      </c>
      <c r="M131" s="2" t="s">
        <v>4926</v>
      </c>
      <c r="N131" s="2" t="s">
        <v>4641</v>
      </c>
      <c r="O131" s="18">
        <v>43696</v>
      </c>
      <c r="P131" s="24">
        <v>43845</v>
      </c>
    </row>
    <row r="132" spans="1:16" hidden="1" outlineLevel="1">
      <c r="A132" s="8"/>
      <c r="B132" s="58"/>
      <c r="C132" s="159"/>
      <c r="D132" s="8"/>
      <c r="E132" s="8"/>
      <c r="F132" s="8"/>
      <c r="G132" s="8"/>
      <c r="H132" s="8"/>
      <c r="I132" s="8"/>
      <c r="J132" s="58"/>
      <c r="K132" s="8"/>
      <c r="L132" s="58"/>
      <c r="M132" s="8"/>
      <c r="N132" s="8"/>
      <c r="O132" s="58"/>
      <c r="P132" s="58"/>
    </row>
    <row r="133" spans="1:16" hidden="1" outlineLevel="1">
      <c r="A133" s="1">
        <v>1</v>
      </c>
      <c r="B133" s="11">
        <v>43691</v>
      </c>
      <c r="C133" s="160">
        <v>6781</v>
      </c>
      <c r="E133" s="1" t="s">
        <v>4119</v>
      </c>
      <c r="F133" s="2" t="s">
        <v>4210</v>
      </c>
      <c r="M133" s="2" t="s">
        <v>4927</v>
      </c>
      <c r="N133" s="2" t="s">
        <v>4642</v>
      </c>
      <c r="O133" s="18">
        <v>43700</v>
      </c>
      <c r="P133" s="24">
        <v>43845</v>
      </c>
    </row>
    <row r="134" spans="1:16" hidden="1" outlineLevel="1">
      <c r="A134" s="1">
        <v>2</v>
      </c>
      <c r="F134" s="2" t="s">
        <v>4211</v>
      </c>
      <c r="M134" s="2" t="s">
        <v>4928</v>
      </c>
      <c r="N134" s="2" t="s">
        <v>4643</v>
      </c>
      <c r="O134" s="18">
        <v>43703</v>
      </c>
      <c r="P134" s="24">
        <v>43845</v>
      </c>
    </row>
    <row r="135" spans="1:16" hidden="1" outlineLevel="1">
      <c r="A135" s="1">
        <v>3</v>
      </c>
      <c r="F135" s="2" t="s">
        <v>4212</v>
      </c>
      <c r="M135" s="2" t="s">
        <v>4929</v>
      </c>
      <c r="N135" s="2" t="s">
        <v>4644</v>
      </c>
      <c r="P135" s="24">
        <v>43845</v>
      </c>
    </row>
    <row r="136" spans="1:16" hidden="1" outlineLevel="1">
      <c r="A136" s="1">
        <v>4</v>
      </c>
      <c r="F136" s="2" t="s">
        <v>4213</v>
      </c>
      <c r="M136" s="2" t="s">
        <v>4930</v>
      </c>
      <c r="N136" s="2" t="s">
        <v>4645</v>
      </c>
      <c r="O136" s="18">
        <v>43705</v>
      </c>
      <c r="P136" s="24">
        <v>43845</v>
      </c>
    </row>
    <row r="137" spans="1:16" hidden="1" outlineLevel="1">
      <c r="A137" s="1">
        <v>5</v>
      </c>
      <c r="F137" s="2" t="s">
        <v>4214</v>
      </c>
      <c r="M137" s="2" t="s">
        <v>4931</v>
      </c>
      <c r="N137" s="2" t="s">
        <v>4646</v>
      </c>
      <c r="O137" s="18">
        <v>43717</v>
      </c>
      <c r="P137" s="24">
        <v>43845</v>
      </c>
    </row>
    <row r="138" spans="1:16" hidden="1" outlineLevel="1">
      <c r="A138" s="1">
        <v>6</v>
      </c>
      <c r="F138" s="2" t="s">
        <v>4215</v>
      </c>
      <c r="M138" s="2" t="s">
        <v>4932</v>
      </c>
      <c r="N138" s="2" t="s">
        <v>4647</v>
      </c>
      <c r="O138" s="18">
        <v>43711</v>
      </c>
      <c r="P138" s="24">
        <v>43845</v>
      </c>
    </row>
    <row r="139" spans="1:16" hidden="1" outlineLevel="1">
      <c r="A139" s="1">
        <v>7</v>
      </c>
      <c r="F139" s="2" t="s">
        <v>4216</v>
      </c>
      <c r="M139" s="2" t="s">
        <v>4933</v>
      </c>
      <c r="N139" s="2" t="s">
        <v>4648</v>
      </c>
      <c r="P139" s="24">
        <v>43845</v>
      </c>
    </row>
    <row r="140" spans="1:16" hidden="1" outlineLevel="1">
      <c r="A140" s="1">
        <v>8</v>
      </c>
      <c r="F140" s="2" t="s">
        <v>4217</v>
      </c>
      <c r="M140" s="2" t="s">
        <v>4934</v>
      </c>
      <c r="N140" s="2" t="s">
        <v>4649</v>
      </c>
      <c r="O140" s="18">
        <v>43727</v>
      </c>
      <c r="P140" s="24">
        <v>43845</v>
      </c>
    </row>
    <row r="141" spans="1:16" hidden="1" outlineLevel="1">
      <c r="A141" s="1">
        <v>9</v>
      </c>
      <c r="F141" s="2" t="s">
        <v>4218</v>
      </c>
      <c r="M141" s="2" t="s">
        <v>4935</v>
      </c>
      <c r="N141" s="2" t="s">
        <v>4650</v>
      </c>
      <c r="O141" s="18">
        <v>43726</v>
      </c>
      <c r="P141" s="24">
        <v>43845</v>
      </c>
    </row>
    <row r="142" spans="1:16" hidden="1" outlineLevel="1">
      <c r="A142" s="8"/>
      <c r="B142" s="58"/>
      <c r="C142" s="159"/>
      <c r="D142" s="8"/>
      <c r="E142" s="8"/>
      <c r="F142" s="8"/>
      <c r="G142" s="8"/>
      <c r="H142" s="8"/>
      <c r="I142" s="8"/>
      <c r="J142" s="58"/>
      <c r="K142" s="8"/>
      <c r="L142" s="58"/>
      <c r="M142" s="8"/>
      <c r="N142" s="8"/>
      <c r="O142" s="58"/>
      <c r="P142" s="58"/>
    </row>
    <row r="143" spans="1:16" hidden="1" outlineLevel="1">
      <c r="A143" s="1">
        <v>1</v>
      </c>
      <c r="B143" s="11">
        <v>43717</v>
      </c>
      <c r="C143" s="160">
        <v>7407</v>
      </c>
      <c r="E143" s="1" t="s">
        <v>4119</v>
      </c>
      <c r="F143" s="2" t="s">
        <v>4219</v>
      </c>
      <c r="M143" s="2" t="s">
        <v>4936</v>
      </c>
      <c r="N143" s="2" t="s">
        <v>4651</v>
      </c>
      <c r="O143" s="18">
        <v>43731</v>
      </c>
      <c r="P143" s="24">
        <v>43845</v>
      </c>
    </row>
    <row r="144" spans="1:16" hidden="1" outlineLevel="1">
      <c r="A144" s="1">
        <v>2</v>
      </c>
      <c r="F144" s="2" t="s">
        <v>4220</v>
      </c>
      <c r="M144" s="2" t="s">
        <v>4937</v>
      </c>
      <c r="N144" s="2" t="s">
        <v>4652</v>
      </c>
      <c r="O144" s="18">
        <v>43732</v>
      </c>
      <c r="P144" s="24">
        <v>43845</v>
      </c>
    </row>
    <row r="145" spans="1:16" hidden="1" outlineLevel="1">
      <c r="A145" s="1">
        <v>3</v>
      </c>
      <c r="F145" s="2" t="s">
        <v>4221</v>
      </c>
      <c r="M145" s="2" t="s">
        <v>4938</v>
      </c>
      <c r="N145" s="2" t="s">
        <v>4653</v>
      </c>
      <c r="O145" s="18">
        <v>43735</v>
      </c>
      <c r="P145" s="24">
        <v>43845</v>
      </c>
    </row>
    <row r="146" spans="1:16" hidden="1" outlineLevel="1">
      <c r="A146" s="1">
        <v>4</v>
      </c>
      <c r="F146" s="2" t="s">
        <v>4222</v>
      </c>
      <c r="M146" s="2" t="s">
        <v>4939</v>
      </c>
      <c r="N146" s="2" t="s">
        <v>4644</v>
      </c>
      <c r="P146" s="24">
        <v>43845</v>
      </c>
    </row>
    <row r="147" spans="1:16" hidden="1" outlineLevel="1">
      <c r="A147" s="1">
        <v>5</v>
      </c>
      <c r="F147" s="2" t="s">
        <v>4223</v>
      </c>
      <c r="M147" s="2" t="s">
        <v>4940</v>
      </c>
      <c r="N147" s="2" t="s">
        <v>4654</v>
      </c>
      <c r="O147" s="18">
        <v>43731</v>
      </c>
      <c r="P147" s="24">
        <v>43845</v>
      </c>
    </row>
    <row r="148" spans="1:16" hidden="1" outlineLevel="1">
      <c r="A148" s="1">
        <v>6</v>
      </c>
      <c r="F148" s="2" t="s">
        <v>4224</v>
      </c>
      <c r="M148" s="2" t="s">
        <v>4941</v>
      </c>
      <c r="N148" s="2" t="s">
        <v>4655</v>
      </c>
      <c r="O148" s="18">
        <v>43731</v>
      </c>
      <c r="P148" s="24">
        <v>43845</v>
      </c>
    </row>
    <row r="149" spans="1:16" hidden="1" outlineLevel="1">
      <c r="A149" s="1">
        <v>7</v>
      </c>
      <c r="F149" s="2" t="s">
        <v>4225</v>
      </c>
      <c r="M149" s="2" t="s">
        <v>4942</v>
      </c>
      <c r="N149" s="2" t="s">
        <v>4656</v>
      </c>
      <c r="O149" s="18">
        <v>43733</v>
      </c>
      <c r="P149" s="24">
        <v>43845</v>
      </c>
    </row>
    <row r="150" spans="1:16" hidden="1" outlineLevel="1">
      <c r="A150" s="1">
        <v>8</v>
      </c>
      <c r="F150" s="2" t="s">
        <v>4226</v>
      </c>
      <c r="M150" s="2" t="s">
        <v>4943</v>
      </c>
      <c r="N150" s="2" t="s">
        <v>4657</v>
      </c>
      <c r="O150" s="18">
        <v>43734</v>
      </c>
      <c r="P150" s="24">
        <v>43845</v>
      </c>
    </row>
    <row r="151" spans="1:16" hidden="1" outlineLevel="1">
      <c r="A151" s="1">
        <v>9</v>
      </c>
      <c r="F151" s="2" t="s">
        <v>4227</v>
      </c>
      <c r="M151" s="2" t="s">
        <v>4944</v>
      </c>
      <c r="N151" s="2" t="s">
        <v>4658</v>
      </c>
      <c r="O151" s="18">
        <v>43735</v>
      </c>
      <c r="P151" s="24">
        <v>43845</v>
      </c>
    </row>
    <row r="152" spans="1:16" hidden="1" outlineLevel="1">
      <c r="A152" s="8"/>
      <c r="B152" s="58"/>
      <c r="C152" s="159"/>
      <c r="D152" s="8"/>
      <c r="E152" s="8"/>
      <c r="F152" s="8"/>
      <c r="G152" s="8"/>
      <c r="H152" s="8"/>
      <c r="I152" s="8"/>
      <c r="J152" s="58"/>
      <c r="K152" s="8"/>
      <c r="L152" s="58"/>
      <c r="M152" s="8"/>
      <c r="N152" s="8"/>
      <c r="O152" s="58"/>
      <c r="P152" s="58"/>
    </row>
    <row r="153" spans="1:16" hidden="1" outlineLevel="1">
      <c r="A153" s="1">
        <v>1</v>
      </c>
      <c r="B153" s="11">
        <v>43733</v>
      </c>
      <c r="C153" s="160">
        <v>7647</v>
      </c>
      <c r="E153" s="1" t="s">
        <v>4119</v>
      </c>
      <c r="F153" s="2" t="s">
        <v>4228</v>
      </c>
      <c r="M153" s="2" t="s">
        <v>4945</v>
      </c>
      <c r="N153" s="2" t="s">
        <v>4659</v>
      </c>
      <c r="O153" s="18">
        <v>43749</v>
      </c>
      <c r="P153" s="24">
        <v>43845</v>
      </c>
    </row>
    <row r="154" spans="1:16" hidden="1" outlineLevel="1">
      <c r="A154" s="1">
        <v>2</v>
      </c>
      <c r="F154" s="2" t="s">
        <v>4229</v>
      </c>
      <c r="M154" s="2" t="s">
        <v>4946</v>
      </c>
      <c r="N154" s="2" t="s">
        <v>4660</v>
      </c>
      <c r="O154" s="18">
        <v>43749</v>
      </c>
      <c r="P154" s="24">
        <v>43845</v>
      </c>
    </row>
    <row r="155" spans="1:16" hidden="1" outlineLevel="1">
      <c r="A155" s="1">
        <v>3</v>
      </c>
      <c r="F155" s="2" t="s">
        <v>4230</v>
      </c>
      <c r="M155" s="2" t="s">
        <v>4947</v>
      </c>
      <c r="N155" s="2" t="s">
        <v>1253</v>
      </c>
      <c r="O155" s="18">
        <v>43752</v>
      </c>
      <c r="P155" s="24">
        <v>43845</v>
      </c>
    </row>
    <row r="156" spans="1:16" hidden="1" outlineLevel="1">
      <c r="A156" s="1">
        <v>4</v>
      </c>
      <c r="F156" s="2" t="s">
        <v>4231</v>
      </c>
      <c r="P156" s="24">
        <v>43845</v>
      </c>
    </row>
    <row r="157" spans="1:16" hidden="1" outlineLevel="1">
      <c r="A157" s="1">
        <v>5</v>
      </c>
      <c r="F157" s="2" t="s">
        <v>4232</v>
      </c>
      <c r="P157" s="24">
        <v>43845</v>
      </c>
    </row>
    <row r="158" spans="1:16" hidden="1" outlineLevel="1">
      <c r="A158" s="1">
        <v>6</v>
      </c>
      <c r="F158" s="2" t="s">
        <v>4233</v>
      </c>
      <c r="P158" s="24">
        <v>43845</v>
      </c>
    </row>
    <row r="159" spans="1:16" hidden="1" outlineLevel="1">
      <c r="A159" s="1">
        <v>7</v>
      </c>
      <c r="F159" s="2" t="s">
        <v>4234</v>
      </c>
      <c r="M159" s="2" t="s">
        <v>4948</v>
      </c>
      <c r="N159" s="2" t="s">
        <v>4598</v>
      </c>
      <c r="O159" s="18">
        <v>43749</v>
      </c>
      <c r="P159" s="24">
        <v>43845</v>
      </c>
    </row>
    <row r="160" spans="1:16" hidden="1" outlineLevel="1">
      <c r="A160" s="1">
        <v>8</v>
      </c>
      <c r="F160" s="2" t="s">
        <v>4235</v>
      </c>
      <c r="M160" s="2" t="s">
        <v>4949</v>
      </c>
      <c r="N160" s="2" t="s">
        <v>4601</v>
      </c>
      <c r="O160" s="18">
        <v>43748</v>
      </c>
      <c r="P160" s="24">
        <v>43845</v>
      </c>
    </row>
    <row r="161" spans="1:16" hidden="1" outlineLevel="1">
      <c r="A161" s="1">
        <v>9</v>
      </c>
      <c r="F161" s="2" t="s">
        <v>4236</v>
      </c>
      <c r="M161" s="2" t="s">
        <v>4950</v>
      </c>
      <c r="N161" s="2" t="s">
        <v>4661</v>
      </c>
      <c r="O161" s="18">
        <v>43748</v>
      </c>
      <c r="P161" s="24">
        <v>43845</v>
      </c>
    </row>
    <row r="162" spans="1:16" hidden="1" outlineLevel="1">
      <c r="A162" s="8"/>
      <c r="B162" s="58"/>
      <c r="C162" s="159"/>
      <c r="D162" s="8"/>
      <c r="E162" s="8"/>
      <c r="F162" s="8"/>
      <c r="G162" s="8"/>
      <c r="H162" s="8"/>
      <c r="I162" s="8"/>
      <c r="J162" s="58"/>
      <c r="K162" s="8"/>
      <c r="L162" s="58"/>
      <c r="M162" s="8"/>
      <c r="N162" s="8"/>
      <c r="O162" s="58"/>
      <c r="P162" s="58"/>
    </row>
    <row r="163" spans="1:16" hidden="1" outlineLevel="1">
      <c r="A163" s="1">
        <v>1</v>
      </c>
      <c r="B163" s="11">
        <v>43752</v>
      </c>
      <c r="C163" s="160">
        <v>8160</v>
      </c>
      <c r="E163" s="1" t="s">
        <v>4119</v>
      </c>
      <c r="F163" s="2" t="s">
        <v>4237</v>
      </c>
    </row>
    <row r="164" spans="1:16" hidden="1" outlineLevel="1">
      <c r="A164" s="1">
        <v>2</v>
      </c>
      <c r="F164" s="2" t="s">
        <v>4238</v>
      </c>
      <c r="M164" s="2" t="s">
        <v>4951</v>
      </c>
      <c r="N164" s="2" t="s">
        <v>4662</v>
      </c>
      <c r="O164" s="18">
        <v>43761</v>
      </c>
      <c r="P164" s="24">
        <v>43845</v>
      </c>
    </row>
    <row r="165" spans="1:16" hidden="1" outlineLevel="1">
      <c r="A165" s="1">
        <v>3</v>
      </c>
      <c r="F165" s="2" t="s">
        <v>4239</v>
      </c>
    </row>
    <row r="166" spans="1:16" hidden="1" outlineLevel="1">
      <c r="A166" s="1">
        <v>4</v>
      </c>
      <c r="F166" s="2" t="s">
        <v>4240</v>
      </c>
    </row>
    <row r="167" spans="1:16" hidden="1" outlineLevel="1">
      <c r="A167" s="1">
        <v>5</v>
      </c>
      <c r="F167" s="2" t="s">
        <v>4241</v>
      </c>
    </row>
    <row r="168" spans="1:16" hidden="1" outlineLevel="1">
      <c r="A168" s="1">
        <v>6</v>
      </c>
      <c r="F168" s="2" t="s">
        <v>4242</v>
      </c>
      <c r="M168" s="2" t="s">
        <v>4952</v>
      </c>
      <c r="N168" s="2" t="s">
        <v>4663</v>
      </c>
      <c r="O168" s="18">
        <v>43767</v>
      </c>
      <c r="P168" s="24">
        <v>43845</v>
      </c>
    </row>
    <row r="169" spans="1:16" hidden="1" outlineLevel="1">
      <c r="A169" s="1">
        <v>7</v>
      </c>
      <c r="F169" s="2" t="s">
        <v>4243</v>
      </c>
      <c r="M169" s="2" t="s">
        <v>4953</v>
      </c>
      <c r="N169" s="2" t="s">
        <v>4664</v>
      </c>
      <c r="O169" s="18">
        <v>43768</v>
      </c>
      <c r="P169" s="24">
        <v>43845</v>
      </c>
    </row>
    <row r="170" spans="1:16" hidden="1" outlineLevel="1">
      <c r="A170" s="1">
        <v>8</v>
      </c>
      <c r="F170" s="2" t="s">
        <v>4244</v>
      </c>
      <c r="M170" s="2" t="s">
        <v>4954</v>
      </c>
      <c r="N170" s="2" t="s">
        <v>4665</v>
      </c>
      <c r="O170" s="18">
        <v>43770</v>
      </c>
      <c r="P170" s="24">
        <v>43845</v>
      </c>
    </row>
    <row r="171" spans="1:16" hidden="1" outlineLevel="1">
      <c r="A171" s="1">
        <v>9</v>
      </c>
      <c r="F171" s="2" t="s">
        <v>4245</v>
      </c>
      <c r="M171" s="2" t="s">
        <v>3405</v>
      </c>
      <c r="N171" s="2" t="s">
        <v>4666</v>
      </c>
      <c r="O171" s="18">
        <v>43760</v>
      </c>
      <c r="P171" s="24">
        <v>43845</v>
      </c>
    </row>
    <row r="172" spans="1:16" hidden="1" outlineLevel="1">
      <c r="A172" s="8"/>
      <c r="B172" s="58"/>
      <c r="C172" s="159"/>
      <c r="D172" s="8"/>
      <c r="E172" s="8"/>
      <c r="F172" s="8"/>
      <c r="G172" s="8"/>
      <c r="H172" s="8"/>
      <c r="I172" s="8"/>
      <c r="J172" s="58"/>
      <c r="K172" s="8"/>
      <c r="L172" s="58"/>
      <c r="M172" s="8"/>
      <c r="N172" s="8"/>
      <c r="O172" s="58"/>
      <c r="P172" s="58"/>
    </row>
    <row r="173" spans="1:16" hidden="1" outlineLevel="1">
      <c r="A173" s="1">
        <v>1</v>
      </c>
      <c r="B173" s="11">
        <v>43766</v>
      </c>
      <c r="C173" s="160">
        <v>8472</v>
      </c>
      <c r="E173" s="1" t="s">
        <v>4119</v>
      </c>
      <c r="F173" s="2" t="s">
        <v>4246</v>
      </c>
      <c r="M173" s="2" t="s">
        <v>4955</v>
      </c>
      <c r="N173" s="2" t="s">
        <v>4667</v>
      </c>
      <c r="O173" s="18">
        <v>43769</v>
      </c>
      <c r="P173" s="24">
        <v>43845</v>
      </c>
    </row>
    <row r="174" spans="1:16" hidden="1" outlineLevel="1">
      <c r="A174" s="1">
        <v>2</v>
      </c>
      <c r="F174" s="2" t="s">
        <v>4247</v>
      </c>
      <c r="M174" s="2" t="s">
        <v>4956</v>
      </c>
      <c r="N174" s="2" t="s">
        <v>4668</v>
      </c>
      <c r="O174" s="18">
        <v>43775</v>
      </c>
      <c r="P174" s="24">
        <v>43845</v>
      </c>
    </row>
    <row r="175" spans="1:16" hidden="1" outlineLevel="1">
      <c r="A175" s="1">
        <v>3</v>
      </c>
      <c r="F175" s="2" t="s">
        <v>4248</v>
      </c>
      <c r="M175" s="2" t="s">
        <v>4957</v>
      </c>
      <c r="N175" s="2" t="s">
        <v>4669</v>
      </c>
      <c r="O175" s="18">
        <v>43775</v>
      </c>
      <c r="P175" s="24">
        <v>43845</v>
      </c>
    </row>
    <row r="176" spans="1:16" hidden="1" outlineLevel="1">
      <c r="A176" s="1">
        <v>4</v>
      </c>
      <c r="F176" s="2" t="s">
        <v>4249</v>
      </c>
    </row>
    <row r="177" spans="1:16" hidden="1" outlineLevel="1">
      <c r="A177" s="1">
        <v>5</v>
      </c>
      <c r="F177" s="2" t="s">
        <v>4250</v>
      </c>
      <c r="M177" s="2" t="s">
        <v>4958</v>
      </c>
      <c r="N177" s="2" t="s">
        <v>4670</v>
      </c>
      <c r="O177" s="18">
        <v>43770</v>
      </c>
      <c r="P177" s="24">
        <v>43845</v>
      </c>
    </row>
    <row r="178" spans="1:16" hidden="1" outlineLevel="1">
      <c r="A178" s="1">
        <v>6</v>
      </c>
      <c r="F178" s="2" t="s">
        <v>4251</v>
      </c>
      <c r="M178" s="2" t="s">
        <v>4959</v>
      </c>
      <c r="N178" s="2" t="s">
        <v>4671</v>
      </c>
      <c r="O178" s="18">
        <v>43774</v>
      </c>
      <c r="P178" s="24">
        <v>43845</v>
      </c>
    </row>
    <row r="179" spans="1:16" hidden="1" outlineLevel="1">
      <c r="A179" s="1">
        <v>7</v>
      </c>
      <c r="F179" s="2" t="s">
        <v>4252</v>
      </c>
      <c r="M179" s="2" t="s">
        <v>4960</v>
      </c>
      <c r="N179" s="2" t="s">
        <v>4672</v>
      </c>
      <c r="O179" s="18">
        <v>43776</v>
      </c>
      <c r="P179" s="24">
        <v>43845</v>
      </c>
    </row>
    <row r="180" spans="1:16" hidden="1" outlineLevel="1">
      <c r="A180" s="1">
        <v>8</v>
      </c>
      <c r="F180" s="2" t="s">
        <v>4253</v>
      </c>
      <c r="M180" s="2" t="s">
        <v>4961</v>
      </c>
      <c r="N180" s="2" t="s">
        <v>4673</v>
      </c>
      <c r="O180" s="18">
        <v>43778</v>
      </c>
      <c r="P180" s="24">
        <v>43845</v>
      </c>
    </row>
    <row r="181" spans="1:16" hidden="1" outlineLevel="1">
      <c r="A181" s="1">
        <v>9</v>
      </c>
      <c r="F181" s="2" t="s">
        <v>4254</v>
      </c>
      <c r="M181" s="2" t="s">
        <v>4962</v>
      </c>
      <c r="N181" s="2" t="s">
        <v>4674</v>
      </c>
      <c r="O181" s="18">
        <v>43780</v>
      </c>
      <c r="P181" s="24">
        <v>43845</v>
      </c>
    </row>
    <row r="182" spans="1:16" hidden="1" outlineLevel="1">
      <c r="A182" s="8"/>
      <c r="B182" s="58"/>
      <c r="C182" s="159"/>
      <c r="D182" s="8"/>
      <c r="E182" s="8"/>
      <c r="F182" s="8"/>
      <c r="G182" s="8"/>
      <c r="H182" s="8"/>
      <c r="I182" s="8"/>
      <c r="J182" s="58"/>
      <c r="K182" s="8"/>
      <c r="L182" s="58"/>
      <c r="M182" s="8"/>
      <c r="N182" s="8"/>
      <c r="O182" s="58"/>
      <c r="P182" s="58"/>
    </row>
    <row r="183" spans="1:16" hidden="1" outlineLevel="1">
      <c r="A183" s="1">
        <v>1</v>
      </c>
      <c r="B183" s="11">
        <v>43775</v>
      </c>
      <c r="C183" s="160">
        <v>8818</v>
      </c>
      <c r="E183" s="1" t="s">
        <v>4119</v>
      </c>
      <c r="F183" s="2" t="s">
        <v>4255</v>
      </c>
      <c r="M183" s="2" t="s">
        <v>4963</v>
      </c>
      <c r="N183" s="2" t="s">
        <v>4675</v>
      </c>
      <c r="O183" s="18">
        <v>43787</v>
      </c>
      <c r="P183" s="24">
        <v>43845</v>
      </c>
    </row>
    <row r="184" spans="1:16" hidden="1" outlineLevel="1">
      <c r="A184" s="1">
        <v>2</v>
      </c>
      <c r="F184" s="2" t="s">
        <v>4256</v>
      </c>
      <c r="M184" s="2" t="s">
        <v>4964</v>
      </c>
      <c r="N184" s="2" t="s">
        <v>4676</v>
      </c>
      <c r="O184" s="18">
        <v>43783</v>
      </c>
      <c r="P184" s="24">
        <v>43845</v>
      </c>
    </row>
    <row r="185" spans="1:16" hidden="1" outlineLevel="1">
      <c r="A185" s="1">
        <v>3</v>
      </c>
      <c r="F185" s="2" t="s">
        <v>4257</v>
      </c>
      <c r="M185" s="2" t="s">
        <v>4965</v>
      </c>
      <c r="N185" s="2" t="s">
        <v>1430</v>
      </c>
      <c r="O185" s="18">
        <v>43781</v>
      </c>
      <c r="P185" s="24">
        <v>43845</v>
      </c>
    </row>
    <row r="186" spans="1:16" hidden="1" outlineLevel="1">
      <c r="A186" s="1">
        <v>4</v>
      </c>
      <c r="F186" s="2" t="s">
        <v>4258</v>
      </c>
      <c r="M186" s="2" t="s">
        <v>4966</v>
      </c>
      <c r="N186" s="2" t="s">
        <v>4677</v>
      </c>
      <c r="O186" s="18">
        <v>43781</v>
      </c>
      <c r="P186" s="24">
        <v>43845</v>
      </c>
    </row>
    <row r="187" spans="1:16" hidden="1" outlineLevel="1">
      <c r="A187" s="1">
        <v>5</v>
      </c>
      <c r="F187" s="2" t="s">
        <v>4259</v>
      </c>
    </row>
    <row r="188" spans="1:16" hidden="1" outlineLevel="1">
      <c r="A188" s="1">
        <v>6</v>
      </c>
      <c r="F188" s="2" t="s">
        <v>4260</v>
      </c>
      <c r="M188" s="2" t="s">
        <v>4967</v>
      </c>
      <c r="N188" s="2" t="s">
        <v>4678</v>
      </c>
      <c r="O188" s="18">
        <v>43783</v>
      </c>
      <c r="P188" s="24">
        <v>43845</v>
      </c>
    </row>
    <row r="189" spans="1:16" hidden="1" outlineLevel="1">
      <c r="A189" s="1">
        <v>7</v>
      </c>
      <c r="F189" s="2" t="s">
        <v>4261</v>
      </c>
      <c r="M189" s="2" t="s">
        <v>4968</v>
      </c>
      <c r="N189" s="2" t="s">
        <v>4679</v>
      </c>
      <c r="O189" s="18">
        <v>43781</v>
      </c>
      <c r="P189" s="24">
        <v>43845</v>
      </c>
    </row>
    <row r="190" spans="1:16" hidden="1" outlineLevel="1">
      <c r="A190" s="1">
        <v>8</v>
      </c>
      <c r="F190" s="2" t="s">
        <v>4262</v>
      </c>
      <c r="M190" s="2" t="s">
        <v>4969</v>
      </c>
      <c r="N190" s="2" t="s">
        <v>4680</v>
      </c>
      <c r="O190" s="18">
        <v>43781</v>
      </c>
      <c r="P190" s="24">
        <v>43845</v>
      </c>
    </row>
    <row r="191" spans="1:16" hidden="1" outlineLevel="1">
      <c r="A191" s="1">
        <v>9</v>
      </c>
      <c r="F191" s="2" t="s">
        <v>4263</v>
      </c>
    </row>
    <row r="192" spans="1:16" hidden="1" outlineLevel="1">
      <c r="A192" s="8"/>
      <c r="B192" s="58"/>
      <c r="C192" s="159"/>
      <c r="D192" s="8"/>
      <c r="E192" s="8"/>
      <c r="F192" s="8"/>
      <c r="G192" s="8"/>
      <c r="H192" s="8"/>
      <c r="I192" s="8"/>
      <c r="J192" s="58"/>
      <c r="K192" s="8"/>
      <c r="L192" s="58"/>
      <c r="M192" s="8"/>
      <c r="N192" s="8"/>
      <c r="O192" s="58"/>
      <c r="P192" s="58"/>
    </row>
    <row r="193" spans="1:16" hidden="1" outlineLevel="1">
      <c r="A193" s="1">
        <v>1</v>
      </c>
      <c r="B193" s="11">
        <v>43776</v>
      </c>
      <c r="C193" s="160">
        <v>8863</v>
      </c>
      <c r="E193" s="1" t="s">
        <v>4119</v>
      </c>
      <c r="F193" s="2" t="s">
        <v>4264</v>
      </c>
      <c r="M193" s="2" t="s">
        <v>4970</v>
      </c>
      <c r="N193" s="2" t="s">
        <v>4681</v>
      </c>
      <c r="O193" s="18">
        <v>43798</v>
      </c>
      <c r="P193" s="24">
        <v>43845</v>
      </c>
    </row>
    <row r="194" spans="1:16" hidden="1" outlineLevel="1">
      <c r="A194" s="1">
        <v>2</v>
      </c>
      <c r="F194" s="2" t="s">
        <v>4265</v>
      </c>
      <c r="M194" s="2" t="s">
        <v>4971</v>
      </c>
      <c r="N194" s="2" t="s">
        <v>4682</v>
      </c>
      <c r="O194" s="18">
        <v>43796</v>
      </c>
      <c r="P194" s="24">
        <v>43845</v>
      </c>
    </row>
    <row r="195" spans="1:16" hidden="1" outlineLevel="1">
      <c r="A195" s="1">
        <v>3</v>
      </c>
      <c r="F195" s="2" t="s">
        <v>4266</v>
      </c>
      <c r="M195" s="2" t="s">
        <v>4972</v>
      </c>
      <c r="N195" s="2" t="s">
        <v>4683</v>
      </c>
      <c r="O195" s="18">
        <v>43796</v>
      </c>
      <c r="P195" s="24">
        <v>43845</v>
      </c>
    </row>
    <row r="196" spans="1:16" hidden="1" outlineLevel="1">
      <c r="A196" s="1">
        <v>4</v>
      </c>
      <c r="F196" s="2" t="s">
        <v>4267</v>
      </c>
      <c r="M196" s="2" t="s">
        <v>4973</v>
      </c>
      <c r="N196" s="2" t="s">
        <v>4684</v>
      </c>
      <c r="O196" s="18">
        <v>43795</v>
      </c>
      <c r="P196" s="24">
        <v>43845</v>
      </c>
    </row>
    <row r="197" spans="1:16" hidden="1" outlineLevel="1">
      <c r="A197" s="1">
        <v>5</v>
      </c>
      <c r="F197" s="2" t="s">
        <v>4268</v>
      </c>
      <c r="M197" s="2" t="s">
        <v>4974</v>
      </c>
      <c r="N197" s="2" t="s">
        <v>4685</v>
      </c>
      <c r="O197" s="18">
        <v>43795</v>
      </c>
      <c r="P197" s="24">
        <v>43845</v>
      </c>
    </row>
    <row r="198" spans="1:16" hidden="1" outlineLevel="1">
      <c r="A198" s="1">
        <v>6</v>
      </c>
      <c r="F198" s="2" t="s">
        <v>4269</v>
      </c>
      <c r="M198" s="2" t="s">
        <v>4975</v>
      </c>
      <c r="N198" s="2" t="s">
        <v>4686</v>
      </c>
      <c r="O198" s="18">
        <v>43788</v>
      </c>
      <c r="P198" s="24">
        <v>43845</v>
      </c>
    </row>
    <row r="199" spans="1:16" hidden="1" outlineLevel="1">
      <c r="A199" s="1">
        <v>7</v>
      </c>
      <c r="F199" s="2" t="s">
        <v>4270</v>
      </c>
      <c r="M199" s="2" t="s">
        <v>4976</v>
      </c>
      <c r="N199" s="2" t="s">
        <v>4687</v>
      </c>
      <c r="O199" s="18">
        <v>43795</v>
      </c>
      <c r="P199" s="24">
        <v>43845</v>
      </c>
    </row>
    <row r="200" spans="1:16" hidden="1" outlineLevel="1">
      <c r="A200" s="1">
        <v>8</v>
      </c>
      <c r="F200" s="2" t="s">
        <v>4271</v>
      </c>
      <c r="M200" s="2" t="s">
        <v>4977</v>
      </c>
      <c r="N200" s="2" t="s">
        <v>4688</v>
      </c>
      <c r="O200" s="18">
        <v>43795</v>
      </c>
      <c r="P200" s="24">
        <v>43845</v>
      </c>
    </row>
    <row r="201" spans="1:16" hidden="1" outlineLevel="1">
      <c r="A201" s="1">
        <v>9</v>
      </c>
      <c r="F201" s="2" t="s">
        <v>4272</v>
      </c>
      <c r="M201" s="2" t="s">
        <v>4978</v>
      </c>
      <c r="N201" s="2" t="s">
        <v>4689</v>
      </c>
      <c r="O201" s="18">
        <v>43794</v>
      </c>
      <c r="P201" s="24">
        <v>43845</v>
      </c>
    </row>
    <row r="202" spans="1:16" hidden="1" outlineLevel="1">
      <c r="A202" s="8"/>
      <c r="B202" s="58"/>
      <c r="C202" s="159"/>
      <c r="D202" s="8"/>
      <c r="E202" s="8"/>
      <c r="F202" s="8"/>
      <c r="G202" s="8"/>
      <c r="H202" s="8"/>
      <c r="I202" s="8"/>
      <c r="J202" s="58"/>
      <c r="K202" s="8"/>
      <c r="L202" s="58"/>
      <c r="M202" s="8"/>
      <c r="N202" s="8"/>
      <c r="O202" s="58"/>
      <c r="P202" s="58"/>
    </row>
    <row r="203" spans="1:16" hidden="1" outlineLevel="1">
      <c r="A203" s="1">
        <v>1</v>
      </c>
      <c r="B203" s="11">
        <v>43794</v>
      </c>
      <c r="C203" s="160">
        <v>9109</v>
      </c>
      <c r="E203" s="1" t="s">
        <v>4119</v>
      </c>
      <c r="F203" s="2" t="s">
        <v>4273</v>
      </c>
      <c r="M203" s="2" t="s">
        <v>4979</v>
      </c>
      <c r="N203" s="2" t="s">
        <v>4679</v>
      </c>
      <c r="O203" s="18">
        <v>43798</v>
      </c>
      <c r="P203" s="24">
        <v>43845</v>
      </c>
    </row>
    <row r="204" spans="1:16" hidden="1" outlineLevel="1">
      <c r="A204" s="1">
        <v>2</v>
      </c>
      <c r="F204" s="2" t="s">
        <v>4274</v>
      </c>
      <c r="M204" s="2" t="s">
        <v>4980</v>
      </c>
      <c r="N204" s="2" t="s">
        <v>4690</v>
      </c>
      <c r="O204" s="18">
        <v>43798</v>
      </c>
      <c r="P204" s="24">
        <v>43845</v>
      </c>
    </row>
    <row r="205" spans="1:16" hidden="1" outlineLevel="1">
      <c r="A205" s="1">
        <v>3</v>
      </c>
      <c r="F205" s="2" t="s">
        <v>4275</v>
      </c>
      <c r="M205" s="2" t="s">
        <v>4981</v>
      </c>
      <c r="N205" s="2" t="s">
        <v>4691</v>
      </c>
      <c r="O205" s="18">
        <v>43802</v>
      </c>
      <c r="P205" s="24">
        <v>43845</v>
      </c>
    </row>
    <row r="206" spans="1:16" hidden="1" outlineLevel="1">
      <c r="A206" s="1">
        <v>4</v>
      </c>
      <c r="F206" s="2" t="s">
        <v>4276</v>
      </c>
      <c r="M206" s="2" t="s">
        <v>4982</v>
      </c>
      <c r="N206" s="2" t="s">
        <v>4692</v>
      </c>
      <c r="O206" s="18">
        <v>43802</v>
      </c>
      <c r="P206" s="24">
        <v>43845</v>
      </c>
    </row>
    <row r="207" spans="1:16" hidden="1" outlineLevel="1">
      <c r="A207" s="1">
        <v>5</v>
      </c>
      <c r="F207" s="2" t="s">
        <v>4277</v>
      </c>
      <c r="M207" s="2" t="s">
        <v>4983</v>
      </c>
      <c r="N207" s="2" t="s">
        <v>4693</v>
      </c>
      <c r="O207" s="18">
        <v>43803</v>
      </c>
      <c r="P207" s="24">
        <v>43845</v>
      </c>
    </row>
    <row r="208" spans="1:16" hidden="1" outlineLevel="1">
      <c r="A208" s="1">
        <v>6</v>
      </c>
      <c r="F208" s="2" t="s">
        <v>4278</v>
      </c>
      <c r="M208" s="2" t="s">
        <v>4984</v>
      </c>
      <c r="N208" s="2" t="s">
        <v>1936</v>
      </c>
      <c r="O208" s="18">
        <v>43812</v>
      </c>
      <c r="P208" s="24">
        <v>43845</v>
      </c>
    </row>
    <row r="209" spans="1:16" hidden="1" outlineLevel="1">
      <c r="A209" s="1">
        <v>7</v>
      </c>
      <c r="F209" s="2" t="s">
        <v>4279</v>
      </c>
      <c r="M209" s="2" t="s">
        <v>4985</v>
      </c>
      <c r="N209" s="2" t="s">
        <v>1936</v>
      </c>
      <c r="O209" s="18">
        <v>43815</v>
      </c>
      <c r="P209" s="24">
        <v>43845</v>
      </c>
    </row>
    <row r="210" spans="1:16" hidden="1" outlineLevel="1">
      <c r="A210" s="1">
        <v>8</v>
      </c>
      <c r="F210" s="2" t="s">
        <v>4280</v>
      </c>
      <c r="M210" s="2" t="s">
        <v>4986</v>
      </c>
      <c r="N210" s="2" t="s">
        <v>4694</v>
      </c>
      <c r="O210" s="18">
        <v>43817</v>
      </c>
      <c r="P210" s="24">
        <v>43845</v>
      </c>
    </row>
    <row r="211" spans="1:16" hidden="1" outlineLevel="1">
      <c r="A211" s="1">
        <v>9</v>
      </c>
      <c r="F211" s="2" t="s">
        <v>4281</v>
      </c>
      <c r="M211" s="2" t="s">
        <v>4987</v>
      </c>
      <c r="N211" s="2" t="s">
        <v>4695</v>
      </c>
      <c r="O211" s="18">
        <v>43812</v>
      </c>
      <c r="P211" s="24">
        <v>43845</v>
      </c>
    </row>
    <row r="212" spans="1:16" hidden="1" outlineLevel="1">
      <c r="A212" s="1">
        <v>10</v>
      </c>
      <c r="F212" s="2" t="s">
        <v>4282</v>
      </c>
      <c r="M212" s="2" t="s">
        <v>4988</v>
      </c>
      <c r="N212" s="2" t="s">
        <v>4696</v>
      </c>
      <c r="O212" s="18">
        <v>43820</v>
      </c>
      <c r="P212" s="24">
        <v>43845</v>
      </c>
    </row>
    <row r="213" spans="1:16" hidden="1" outlineLevel="1">
      <c r="A213" s="1">
        <v>11</v>
      </c>
      <c r="F213" s="2" t="s">
        <v>4283</v>
      </c>
      <c r="M213" s="2" t="s">
        <v>4989</v>
      </c>
      <c r="N213" s="2" t="s">
        <v>4697</v>
      </c>
      <c r="O213" s="18">
        <v>43824</v>
      </c>
      <c r="P213" s="24">
        <v>43845</v>
      </c>
    </row>
    <row r="214" spans="1:16" hidden="1" outlineLevel="1">
      <c r="A214" s="1">
        <v>12</v>
      </c>
      <c r="F214" s="2" t="s">
        <v>4284</v>
      </c>
      <c r="M214" s="2" t="s">
        <v>4990</v>
      </c>
      <c r="N214" s="2" t="s">
        <v>4698</v>
      </c>
      <c r="O214" s="18">
        <v>43825</v>
      </c>
      <c r="P214" s="24">
        <v>43845</v>
      </c>
    </row>
    <row r="215" spans="1:16" hidden="1" outlineLevel="1">
      <c r="A215" s="1">
        <v>13</v>
      </c>
      <c r="F215" s="2" t="s">
        <v>4285</v>
      </c>
      <c r="M215" s="2" t="s">
        <v>4991</v>
      </c>
      <c r="N215" s="2" t="s">
        <v>4699</v>
      </c>
      <c r="O215" s="18">
        <v>43811</v>
      </c>
      <c r="P215" s="24">
        <v>43845</v>
      </c>
    </row>
    <row r="216" spans="1:16" hidden="1" outlineLevel="1">
      <c r="A216" s="1">
        <v>14</v>
      </c>
      <c r="F216" s="2" t="s">
        <v>4286</v>
      </c>
      <c r="M216" s="2" t="s">
        <v>4992</v>
      </c>
      <c r="N216" s="2" t="s">
        <v>4695</v>
      </c>
      <c r="O216" s="18">
        <v>43812</v>
      </c>
      <c r="P216" s="24">
        <v>43845</v>
      </c>
    </row>
    <row r="217" spans="1:16" hidden="1" outlineLevel="1">
      <c r="A217" s="1">
        <v>15</v>
      </c>
      <c r="F217" s="2" t="s">
        <v>4287</v>
      </c>
      <c r="M217" s="2" t="s">
        <v>4993</v>
      </c>
      <c r="N217" s="2" t="s">
        <v>4700</v>
      </c>
      <c r="O217" s="18">
        <v>43815</v>
      </c>
      <c r="P217" s="24">
        <v>43845</v>
      </c>
    </row>
    <row r="218" spans="1:16" hidden="1" outlineLevel="1">
      <c r="A218" s="1">
        <v>16</v>
      </c>
      <c r="F218" s="2" t="s">
        <v>4288</v>
      </c>
      <c r="M218" s="2" t="s">
        <v>4994</v>
      </c>
      <c r="N218" s="2" t="s">
        <v>4701</v>
      </c>
      <c r="O218" s="18">
        <v>43815</v>
      </c>
      <c r="P218" s="24">
        <v>43845</v>
      </c>
    </row>
    <row r="219" spans="1:16" hidden="1" outlineLevel="1">
      <c r="A219" s="1">
        <v>17</v>
      </c>
      <c r="F219" s="2" t="s">
        <v>4289</v>
      </c>
      <c r="M219" s="2" t="s">
        <v>4995</v>
      </c>
      <c r="N219" s="2" t="s">
        <v>4702</v>
      </c>
      <c r="O219" s="18">
        <v>43816</v>
      </c>
      <c r="P219" s="24">
        <v>43845</v>
      </c>
    </row>
    <row r="220" spans="1:16" hidden="1" outlineLevel="1">
      <c r="A220" s="1">
        <v>18</v>
      </c>
      <c r="F220" s="2" t="s">
        <v>4290</v>
      </c>
      <c r="M220" s="2" t="s">
        <v>4996</v>
      </c>
      <c r="N220" s="2" t="s">
        <v>4703</v>
      </c>
      <c r="O220" s="18">
        <v>43818</v>
      </c>
      <c r="P220" s="24">
        <v>43845</v>
      </c>
    </row>
    <row r="221" spans="1:16" hidden="1" outlineLevel="1">
      <c r="A221" s="8"/>
      <c r="B221" s="58"/>
      <c r="C221" s="159"/>
      <c r="D221" s="8"/>
      <c r="E221" s="8"/>
      <c r="F221" s="8"/>
      <c r="G221" s="8"/>
      <c r="H221" s="8"/>
      <c r="I221" s="8"/>
      <c r="J221" s="58"/>
      <c r="K221" s="8"/>
      <c r="L221" s="58"/>
      <c r="M221" s="8"/>
      <c r="N221" s="8"/>
      <c r="O221" s="58"/>
      <c r="P221" s="58"/>
    </row>
    <row r="222" spans="1:16" hidden="1" outlineLevel="1">
      <c r="A222" s="1">
        <v>1</v>
      </c>
      <c r="B222" s="11">
        <v>43816</v>
      </c>
      <c r="C222" s="160">
        <v>9507</v>
      </c>
      <c r="E222" s="1" t="s">
        <v>4119</v>
      </c>
      <c r="F222" s="2" t="s">
        <v>4291</v>
      </c>
      <c r="M222" s="2" t="s">
        <v>836</v>
      </c>
      <c r="N222" s="2" t="s">
        <v>836</v>
      </c>
      <c r="O222" s="18" t="s">
        <v>836</v>
      </c>
      <c r="P222" s="24">
        <v>43921</v>
      </c>
    </row>
    <row r="223" spans="1:16" hidden="1" outlineLevel="1">
      <c r="A223" s="1">
        <v>2</v>
      </c>
      <c r="F223" s="2" t="s">
        <v>4292</v>
      </c>
      <c r="M223" s="2" t="s">
        <v>4997</v>
      </c>
      <c r="N223" s="2" t="s">
        <v>4704</v>
      </c>
      <c r="O223" s="18">
        <v>43846</v>
      </c>
      <c r="P223" s="24">
        <v>43921</v>
      </c>
    </row>
    <row r="224" spans="1:16" hidden="1" outlineLevel="1">
      <c r="A224" s="1">
        <v>3</v>
      </c>
      <c r="F224" s="2" t="s">
        <v>4293</v>
      </c>
      <c r="M224" s="2" t="s">
        <v>4998</v>
      </c>
      <c r="N224" s="2" t="s">
        <v>1936</v>
      </c>
      <c r="O224" s="18">
        <v>43850</v>
      </c>
      <c r="P224" s="24">
        <v>43921</v>
      </c>
    </row>
    <row r="225" spans="1:16" hidden="1" outlineLevel="1">
      <c r="A225" s="1">
        <v>4</v>
      </c>
      <c r="F225" s="2" t="s">
        <v>4294</v>
      </c>
      <c r="M225" s="2" t="s">
        <v>4999</v>
      </c>
      <c r="N225" s="2" t="s">
        <v>4705</v>
      </c>
      <c r="O225" s="18">
        <v>43857</v>
      </c>
      <c r="P225" s="24">
        <v>43921</v>
      </c>
    </row>
    <row r="226" spans="1:16" hidden="1" outlineLevel="1">
      <c r="A226" s="1">
        <v>5</v>
      </c>
      <c r="F226" s="2" t="s">
        <v>4295</v>
      </c>
      <c r="M226" s="2" t="s">
        <v>5000</v>
      </c>
      <c r="N226" s="2" t="s">
        <v>4706</v>
      </c>
      <c r="O226" s="18">
        <v>43893</v>
      </c>
      <c r="P226" s="24">
        <v>43921</v>
      </c>
    </row>
    <row r="227" spans="1:16" hidden="1" outlineLevel="1">
      <c r="A227" s="1">
        <v>6</v>
      </c>
      <c r="F227" s="2" t="s">
        <v>4296</v>
      </c>
      <c r="M227" s="2" t="s">
        <v>5001</v>
      </c>
      <c r="N227" s="2" t="s">
        <v>4707</v>
      </c>
      <c r="O227" s="18">
        <v>43874</v>
      </c>
      <c r="P227" s="24">
        <v>43921</v>
      </c>
    </row>
    <row r="228" spans="1:16" hidden="1" outlineLevel="1">
      <c r="A228" s="1">
        <v>7</v>
      </c>
      <c r="F228" s="2" t="s">
        <v>4297</v>
      </c>
      <c r="M228" s="2" t="s">
        <v>5002</v>
      </c>
      <c r="N228" s="2" t="s">
        <v>4708</v>
      </c>
      <c r="O228" s="18">
        <v>43864</v>
      </c>
      <c r="P228" s="24">
        <v>43921</v>
      </c>
    </row>
    <row r="229" spans="1:16" hidden="1" outlineLevel="1">
      <c r="A229" s="1">
        <v>8</v>
      </c>
      <c r="F229" s="2" t="s">
        <v>4298</v>
      </c>
      <c r="M229" s="2" t="s">
        <v>836</v>
      </c>
      <c r="N229" s="2" t="s">
        <v>836</v>
      </c>
      <c r="O229" s="18" t="s">
        <v>836</v>
      </c>
      <c r="P229" s="24">
        <v>43921</v>
      </c>
    </row>
    <row r="230" spans="1:16" hidden="1" outlineLevel="1">
      <c r="A230" s="1">
        <v>9</v>
      </c>
      <c r="F230" s="2" t="s">
        <v>4299</v>
      </c>
      <c r="M230" s="2" t="s">
        <v>5003</v>
      </c>
      <c r="N230" s="2" t="s">
        <v>4709</v>
      </c>
      <c r="O230" s="18">
        <v>43851</v>
      </c>
      <c r="P230" s="24">
        <v>43921</v>
      </c>
    </row>
    <row r="231" spans="1:16" hidden="1" outlineLevel="1">
      <c r="A231" s="1">
        <v>10</v>
      </c>
      <c r="F231" s="2" t="s">
        <v>4300</v>
      </c>
      <c r="M231" s="2" t="s">
        <v>5004</v>
      </c>
      <c r="N231" s="2" t="s">
        <v>4710</v>
      </c>
      <c r="O231" s="18">
        <v>43845</v>
      </c>
      <c r="P231" s="24">
        <v>43921</v>
      </c>
    </row>
    <row r="232" spans="1:16" hidden="1" outlineLevel="1">
      <c r="A232" s="1">
        <v>11</v>
      </c>
      <c r="F232" s="2" t="s">
        <v>4301</v>
      </c>
      <c r="M232" s="2" t="s">
        <v>5005</v>
      </c>
      <c r="N232" s="2" t="s">
        <v>4711</v>
      </c>
      <c r="O232" s="18">
        <v>43839</v>
      </c>
      <c r="P232" s="24">
        <v>43921</v>
      </c>
    </row>
    <row r="233" spans="1:16" hidden="1" outlineLevel="1">
      <c r="A233" s="1">
        <v>12</v>
      </c>
      <c r="F233" s="2" t="s">
        <v>4302</v>
      </c>
      <c r="M233" s="2" t="s">
        <v>5006</v>
      </c>
      <c r="N233" s="2" t="s">
        <v>4629</v>
      </c>
      <c r="O233" s="18">
        <v>43835</v>
      </c>
      <c r="P233" s="24">
        <v>43836</v>
      </c>
    </row>
    <row r="234" spans="1:16" hidden="1" outlineLevel="1">
      <c r="A234" s="1">
        <v>13</v>
      </c>
      <c r="F234" s="2" t="s">
        <v>4303</v>
      </c>
      <c r="M234" s="2" t="s">
        <v>5007</v>
      </c>
      <c r="N234" s="2" t="s">
        <v>4712</v>
      </c>
      <c r="O234" s="18">
        <v>43852</v>
      </c>
      <c r="P234" s="24">
        <v>43921</v>
      </c>
    </row>
    <row r="235" spans="1:16" hidden="1" outlineLevel="1">
      <c r="A235" s="1">
        <v>14</v>
      </c>
      <c r="F235" s="2" t="s">
        <v>4304</v>
      </c>
      <c r="M235" s="2" t="s">
        <v>5008</v>
      </c>
      <c r="N235" s="2" t="s">
        <v>4713</v>
      </c>
      <c r="O235" s="18">
        <v>43847</v>
      </c>
      <c r="P235" s="24">
        <v>43921</v>
      </c>
    </row>
    <row r="236" spans="1:16" hidden="1" outlineLevel="1">
      <c r="A236" s="1">
        <v>15</v>
      </c>
      <c r="F236" s="2" t="s">
        <v>4305</v>
      </c>
      <c r="M236" s="2" t="s">
        <v>5009</v>
      </c>
      <c r="N236" s="2" t="s">
        <v>4714</v>
      </c>
      <c r="O236" s="18">
        <v>43825</v>
      </c>
      <c r="P236" s="24">
        <v>43845</v>
      </c>
    </row>
    <row r="237" spans="1:16" hidden="1" outlineLevel="1">
      <c r="A237" s="1">
        <v>16</v>
      </c>
      <c r="F237" s="2" t="s">
        <v>4306</v>
      </c>
      <c r="M237" s="2" t="s">
        <v>5010</v>
      </c>
      <c r="N237" s="2" t="s">
        <v>4715</v>
      </c>
      <c r="O237" s="18">
        <v>43875</v>
      </c>
      <c r="P237" s="24">
        <v>43921</v>
      </c>
    </row>
    <row r="238" spans="1:16" hidden="1" outlineLevel="1">
      <c r="A238" s="1">
        <v>17</v>
      </c>
      <c r="F238" s="2" t="s">
        <v>4307</v>
      </c>
      <c r="M238" s="2" t="s">
        <v>5011</v>
      </c>
      <c r="N238" s="2" t="s">
        <v>4707</v>
      </c>
      <c r="O238" s="18">
        <v>43874</v>
      </c>
      <c r="P238" s="24">
        <v>43921</v>
      </c>
    </row>
    <row r="239" spans="1:16" hidden="1" outlineLevel="1">
      <c r="A239" s="1">
        <v>18</v>
      </c>
      <c r="F239" s="2" t="s">
        <v>4308</v>
      </c>
      <c r="M239" s="2" t="s">
        <v>5012</v>
      </c>
      <c r="N239" s="2" t="s">
        <v>4716</v>
      </c>
      <c r="O239" s="18">
        <v>43861</v>
      </c>
      <c r="P239" s="24">
        <v>43921</v>
      </c>
    </row>
    <row r="240" spans="1:16" collapsed="1">
      <c r="A240" s="8">
        <v>2020</v>
      </c>
      <c r="B240" s="58">
        <v>43657</v>
      </c>
      <c r="C240" s="159"/>
      <c r="D240" s="8"/>
      <c r="E240" s="8"/>
      <c r="F240" s="8"/>
      <c r="G240" s="8"/>
      <c r="H240" s="8"/>
      <c r="I240" s="8"/>
      <c r="J240" s="58"/>
      <c r="K240" s="8"/>
      <c r="L240" s="58"/>
      <c r="M240" s="8"/>
      <c r="N240" s="8"/>
      <c r="O240" s="58"/>
      <c r="P240" s="58"/>
    </row>
    <row r="241" spans="1:16" hidden="1" outlineLevel="1">
      <c r="A241" s="1">
        <v>1</v>
      </c>
      <c r="B241" s="11">
        <v>43850</v>
      </c>
      <c r="C241" s="160">
        <v>143</v>
      </c>
      <c r="E241" s="1" t="s">
        <v>4122</v>
      </c>
      <c r="F241" s="2">
        <v>336646</v>
      </c>
      <c r="M241" s="2" t="s">
        <v>5013</v>
      </c>
      <c r="N241" s="2" t="s">
        <v>4717</v>
      </c>
      <c r="O241" s="18">
        <v>43858</v>
      </c>
      <c r="P241" s="24">
        <v>43895</v>
      </c>
    </row>
    <row r="242" spans="1:16" hidden="1" outlineLevel="1">
      <c r="A242" s="1">
        <v>2</v>
      </c>
      <c r="F242" s="2">
        <v>334616</v>
      </c>
      <c r="N242" s="2" t="s">
        <v>836</v>
      </c>
      <c r="P242" s="24">
        <v>43895</v>
      </c>
    </row>
    <row r="243" spans="1:16" hidden="1" outlineLevel="1">
      <c r="A243" s="1">
        <v>3</v>
      </c>
      <c r="F243" s="2">
        <v>336658</v>
      </c>
      <c r="M243" s="2" t="s">
        <v>5014</v>
      </c>
      <c r="N243" s="2" t="s">
        <v>4717</v>
      </c>
      <c r="O243" s="18">
        <v>43854</v>
      </c>
      <c r="P243" s="24">
        <v>43895</v>
      </c>
    </row>
    <row r="244" spans="1:16" hidden="1" outlineLevel="1">
      <c r="A244" s="8"/>
      <c r="B244" s="58"/>
      <c r="C244" s="159"/>
      <c r="D244" s="8"/>
      <c r="E244" s="8"/>
      <c r="F244" s="8"/>
      <c r="G244" s="8"/>
      <c r="H244" s="8"/>
      <c r="I244" s="8"/>
      <c r="J244" s="58"/>
      <c r="K244" s="8"/>
      <c r="L244" s="58"/>
      <c r="M244" s="8"/>
      <c r="N244" s="8"/>
      <c r="O244" s="58"/>
      <c r="P244" s="58"/>
    </row>
    <row r="245" spans="1:16" hidden="1" outlineLevel="1">
      <c r="A245" s="1">
        <v>1</v>
      </c>
      <c r="B245" s="11">
        <v>43865</v>
      </c>
      <c r="C245" s="160">
        <v>228</v>
      </c>
      <c r="E245" s="1" t="s">
        <v>4119</v>
      </c>
      <c r="F245" s="2" t="s">
        <v>4309</v>
      </c>
      <c r="M245" s="2" t="s">
        <v>5015</v>
      </c>
      <c r="N245" s="2" t="s">
        <v>4715</v>
      </c>
      <c r="O245" s="18">
        <v>43875</v>
      </c>
      <c r="P245" s="24">
        <v>43895</v>
      </c>
    </row>
    <row r="246" spans="1:16" hidden="1" outlineLevel="1">
      <c r="A246" s="1">
        <v>2</v>
      </c>
      <c r="F246" s="2" t="s">
        <v>4310</v>
      </c>
      <c r="M246" s="2" t="s">
        <v>5016</v>
      </c>
      <c r="N246" s="2" t="s">
        <v>2612</v>
      </c>
      <c r="O246" s="18">
        <v>43892</v>
      </c>
      <c r="P246" s="24">
        <v>43895</v>
      </c>
    </row>
    <row r="247" spans="1:16" hidden="1" outlineLevel="1">
      <c r="A247" s="1">
        <v>3</v>
      </c>
      <c r="F247" s="2" t="s">
        <v>4311</v>
      </c>
      <c r="M247" s="2" t="s">
        <v>5017</v>
      </c>
      <c r="N247" s="2" t="s">
        <v>4718</v>
      </c>
      <c r="O247" s="18">
        <v>43893</v>
      </c>
      <c r="P247" s="24">
        <v>43895</v>
      </c>
    </row>
    <row r="248" spans="1:16" hidden="1" outlineLevel="1">
      <c r="A248" s="1">
        <v>4</v>
      </c>
      <c r="F248" s="2" t="s">
        <v>4312</v>
      </c>
      <c r="M248" s="2" t="s">
        <v>5018</v>
      </c>
      <c r="N248" s="2" t="s">
        <v>4719</v>
      </c>
      <c r="O248" s="18">
        <v>43888</v>
      </c>
      <c r="P248" s="24">
        <v>43895</v>
      </c>
    </row>
    <row r="249" spans="1:16" hidden="1" outlineLevel="1">
      <c r="A249" s="1">
        <v>5</v>
      </c>
      <c r="F249" s="2" t="s">
        <v>4313</v>
      </c>
      <c r="M249" s="2" t="s">
        <v>5019</v>
      </c>
      <c r="N249" s="2" t="s">
        <v>4719</v>
      </c>
      <c r="O249" s="18">
        <v>43887</v>
      </c>
      <c r="P249" s="24">
        <v>43895</v>
      </c>
    </row>
    <row r="250" spans="1:16" hidden="1" outlineLevel="1">
      <c r="A250" s="1">
        <v>6</v>
      </c>
      <c r="F250" s="2" t="s">
        <v>4314</v>
      </c>
      <c r="M250" s="2" t="s">
        <v>5020</v>
      </c>
      <c r="N250" s="2" t="s">
        <v>4720</v>
      </c>
      <c r="O250" s="18">
        <v>43887</v>
      </c>
      <c r="P250" s="24">
        <v>43895</v>
      </c>
    </row>
    <row r="251" spans="1:16" hidden="1" outlineLevel="1">
      <c r="A251" s="1">
        <v>7</v>
      </c>
      <c r="F251" s="2" t="s">
        <v>4315</v>
      </c>
      <c r="M251" s="2" t="s">
        <v>5021</v>
      </c>
      <c r="N251" s="2" t="s">
        <v>4721</v>
      </c>
      <c r="O251" s="18">
        <v>43878</v>
      </c>
      <c r="P251" s="24">
        <v>43895</v>
      </c>
    </row>
    <row r="252" spans="1:16" hidden="1" outlineLevel="1">
      <c r="A252" s="1">
        <v>8</v>
      </c>
      <c r="F252" s="2" t="s">
        <v>4316</v>
      </c>
      <c r="M252" s="2" t="s">
        <v>5022</v>
      </c>
      <c r="N252" s="2" t="s">
        <v>4722</v>
      </c>
      <c r="O252" s="18">
        <v>43875</v>
      </c>
      <c r="P252" s="24">
        <v>43895</v>
      </c>
    </row>
    <row r="253" spans="1:16" hidden="1" outlineLevel="1">
      <c r="A253" s="1">
        <v>9</v>
      </c>
      <c r="F253" s="2" t="s">
        <v>4317</v>
      </c>
      <c r="M253" s="2" t="s">
        <v>5023</v>
      </c>
      <c r="N253" s="2" t="s">
        <v>4715</v>
      </c>
      <c r="O253" s="18">
        <v>43875</v>
      </c>
      <c r="P253" s="24">
        <v>43895</v>
      </c>
    </row>
    <row r="254" spans="1:16" hidden="1" outlineLevel="1">
      <c r="A254" s="8"/>
      <c r="B254" s="58"/>
      <c r="C254" s="159"/>
      <c r="D254" s="8"/>
      <c r="E254" s="8"/>
      <c r="F254" s="8"/>
      <c r="G254" s="8"/>
      <c r="H254" s="8"/>
      <c r="I254" s="8"/>
      <c r="J254" s="58"/>
      <c r="K254" s="8"/>
      <c r="L254" s="58"/>
      <c r="M254" s="8"/>
      <c r="N254" s="8"/>
      <c r="O254" s="58"/>
      <c r="P254" s="58"/>
    </row>
    <row r="255" spans="1:16" hidden="1" outlineLevel="1">
      <c r="A255" s="1">
        <v>1</v>
      </c>
      <c r="B255" s="11">
        <v>43879</v>
      </c>
      <c r="C255" s="160">
        <v>321</v>
      </c>
      <c r="E255" s="1" t="s">
        <v>4119</v>
      </c>
      <c r="F255" s="2" t="s">
        <v>4318</v>
      </c>
      <c r="M255" s="2" t="s">
        <v>836</v>
      </c>
      <c r="N255" s="2" t="s">
        <v>836</v>
      </c>
      <c r="O255" s="18" t="s">
        <v>836</v>
      </c>
      <c r="P255" s="24">
        <v>43921</v>
      </c>
    </row>
    <row r="256" spans="1:16" hidden="1" outlineLevel="1">
      <c r="A256" s="1">
        <v>2</v>
      </c>
      <c r="F256" s="2" t="s">
        <v>4319</v>
      </c>
      <c r="M256" s="2" t="s">
        <v>836</v>
      </c>
      <c r="N256" s="2" t="s">
        <v>836</v>
      </c>
      <c r="O256" s="18" t="s">
        <v>836</v>
      </c>
      <c r="P256" s="24">
        <v>43921</v>
      </c>
    </row>
    <row r="257" spans="1:16" hidden="1" outlineLevel="1">
      <c r="A257" s="1">
        <v>3</v>
      </c>
      <c r="F257" s="2" t="s">
        <v>4320</v>
      </c>
      <c r="M257" s="2" t="s">
        <v>5024</v>
      </c>
      <c r="N257" s="2" t="s">
        <v>4723</v>
      </c>
      <c r="O257" s="18">
        <v>43906</v>
      </c>
      <c r="P257" s="24">
        <v>43921</v>
      </c>
    </row>
    <row r="258" spans="1:16" hidden="1" outlineLevel="1">
      <c r="A258" s="1">
        <v>4</v>
      </c>
      <c r="F258" s="2" t="s">
        <v>4321</v>
      </c>
      <c r="M258" s="2" t="s">
        <v>836</v>
      </c>
      <c r="N258" s="2" t="s">
        <v>836</v>
      </c>
      <c r="O258" s="18" t="s">
        <v>836</v>
      </c>
      <c r="P258" s="24">
        <v>43921</v>
      </c>
    </row>
    <row r="259" spans="1:16" hidden="1" outlineLevel="1">
      <c r="A259" s="1">
        <v>5</v>
      </c>
      <c r="F259" s="2" t="s">
        <v>4322</v>
      </c>
      <c r="M259" s="2" t="s">
        <v>836</v>
      </c>
      <c r="N259" s="2" t="s">
        <v>836</v>
      </c>
      <c r="O259" s="18" t="s">
        <v>836</v>
      </c>
      <c r="P259" s="24">
        <v>43921</v>
      </c>
    </row>
    <row r="260" spans="1:16" hidden="1" outlineLevel="1">
      <c r="A260" s="1">
        <v>6</v>
      </c>
      <c r="F260" s="2" t="s">
        <v>4323</v>
      </c>
      <c r="M260" s="2" t="s">
        <v>5007</v>
      </c>
      <c r="N260" s="2" t="s">
        <v>4724</v>
      </c>
      <c r="O260" s="18">
        <v>43902</v>
      </c>
      <c r="P260" s="24">
        <v>43921</v>
      </c>
    </row>
    <row r="261" spans="1:16" hidden="1" outlineLevel="1">
      <c r="A261" s="1">
        <v>7</v>
      </c>
      <c r="F261" s="2" t="s">
        <v>4324</v>
      </c>
      <c r="M261" s="2" t="s">
        <v>5025</v>
      </c>
      <c r="N261" s="2" t="s">
        <v>4725</v>
      </c>
      <c r="O261" s="18">
        <v>43902</v>
      </c>
      <c r="P261" s="24">
        <v>43921</v>
      </c>
    </row>
    <row r="262" spans="1:16" hidden="1" outlineLevel="1">
      <c r="A262" s="1">
        <v>8</v>
      </c>
      <c r="F262" s="2" t="s">
        <v>4325</v>
      </c>
      <c r="M262" s="2" t="s">
        <v>5026</v>
      </c>
      <c r="N262" s="2" t="s">
        <v>4725</v>
      </c>
      <c r="O262" s="18">
        <v>43902</v>
      </c>
      <c r="P262" s="24">
        <v>43921</v>
      </c>
    </row>
    <row r="263" spans="1:16" hidden="1" outlineLevel="1">
      <c r="A263" s="1">
        <v>9</v>
      </c>
      <c r="F263" s="2" t="s">
        <v>4326</v>
      </c>
      <c r="M263" s="2" t="s">
        <v>5027</v>
      </c>
      <c r="N263" s="2" t="s">
        <v>4725</v>
      </c>
      <c r="O263" s="18">
        <v>43902</v>
      </c>
      <c r="P263" s="24">
        <v>43921</v>
      </c>
    </row>
    <row r="264" spans="1:16" hidden="1" outlineLevel="1">
      <c r="A264" s="8"/>
      <c r="B264" s="58"/>
      <c r="C264" s="159"/>
      <c r="D264" s="8"/>
      <c r="E264" s="8"/>
      <c r="F264" s="8"/>
      <c r="G264" s="8"/>
      <c r="H264" s="8"/>
      <c r="I264" s="8"/>
      <c r="J264" s="58"/>
      <c r="K264" s="8"/>
      <c r="L264" s="58"/>
      <c r="M264" s="8"/>
      <c r="N264" s="8"/>
      <c r="O264" s="58"/>
      <c r="P264" s="58"/>
    </row>
    <row r="265" spans="1:16" hidden="1" outlineLevel="1">
      <c r="A265" s="1">
        <v>1</v>
      </c>
      <c r="B265" s="11">
        <v>43881</v>
      </c>
      <c r="C265" s="160" t="s">
        <v>7021</v>
      </c>
      <c r="E265" s="1" t="s">
        <v>4123</v>
      </c>
      <c r="F265" s="2" t="s">
        <v>4327</v>
      </c>
      <c r="M265" s="2" t="s">
        <v>836</v>
      </c>
      <c r="N265" s="2" t="s">
        <v>836</v>
      </c>
      <c r="O265" s="18" t="s">
        <v>836</v>
      </c>
    </row>
    <row r="266" spans="1:16" hidden="1" outlineLevel="1">
      <c r="A266" s="8"/>
      <c r="B266" s="58"/>
      <c r="C266" s="159"/>
      <c r="D266" s="8"/>
      <c r="E266" s="8"/>
      <c r="F266" s="8"/>
      <c r="G266" s="8"/>
      <c r="H266" s="8"/>
      <c r="I266" s="8"/>
      <c r="J266" s="58"/>
      <c r="K266" s="8"/>
      <c r="L266" s="58"/>
      <c r="M266" s="8"/>
      <c r="N266" s="8"/>
      <c r="O266" s="58"/>
      <c r="P266" s="58"/>
    </row>
    <row r="267" spans="1:16" hidden="1" outlineLevel="1">
      <c r="A267" s="1">
        <v>1</v>
      </c>
      <c r="B267" s="11">
        <v>43900</v>
      </c>
      <c r="C267" s="160">
        <v>449</v>
      </c>
      <c r="E267" s="1" t="s">
        <v>4119</v>
      </c>
      <c r="F267" s="2" t="s">
        <v>4328</v>
      </c>
      <c r="M267" s="2" t="s">
        <v>5028</v>
      </c>
      <c r="N267" s="2" t="s">
        <v>4726</v>
      </c>
      <c r="O267" s="18">
        <v>43909</v>
      </c>
      <c r="P267" s="24">
        <v>43921</v>
      </c>
    </row>
    <row r="268" spans="1:16" hidden="1" outlineLevel="1">
      <c r="A268" s="1">
        <v>2</v>
      </c>
      <c r="F268" s="2" t="s">
        <v>4329</v>
      </c>
      <c r="M268" s="2" t="s">
        <v>5029</v>
      </c>
      <c r="N268" s="2" t="s">
        <v>4727</v>
      </c>
      <c r="O268" s="18">
        <v>43913</v>
      </c>
      <c r="P268" s="24">
        <v>43921</v>
      </c>
    </row>
    <row r="269" spans="1:16" hidden="1" outlineLevel="1">
      <c r="A269" s="1">
        <v>3</v>
      </c>
      <c r="F269" s="2" t="s">
        <v>4330</v>
      </c>
      <c r="M269" s="2" t="s">
        <v>5030</v>
      </c>
      <c r="N269" s="2" t="s">
        <v>4728</v>
      </c>
      <c r="O269" s="18">
        <v>43909</v>
      </c>
      <c r="P269" s="24">
        <v>43921</v>
      </c>
    </row>
    <row r="270" spans="1:16" hidden="1" outlineLevel="1">
      <c r="A270" s="1">
        <v>4</v>
      </c>
      <c r="F270" s="2" t="s">
        <v>4331</v>
      </c>
      <c r="M270" s="2" t="s">
        <v>5031</v>
      </c>
      <c r="N270" s="2" t="s">
        <v>4729</v>
      </c>
      <c r="O270" s="18">
        <v>43913</v>
      </c>
      <c r="P270" s="24">
        <v>43921</v>
      </c>
    </row>
    <row r="271" spans="1:16" hidden="1" outlineLevel="1">
      <c r="A271" s="1">
        <v>5</v>
      </c>
      <c r="F271" s="2" t="s">
        <v>4332</v>
      </c>
      <c r="M271" s="2" t="s">
        <v>5032</v>
      </c>
      <c r="N271" s="2" t="s">
        <v>4730</v>
      </c>
      <c r="O271" s="18">
        <v>43914</v>
      </c>
      <c r="P271" s="24">
        <v>43921</v>
      </c>
    </row>
    <row r="272" spans="1:16" hidden="1" outlineLevel="1">
      <c r="A272" s="1">
        <v>6</v>
      </c>
      <c r="F272" s="2" t="s">
        <v>4333</v>
      </c>
      <c r="M272" s="2" t="s">
        <v>5033</v>
      </c>
      <c r="N272" s="2" t="s">
        <v>4731</v>
      </c>
      <c r="O272" s="18">
        <v>43915</v>
      </c>
      <c r="P272" s="24">
        <v>43921</v>
      </c>
    </row>
    <row r="273" spans="1:16" hidden="1" outlineLevel="1">
      <c r="A273" s="1">
        <v>7</v>
      </c>
      <c r="F273" s="2" t="s">
        <v>4334</v>
      </c>
      <c r="M273" s="2" t="s">
        <v>5034</v>
      </c>
      <c r="N273" s="2" t="s">
        <v>4732</v>
      </c>
      <c r="O273" s="18">
        <v>43918</v>
      </c>
      <c r="P273" s="24">
        <v>43921</v>
      </c>
    </row>
    <row r="274" spans="1:16" hidden="1" outlineLevel="1">
      <c r="A274" s="1">
        <v>8</v>
      </c>
      <c r="F274" s="2" t="s">
        <v>4335</v>
      </c>
      <c r="M274" s="2" t="s">
        <v>5035</v>
      </c>
      <c r="N274" s="2" t="s">
        <v>4733</v>
      </c>
      <c r="O274" s="18">
        <v>43927</v>
      </c>
      <c r="P274" s="24">
        <v>43935</v>
      </c>
    </row>
    <row r="275" spans="1:16" hidden="1" outlineLevel="1">
      <c r="A275" s="1">
        <v>9</v>
      </c>
      <c r="F275" s="2" t="s">
        <v>4336</v>
      </c>
      <c r="M275" s="2" t="s">
        <v>5036</v>
      </c>
      <c r="N275" s="2" t="s">
        <v>4734</v>
      </c>
      <c r="O275" s="18">
        <v>43910</v>
      </c>
      <c r="P275" s="24">
        <v>43921</v>
      </c>
    </row>
    <row r="276" spans="1:16" hidden="1" outlineLevel="1">
      <c r="A276" s="8"/>
      <c r="B276" s="58"/>
      <c r="C276" s="159"/>
      <c r="D276" s="8"/>
      <c r="E276" s="8"/>
      <c r="F276" s="8"/>
      <c r="G276" s="8"/>
      <c r="H276" s="8"/>
      <c r="I276" s="8"/>
      <c r="J276" s="58"/>
      <c r="K276" s="8"/>
      <c r="L276" s="58"/>
      <c r="M276" s="8"/>
      <c r="N276" s="8"/>
      <c r="O276" s="58"/>
      <c r="P276" s="58"/>
    </row>
    <row r="277" spans="1:16" s="68" customFormat="1" hidden="1" outlineLevel="1">
      <c r="A277" s="4">
        <v>1</v>
      </c>
      <c r="B277" s="24">
        <v>43910</v>
      </c>
      <c r="C277" s="158">
        <v>510</v>
      </c>
      <c r="D277" s="4"/>
      <c r="E277" s="4" t="s">
        <v>4124</v>
      </c>
      <c r="F277" s="2"/>
      <c r="G277" s="4"/>
      <c r="H277" s="4"/>
      <c r="I277" s="2"/>
      <c r="J277" s="24"/>
      <c r="K277" s="4"/>
      <c r="L277" s="24"/>
      <c r="M277" s="2"/>
      <c r="N277" s="2" t="s">
        <v>4735</v>
      </c>
      <c r="O277" s="18"/>
      <c r="P277" s="24"/>
    </row>
    <row r="278" spans="1:16" hidden="1" outlineLevel="1">
      <c r="A278" s="8"/>
      <c r="B278" s="58"/>
      <c r="C278" s="159"/>
      <c r="D278" s="8"/>
      <c r="E278" s="8"/>
      <c r="F278" s="8"/>
      <c r="G278" s="8"/>
      <c r="H278" s="8"/>
      <c r="I278" s="8"/>
      <c r="J278" s="58"/>
      <c r="K278" s="8"/>
      <c r="L278" s="58"/>
      <c r="M278" s="8"/>
      <c r="N278" s="8"/>
      <c r="O278" s="58"/>
      <c r="P278" s="58"/>
    </row>
    <row r="279" spans="1:16" hidden="1" outlineLevel="1">
      <c r="A279" s="1">
        <v>1</v>
      </c>
      <c r="B279" s="11">
        <v>43915</v>
      </c>
      <c r="C279" s="160">
        <v>536</v>
      </c>
      <c r="E279" s="1" t="s">
        <v>4119</v>
      </c>
      <c r="F279" s="2" t="s">
        <v>4337</v>
      </c>
      <c r="M279" s="2" t="s">
        <v>5037</v>
      </c>
      <c r="N279" s="2" t="s">
        <v>4736</v>
      </c>
      <c r="O279" s="18">
        <v>43931</v>
      </c>
      <c r="P279" s="24">
        <v>43935</v>
      </c>
    </row>
    <row r="280" spans="1:16" hidden="1" outlineLevel="1">
      <c r="A280" s="1">
        <v>2</v>
      </c>
      <c r="F280" s="2" t="s">
        <v>4338</v>
      </c>
      <c r="M280" s="2" t="s">
        <v>836</v>
      </c>
      <c r="N280" s="2" t="s">
        <v>836</v>
      </c>
      <c r="O280" s="18" t="s">
        <v>836</v>
      </c>
      <c r="P280" s="24">
        <v>43921</v>
      </c>
    </row>
    <row r="281" spans="1:16" hidden="1" outlineLevel="1">
      <c r="A281" s="1">
        <v>3</v>
      </c>
      <c r="F281" s="2" t="s">
        <v>4339</v>
      </c>
      <c r="M281" s="2" t="s">
        <v>836</v>
      </c>
      <c r="N281" s="2" t="s">
        <v>836</v>
      </c>
      <c r="O281" s="18" t="s">
        <v>836</v>
      </c>
      <c r="P281" s="24">
        <v>43921</v>
      </c>
    </row>
    <row r="282" spans="1:16" hidden="1" outlineLevel="1">
      <c r="A282" s="1">
        <v>4</v>
      </c>
      <c r="F282" s="2" t="s">
        <v>4340</v>
      </c>
      <c r="M282" s="2" t="s">
        <v>836</v>
      </c>
      <c r="N282" s="2" t="s">
        <v>836</v>
      </c>
      <c r="O282" s="18" t="s">
        <v>836</v>
      </c>
      <c r="P282" s="24">
        <v>43921</v>
      </c>
    </row>
    <row r="283" spans="1:16" hidden="1" outlineLevel="1">
      <c r="A283" s="1">
        <v>5</v>
      </c>
      <c r="F283" s="2" t="s">
        <v>4341</v>
      </c>
      <c r="M283" s="2" t="s">
        <v>836</v>
      </c>
      <c r="N283" s="2" t="s">
        <v>836</v>
      </c>
      <c r="O283" s="18" t="s">
        <v>836</v>
      </c>
      <c r="P283" s="24">
        <v>43921</v>
      </c>
    </row>
    <row r="284" spans="1:16" hidden="1" outlineLevel="1">
      <c r="A284" s="1">
        <v>6</v>
      </c>
      <c r="F284" s="2" t="s">
        <v>4342</v>
      </c>
      <c r="M284" s="2" t="s">
        <v>836</v>
      </c>
      <c r="N284" s="2" t="s">
        <v>836</v>
      </c>
      <c r="O284" s="18" t="s">
        <v>836</v>
      </c>
      <c r="P284" s="24">
        <v>43921</v>
      </c>
    </row>
    <row r="285" spans="1:16" hidden="1" outlineLevel="1">
      <c r="A285" s="1">
        <v>7</v>
      </c>
      <c r="F285" s="2" t="s">
        <v>4343</v>
      </c>
      <c r="M285" s="2" t="s">
        <v>836</v>
      </c>
      <c r="N285" s="2" t="s">
        <v>836</v>
      </c>
      <c r="O285" s="18" t="s">
        <v>836</v>
      </c>
      <c r="P285" s="24">
        <v>43921</v>
      </c>
    </row>
    <row r="286" spans="1:16" hidden="1" outlineLevel="1">
      <c r="A286" s="1">
        <v>8</v>
      </c>
      <c r="F286" s="2" t="s">
        <v>4344</v>
      </c>
      <c r="M286" s="2" t="s">
        <v>836</v>
      </c>
      <c r="N286" s="2" t="s">
        <v>836</v>
      </c>
      <c r="O286" s="18" t="s">
        <v>836</v>
      </c>
      <c r="P286" s="24">
        <v>43921</v>
      </c>
    </row>
    <row r="287" spans="1:16" hidden="1" outlineLevel="1">
      <c r="A287" s="1">
        <v>9</v>
      </c>
      <c r="F287" s="2" t="s">
        <v>4345</v>
      </c>
      <c r="M287" s="2" t="s">
        <v>5038</v>
      </c>
      <c r="N287" s="2" t="s">
        <v>4733</v>
      </c>
      <c r="O287" s="18">
        <v>43927</v>
      </c>
      <c r="P287" s="24">
        <v>43921</v>
      </c>
    </row>
    <row r="288" spans="1:16" hidden="1" outlineLevel="1">
      <c r="A288" s="8"/>
      <c r="B288" s="58"/>
      <c r="C288" s="159"/>
      <c r="D288" s="8"/>
      <c r="E288" s="8"/>
      <c r="F288" s="8"/>
      <c r="G288" s="8"/>
      <c r="H288" s="8"/>
      <c r="I288" s="8"/>
      <c r="J288" s="58"/>
      <c r="K288" s="8"/>
      <c r="L288" s="58"/>
      <c r="M288" s="8"/>
      <c r="N288" s="8"/>
      <c r="O288" s="58"/>
      <c r="P288" s="58"/>
    </row>
    <row r="289" spans="1:16" hidden="1" outlineLevel="1">
      <c r="A289" s="1">
        <v>1</v>
      </c>
      <c r="B289" s="11">
        <v>43928</v>
      </c>
      <c r="C289" s="160">
        <v>237</v>
      </c>
      <c r="E289" s="1" t="s">
        <v>4125</v>
      </c>
      <c r="F289" s="2">
        <v>70290186</v>
      </c>
    </row>
    <row r="290" spans="1:16" hidden="1" outlineLevel="1">
      <c r="A290" s="1">
        <v>2</v>
      </c>
      <c r="F290" s="2">
        <v>70290187</v>
      </c>
    </row>
    <row r="291" spans="1:16" hidden="1" outlineLevel="1">
      <c r="A291" s="1">
        <v>3</v>
      </c>
      <c r="F291" s="2">
        <v>70290188</v>
      </c>
    </row>
    <row r="292" spans="1:16" hidden="1" outlineLevel="1">
      <c r="A292" s="1">
        <v>4</v>
      </c>
      <c r="F292" s="2">
        <v>70290189</v>
      </c>
    </row>
    <row r="293" spans="1:16" hidden="1" outlineLevel="1">
      <c r="A293" s="1">
        <v>5</v>
      </c>
      <c r="F293" s="2">
        <v>70290190</v>
      </c>
    </row>
    <row r="294" spans="1:16" hidden="1" outlineLevel="1">
      <c r="A294" s="8"/>
      <c r="B294" s="58"/>
      <c r="C294" s="159"/>
      <c r="D294" s="8"/>
      <c r="E294" s="8"/>
      <c r="F294" s="8"/>
      <c r="G294" s="8"/>
      <c r="H294" s="8"/>
      <c r="I294" s="8"/>
      <c r="J294" s="58"/>
      <c r="K294" s="8"/>
      <c r="L294" s="58"/>
      <c r="M294" s="8"/>
      <c r="N294" s="8"/>
      <c r="O294" s="58"/>
      <c r="P294" s="58"/>
    </row>
    <row r="295" spans="1:16" hidden="1" outlineLevel="1">
      <c r="A295" s="1">
        <v>1</v>
      </c>
      <c r="B295" s="11">
        <v>43930</v>
      </c>
      <c r="C295" s="160">
        <v>242</v>
      </c>
      <c r="E295" s="1" t="s">
        <v>4126</v>
      </c>
      <c r="F295" s="2">
        <v>70290606</v>
      </c>
    </row>
    <row r="296" spans="1:16" hidden="1" outlineLevel="1">
      <c r="A296" s="1">
        <v>2</v>
      </c>
      <c r="F296" s="2">
        <v>70290607</v>
      </c>
    </row>
    <row r="297" spans="1:16" hidden="1" outlineLevel="1">
      <c r="A297" s="8"/>
      <c r="B297" s="58"/>
      <c r="C297" s="159"/>
      <c r="D297" s="8"/>
      <c r="E297" s="8"/>
      <c r="F297" s="8"/>
      <c r="G297" s="8"/>
      <c r="H297" s="8"/>
      <c r="I297" s="8"/>
      <c r="J297" s="58"/>
      <c r="K297" s="8"/>
      <c r="L297" s="58"/>
      <c r="M297" s="8"/>
      <c r="N297" s="8"/>
      <c r="O297" s="58"/>
      <c r="P297" s="58"/>
    </row>
    <row r="298" spans="1:16" hidden="1" outlineLevel="1">
      <c r="A298" s="1">
        <v>1</v>
      </c>
      <c r="B298" s="11">
        <v>43930</v>
      </c>
      <c r="C298" s="160">
        <v>243</v>
      </c>
      <c r="E298" s="1" t="s">
        <v>4127</v>
      </c>
      <c r="F298" s="2" t="s">
        <v>4346</v>
      </c>
    </row>
    <row r="299" spans="1:16" hidden="1" outlineLevel="1">
      <c r="A299" s="1">
        <v>2</v>
      </c>
      <c r="F299" s="2" t="s">
        <v>4347</v>
      </c>
    </row>
    <row r="300" spans="1:16" hidden="1" outlineLevel="1">
      <c r="A300" s="8"/>
      <c r="B300" s="58"/>
      <c r="C300" s="159"/>
      <c r="D300" s="8"/>
      <c r="E300" s="8"/>
      <c r="F300" s="8"/>
      <c r="G300" s="8"/>
      <c r="H300" s="8"/>
      <c r="I300" s="8"/>
      <c r="J300" s="58"/>
      <c r="K300" s="8"/>
      <c r="L300" s="58"/>
      <c r="M300" s="8"/>
      <c r="N300" s="8"/>
      <c r="O300" s="58"/>
      <c r="P300" s="58"/>
    </row>
    <row r="301" spans="1:16" hidden="1" outlineLevel="1">
      <c r="A301" s="1">
        <v>1</v>
      </c>
      <c r="B301" s="11">
        <v>43938</v>
      </c>
      <c r="C301" s="160">
        <v>275</v>
      </c>
      <c r="E301" s="1" t="s">
        <v>4128</v>
      </c>
      <c r="F301" s="2" t="s">
        <v>4348</v>
      </c>
    </row>
    <row r="302" spans="1:16" hidden="1" outlineLevel="1">
      <c r="A302" s="1">
        <v>2</v>
      </c>
      <c r="F302" s="2" t="s">
        <v>4349</v>
      </c>
    </row>
    <row r="303" spans="1:16" hidden="1" outlineLevel="1">
      <c r="A303" s="1">
        <v>3</v>
      </c>
      <c r="F303" s="2" t="s">
        <v>4350</v>
      </c>
    </row>
    <row r="304" spans="1:16" hidden="1" outlineLevel="1">
      <c r="A304" s="1">
        <v>4</v>
      </c>
      <c r="F304" s="2" t="s">
        <v>4351</v>
      </c>
    </row>
    <row r="305" spans="1:16" hidden="1" outlineLevel="1">
      <c r="A305" s="8"/>
      <c r="B305" s="58"/>
      <c r="C305" s="159"/>
      <c r="D305" s="8"/>
      <c r="E305" s="8"/>
      <c r="F305" s="8"/>
      <c r="G305" s="8"/>
      <c r="H305" s="8"/>
      <c r="I305" s="8"/>
      <c r="J305" s="58"/>
      <c r="K305" s="8"/>
      <c r="L305" s="58"/>
      <c r="M305" s="8"/>
      <c r="N305" s="8"/>
      <c r="O305" s="58"/>
      <c r="P305" s="58"/>
    </row>
    <row r="306" spans="1:16" hidden="1" outlineLevel="1">
      <c r="A306" s="1">
        <v>1</v>
      </c>
      <c r="B306" s="11">
        <v>43966</v>
      </c>
      <c r="C306" s="160">
        <v>373</v>
      </c>
      <c r="E306" s="1" t="s">
        <v>4129</v>
      </c>
      <c r="F306" s="2">
        <v>70290576</v>
      </c>
    </row>
    <row r="307" spans="1:16" hidden="1" outlineLevel="1">
      <c r="A307" s="1">
        <v>2</v>
      </c>
      <c r="F307" s="2">
        <v>70290577</v>
      </c>
    </row>
    <row r="308" spans="1:16" hidden="1" outlineLevel="1">
      <c r="A308" s="1">
        <v>3</v>
      </c>
      <c r="F308" s="2">
        <v>70290578</v>
      </c>
    </row>
    <row r="309" spans="1:16" hidden="1" outlineLevel="1">
      <c r="A309" s="1">
        <v>4</v>
      </c>
      <c r="F309" s="2">
        <v>70290579</v>
      </c>
    </row>
    <row r="310" spans="1:16" hidden="1" outlineLevel="1">
      <c r="A310" s="1">
        <v>5</v>
      </c>
      <c r="F310" s="2">
        <v>70290580</v>
      </c>
    </row>
    <row r="311" spans="1:16" hidden="1" outlineLevel="1">
      <c r="A311" s="8"/>
      <c r="B311" s="58"/>
      <c r="C311" s="159"/>
      <c r="D311" s="8"/>
      <c r="E311" s="8"/>
      <c r="F311" s="8"/>
      <c r="G311" s="8"/>
      <c r="H311" s="8"/>
      <c r="I311" s="8"/>
      <c r="J311" s="58"/>
      <c r="K311" s="8"/>
      <c r="L311" s="58"/>
      <c r="M311" s="8"/>
      <c r="N311" s="8"/>
      <c r="O311" s="58"/>
      <c r="P311" s="58"/>
    </row>
    <row r="312" spans="1:16" hidden="1" outlineLevel="1">
      <c r="A312" s="1">
        <v>1</v>
      </c>
      <c r="B312" s="11">
        <v>43994</v>
      </c>
      <c r="C312" s="160">
        <v>338527</v>
      </c>
      <c r="E312" s="1" t="s">
        <v>4130</v>
      </c>
      <c r="F312" s="2">
        <v>70292103</v>
      </c>
    </row>
    <row r="313" spans="1:16" hidden="1" outlineLevel="1">
      <c r="A313" s="8"/>
      <c r="B313" s="58"/>
      <c r="C313" s="159"/>
      <c r="D313" s="8"/>
      <c r="E313" s="8"/>
      <c r="F313" s="8"/>
      <c r="G313" s="8"/>
      <c r="H313" s="8"/>
      <c r="I313" s="8"/>
      <c r="J313" s="58"/>
      <c r="K313" s="8"/>
      <c r="L313" s="58"/>
      <c r="M313" s="8"/>
      <c r="N313" s="8"/>
      <c r="O313" s="58"/>
      <c r="P313" s="58"/>
    </row>
    <row r="314" spans="1:16" hidden="1" outlineLevel="1">
      <c r="A314" s="1">
        <v>1</v>
      </c>
      <c r="B314" s="11">
        <v>43992</v>
      </c>
      <c r="C314" s="160">
        <v>453</v>
      </c>
      <c r="E314" s="1" t="s">
        <v>383</v>
      </c>
      <c r="F314" s="2" t="s">
        <v>4352</v>
      </c>
    </row>
    <row r="315" spans="1:16" hidden="1" outlineLevel="1">
      <c r="A315" s="1">
        <v>2</v>
      </c>
      <c r="F315" s="2" t="s">
        <v>4353</v>
      </c>
    </row>
    <row r="316" spans="1:16" hidden="1" outlineLevel="1">
      <c r="A316" s="1">
        <v>3</v>
      </c>
      <c r="F316" s="2" t="s">
        <v>4354</v>
      </c>
    </row>
    <row r="317" spans="1:16" hidden="1" outlineLevel="1">
      <c r="A317" s="1">
        <v>4</v>
      </c>
      <c r="F317" s="2" t="s">
        <v>4355</v>
      </c>
    </row>
    <row r="318" spans="1:16" hidden="1" outlineLevel="1">
      <c r="A318" s="1">
        <v>5</v>
      </c>
      <c r="F318" s="2" t="s">
        <v>4356</v>
      </c>
    </row>
    <row r="319" spans="1:16" hidden="1" outlineLevel="1">
      <c r="A319" s="1">
        <v>6</v>
      </c>
      <c r="F319" s="2" t="s">
        <v>4357</v>
      </c>
    </row>
    <row r="320" spans="1:16" hidden="1" outlineLevel="1">
      <c r="A320" s="1">
        <v>7</v>
      </c>
      <c r="F320" s="2" t="s">
        <v>4358</v>
      </c>
    </row>
    <row r="321" spans="1:16" hidden="1" outlineLevel="1">
      <c r="A321" s="1">
        <v>8</v>
      </c>
      <c r="F321" s="2" t="s">
        <v>4359</v>
      </c>
    </row>
    <row r="322" spans="1:16" hidden="1" outlineLevel="1">
      <c r="A322" s="1">
        <v>9</v>
      </c>
      <c r="E322" s="1" t="s">
        <v>4131</v>
      </c>
      <c r="F322" s="2" t="s">
        <v>4360</v>
      </c>
    </row>
    <row r="323" spans="1:16" hidden="1" outlineLevel="1">
      <c r="A323" s="8"/>
      <c r="B323" s="58"/>
      <c r="C323" s="159"/>
      <c r="D323" s="8"/>
      <c r="E323" s="8"/>
      <c r="F323" s="8"/>
      <c r="G323" s="8"/>
      <c r="H323" s="8"/>
      <c r="I323" s="8"/>
      <c r="J323" s="58"/>
      <c r="K323" s="8"/>
      <c r="L323" s="58"/>
      <c r="M323" s="8"/>
      <c r="N323" s="8"/>
      <c r="O323" s="58"/>
      <c r="P323" s="58"/>
    </row>
    <row r="324" spans="1:16" hidden="1" outlineLevel="1">
      <c r="A324" s="1">
        <v>1</v>
      </c>
      <c r="B324" s="11">
        <v>44015</v>
      </c>
      <c r="C324" s="160">
        <v>541</v>
      </c>
      <c r="E324" s="1" t="s">
        <v>383</v>
      </c>
      <c r="F324" s="2" t="s">
        <v>4361</v>
      </c>
    </row>
    <row r="325" spans="1:16" hidden="1" outlineLevel="1">
      <c r="A325" s="1">
        <v>2</v>
      </c>
      <c r="F325" s="2" t="s">
        <v>4362</v>
      </c>
    </row>
    <row r="326" spans="1:16" hidden="1" outlineLevel="1">
      <c r="A326" s="1">
        <v>3</v>
      </c>
      <c r="F326" s="2" t="s">
        <v>4363</v>
      </c>
    </row>
    <row r="327" spans="1:16" hidden="1" outlineLevel="1">
      <c r="A327" s="1">
        <v>4</v>
      </c>
      <c r="F327" s="2" t="s">
        <v>4364</v>
      </c>
    </row>
    <row r="328" spans="1:16" hidden="1" outlineLevel="1">
      <c r="A328" s="1">
        <v>5</v>
      </c>
      <c r="F328" s="2" t="s">
        <v>4365</v>
      </c>
    </row>
    <row r="329" spans="1:16" hidden="1" outlineLevel="1">
      <c r="A329" s="1">
        <v>6</v>
      </c>
      <c r="F329" s="2" t="s">
        <v>4366</v>
      </c>
    </row>
    <row r="330" spans="1:16" hidden="1" outlineLevel="1">
      <c r="A330" s="1">
        <v>7</v>
      </c>
      <c r="F330" s="2" t="s">
        <v>4367</v>
      </c>
    </row>
    <row r="331" spans="1:16" hidden="1" outlineLevel="1">
      <c r="A331" s="1">
        <v>8</v>
      </c>
      <c r="F331" s="2" t="s">
        <v>4368</v>
      </c>
    </row>
    <row r="332" spans="1:16" hidden="1" outlineLevel="1">
      <c r="A332" s="1">
        <v>9</v>
      </c>
      <c r="F332" s="2" t="s">
        <v>4369</v>
      </c>
    </row>
    <row r="333" spans="1:16" hidden="1" outlineLevel="1">
      <c r="A333" s="8"/>
      <c r="B333" s="58"/>
      <c r="C333" s="159"/>
      <c r="D333" s="8"/>
      <c r="E333" s="8"/>
      <c r="F333" s="8"/>
      <c r="G333" s="8"/>
      <c r="H333" s="8"/>
      <c r="I333" s="8"/>
      <c r="J333" s="58"/>
      <c r="K333" s="8"/>
      <c r="L333" s="58"/>
      <c r="M333" s="8"/>
      <c r="N333" s="8"/>
      <c r="O333" s="58"/>
      <c r="P333" s="58"/>
    </row>
    <row r="334" spans="1:16" hidden="1" outlineLevel="1">
      <c r="A334" s="1">
        <v>1</v>
      </c>
      <c r="B334" s="11">
        <v>44042</v>
      </c>
      <c r="C334" s="160">
        <v>876</v>
      </c>
      <c r="E334" s="1" t="s">
        <v>383</v>
      </c>
      <c r="F334" s="2" t="s">
        <v>4370</v>
      </c>
    </row>
    <row r="335" spans="1:16" hidden="1" outlineLevel="1">
      <c r="A335" s="1">
        <v>2</v>
      </c>
      <c r="F335" s="2" t="s">
        <v>4371</v>
      </c>
    </row>
    <row r="336" spans="1:16" hidden="1" outlineLevel="1">
      <c r="A336" s="1">
        <v>3</v>
      </c>
      <c r="F336" s="2" t="s">
        <v>4372</v>
      </c>
    </row>
    <row r="337" spans="1:16" hidden="1" outlineLevel="1">
      <c r="A337" s="1">
        <v>4</v>
      </c>
      <c r="F337" s="2" t="s">
        <v>4373</v>
      </c>
    </row>
    <row r="338" spans="1:16" hidden="1" outlineLevel="1">
      <c r="A338" s="1">
        <v>5</v>
      </c>
      <c r="F338" s="2" t="s">
        <v>4374</v>
      </c>
    </row>
    <row r="339" spans="1:16" hidden="1" outlineLevel="1">
      <c r="A339" s="1">
        <v>6</v>
      </c>
      <c r="F339" s="2" t="s">
        <v>4375</v>
      </c>
    </row>
    <row r="340" spans="1:16" hidden="1" outlineLevel="1">
      <c r="A340" s="1">
        <v>7</v>
      </c>
      <c r="F340" s="2" t="s">
        <v>4376</v>
      </c>
    </row>
    <row r="341" spans="1:16" hidden="1" outlineLevel="1">
      <c r="A341" s="1">
        <v>8</v>
      </c>
      <c r="F341" s="2" t="s">
        <v>4377</v>
      </c>
    </row>
    <row r="342" spans="1:16" hidden="1" outlineLevel="1">
      <c r="A342" s="1">
        <v>9</v>
      </c>
      <c r="F342" s="2" t="s">
        <v>4368</v>
      </c>
    </row>
    <row r="343" spans="1:16" hidden="1" outlineLevel="1">
      <c r="A343" s="8"/>
      <c r="B343" s="58"/>
      <c r="C343" s="159"/>
      <c r="D343" s="8"/>
      <c r="E343" s="8"/>
      <c r="F343" s="8"/>
      <c r="G343" s="8"/>
      <c r="H343" s="8"/>
      <c r="I343" s="8"/>
      <c r="J343" s="58"/>
      <c r="K343" s="8"/>
      <c r="L343" s="58"/>
      <c r="M343" s="8"/>
      <c r="N343" s="8"/>
      <c r="O343" s="58"/>
      <c r="P343" s="58"/>
    </row>
    <row r="344" spans="1:16" hidden="1" outlineLevel="1">
      <c r="A344" s="1">
        <v>1</v>
      </c>
      <c r="B344" s="11">
        <v>44062</v>
      </c>
      <c r="C344" s="160">
        <v>5099</v>
      </c>
      <c r="E344" s="1" t="s">
        <v>383</v>
      </c>
      <c r="F344" s="2" t="s">
        <v>4378</v>
      </c>
    </row>
    <row r="345" spans="1:16" hidden="1" outlineLevel="1">
      <c r="A345" s="1">
        <v>2</v>
      </c>
      <c r="F345" s="2" t="s">
        <v>4379</v>
      </c>
    </row>
    <row r="346" spans="1:16" hidden="1" outlineLevel="1">
      <c r="A346" s="1">
        <v>3</v>
      </c>
      <c r="F346" s="2" t="s">
        <v>4380</v>
      </c>
    </row>
    <row r="347" spans="1:16" hidden="1" outlineLevel="1">
      <c r="A347" s="1">
        <v>4</v>
      </c>
      <c r="F347" s="2" t="s">
        <v>4381</v>
      </c>
    </row>
    <row r="348" spans="1:16" hidden="1" outlineLevel="1">
      <c r="A348" s="1">
        <v>5</v>
      </c>
      <c r="F348" s="2" t="s">
        <v>4382</v>
      </c>
    </row>
    <row r="349" spans="1:16" hidden="1" outlineLevel="1">
      <c r="A349" s="1">
        <v>6</v>
      </c>
      <c r="F349" s="2" t="s">
        <v>4383</v>
      </c>
    </row>
    <row r="350" spans="1:16" hidden="1" outlineLevel="1">
      <c r="A350" s="1">
        <v>7</v>
      </c>
      <c r="F350" s="2" t="s">
        <v>4384</v>
      </c>
    </row>
    <row r="351" spans="1:16" hidden="1" outlineLevel="1">
      <c r="A351" s="1">
        <v>8</v>
      </c>
      <c r="F351" s="2" t="s">
        <v>4385</v>
      </c>
    </row>
    <row r="352" spans="1:16" hidden="1" outlineLevel="1">
      <c r="A352" s="1">
        <v>9</v>
      </c>
      <c r="F352" s="2" t="s">
        <v>4386</v>
      </c>
    </row>
    <row r="353" spans="1:16" hidden="1" outlineLevel="1">
      <c r="A353" s="8"/>
      <c r="B353" s="58"/>
      <c r="C353" s="159"/>
      <c r="D353" s="8"/>
      <c r="E353" s="8"/>
      <c r="F353" s="8"/>
      <c r="G353" s="8"/>
      <c r="H353" s="8"/>
      <c r="I353" s="8"/>
      <c r="J353" s="58"/>
      <c r="K353" s="8"/>
      <c r="L353" s="58"/>
      <c r="M353" s="8"/>
      <c r="N353" s="8"/>
      <c r="O353" s="58"/>
      <c r="P353" s="58"/>
    </row>
    <row r="354" spans="1:16" hidden="1" outlineLevel="1">
      <c r="A354" s="1">
        <v>1</v>
      </c>
      <c r="B354" s="11">
        <v>44084</v>
      </c>
      <c r="C354" s="160">
        <v>5778</v>
      </c>
      <c r="E354" s="1" t="s">
        <v>383</v>
      </c>
      <c r="F354" s="2" t="s">
        <v>4387</v>
      </c>
    </row>
    <row r="355" spans="1:16" hidden="1" outlineLevel="1">
      <c r="A355" s="1">
        <v>2</v>
      </c>
      <c r="F355" s="2" t="s">
        <v>4388</v>
      </c>
    </row>
    <row r="356" spans="1:16" hidden="1" outlineLevel="1">
      <c r="A356" s="1">
        <v>3</v>
      </c>
      <c r="F356" s="2" t="s">
        <v>4389</v>
      </c>
    </row>
    <row r="357" spans="1:16" hidden="1" outlineLevel="1">
      <c r="A357" s="1">
        <v>4</v>
      </c>
      <c r="F357" s="2" t="s">
        <v>4390</v>
      </c>
    </row>
    <row r="358" spans="1:16" hidden="1" outlineLevel="1">
      <c r="A358" s="1">
        <v>5</v>
      </c>
      <c r="F358" s="2" t="s">
        <v>4391</v>
      </c>
    </row>
    <row r="359" spans="1:16" hidden="1" outlineLevel="1">
      <c r="A359" s="1">
        <v>6</v>
      </c>
      <c r="F359" s="2" t="s">
        <v>4392</v>
      </c>
    </row>
    <row r="360" spans="1:16" hidden="1" outlineLevel="1">
      <c r="A360" s="1">
        <v>7</v>
      </c>
      <c r="F360" s="2" t="s">
        <v>4393</v>
      </c>
    </row>
    <row r="361" spans="1:16" hidden="1" outlineLevel="1">
      <c r="A361" s="1">
        <v>8</v>
      </c>
      <c r="F361" s="2" t="s">
        <v>4394</v>
      </c>
    </row>
    <row r="362" spans="1:16" hidden="1" outlineLevel="1">
      <c r="A362" s="1">
        <v>9</v>
      </c>
      <c r="F362" s="2" t="s">
        <v>4395</v>
      </c>
    </row>
    <row r="363" spans="1:16" hidden="1" outlineLevel="1">
      <c r="A363" s="8"/>
      <c r="B363" s="58"/>
      <c r="C363" s="159"/>
      <c r="D363" s="8"/>
      <c r="E363" s="8"/>
      <c r="F363" s="8"/>
      <c r="G363" s="8"/>
      <c r="H363" s="8"/>
      <c r="I363" s="8"/>
      <c r="J363" s="58"/>
      <c r="K363" s="8"/>
      <c r="L363" s="58"/>
      <c r="M363" s="8"/>
      <c r="N363" s="8"/>
      <c r="O363" s="58"/>
      <c r="P363" s="58"/>
    </row>
    <row r="364" spans="1:16" hidden="1" outlineLevel="1">
      <c r="A364" s="1">
        <v>1</v>
      </c>
      <c r="B364" s="11">
        <v>44110</v>
      </c>
      <c r="C364" s="160">
        <v>6467</v>
      </c>
      <c r="E364" s="1" t="s">
        <v>383</v>
      </c>
      <c r="F364" s="2" t="s">
        <v>4396</v>
      </c>
    </row>
    <row r="365" spans="1:16" hidden="1" outlineLevel="1">
      <c r="A365" s="1">
        <v>2</v>
      </c>
      <c r="F365" s="2" t="s">
        <v>4397</v>
      </c>
    </row>
    <row r="366" spans="1:16" hidden="1" outlineLevel="1">
      <c r="A366" s="1">
        <v>3</v>
      </c>
      <c r="F366" s="2" t="s">
        <v>4398</v>
      </c>
    </row>
    <row r="367" spans="1:16" hidden="1" outlineLevel="1">
      <c r="A367" s="1">
        <v>4</v>
      </c>
      <c r="F367" s="2" t="s">
        <v>4399</v>
      </c>
    </row>
    <row r="368" spans="1:16" hidden="1" outlineLevel="1">
      <c r="A368" s="1">
        <v>5</v>
      </c>
      <c r="F368" s="2" t="s">
        <v>4400</v>
      </c>
    </row>
    <row r="369" spans="1:16" hidden="1" outlineLevel="1">
      <c r="A369" s="1">
        <v>6</v>
      </c>
      <c r="F369" s="2" t="s">
        <v>4401</v>
      </c>
    </row>
    <row r="370" spans="1:16" hidden="1" outlineLevel="1">
      <c r="A370" s="1">
        <v>7</v>
      </c>
      <c r="F370" s="2" t="s">
        <v>4402</v>
      </c>
    </row>
    <row r="371" spans="1:16" hidden="1" outlineLevel="1">
      <c r="A371" s="1">
        <v>8</v>
      </c>
      <c r="F371" s="2" t="s">
        <v>4403</v>
      </c>
    </row>
    <row r="372" spans="1:16" hidden="1" outlineLevel="1">
      <c r="A372" s="1">
        <v>9</v>
      </c>
      <c r="F372" s="2" t="s">
        <v>4404</v>
      </c>
    </row>
    <row r="373" spans="1:16" hidden="1" outlineLevel="1">
      <c r="A373" s="8"/>
      <c r="B373" s="58"/>
      <c r="C373" s="159"/>
      <c r="D373" s="8"/>
      <c r="E373" s="8"/>
      <c r="F373" s="8"/>
      <c r="G373" s="8"/>
      <c r="H373" s="8"/>
      <c r="I373" s="8"/>
      <c r="J373" s="58"/>
      <c r="K373" s="8"/>
      <c r="L373" s="58"/>
      <c r="M373" s="8"/>
      <c r="N373" s="8"/>
      <c r="O373" s="58"/>
      <c r="P373" s="58"/>
    </row>
    <row r="374" spans="1:16" hidden="1" outlineLevel="1">
      <c r="A374" s="1">
        <v>1</v>
      </c>
      <c r="B374" s="11">
        <v>44131</v>
      </c>
      <c r="C374" s="160">
        <v>6969</v>
      </c>
      <c r="E374" s="1" t="s">
        <v>383</v>
      </c>
      <c r="F374" s="2" t="s">
        <v>4405</v>
      </c>
    </row>
    <row r="375" spans="1:16" hidden="1" outlineLevel="1">
      <c r="A375" s="1">
        <v>2</v>
      </c>
      <c r="F375" s="2" t="s">
        <v>4406</v>
      </c>
    </row>
    <row r="376" spans="1:16" hidden="1" outlineLevel="1">
      <c r="A376" s="1">
        <v>3</v>
      </c>
      <c r="F376" s="2" t="s">
        <v>4407</v>
      </c>
    </row>
    <row r="377" spans="1:16" hidden="1" outlineLevel="1">
      <c r="A377" s="1">
        <v>4</v>
      </c>
      <c r="F377" s="2" t="s">
        <v>4408</v>
      </c>
    </row>
    <row r="378" spans="1:16" hidden="1" outlineLevel="1">
      <c r="A378" s="1">
        <v>5</v>
      </c>
      <c r="F378" s="2" t="s">
        <v>4409</v>
      </c>
    </row>
    <row r="379" spans="1:16" hidden="1" outlineLevel="1">
      <c r="A379" s="1">
        <v>6</v>
      </c>
      <c r="F379" s="2" t="s">
        <v>4410</v>
      </c>
    </row>
    <row r="380" spans="1:16" hidden="1" outlineLevel="1">
      <c r="A380" s="1">
        <v>7</v>
      </c>
      <c r="F380" s="2" t="s">
        <v>4411</v>
      </c>
    </row>
    <row r="381" spans="1:16" hidden="1" outlineLevel="1">
      <c r="A381" s="1">
        <v>8</v>
      </c>
      <c r="F381" s="2" t="s">
        <v>4412</v>
      </c>
    </row>
    <row r="382" spans="1:16" hidden="1" outlineLevel="1">
      <c r="A382" s="1">
        <v>9</v>
      </c>
      <c r="F382" s="2" t="s">
        <v>4413</v>
      </c>
    </row>
    <row r="383" spans="1:16" hidden="1" outlineLevel="1">
      <c r="A383" s="8"/>
      <c r="B383" s="58"/>
      <c r="C383" s="159"/>
      <c r="D383" s="8"/>
      <c r="E383" s="8"/>
      <c r="F383" s="8"/>
      <c r="G383" s="8"/>
      <c r="H383" s="8"/>
      <c r="I383" s="8"/>
      <c r="J383" s="58"/>
      <c r="K383" s="8"/>
      <c r="L383" s="58"/>
      <c r="M383" s="8"/>
      <c r="N383" s="8"/>
      <c r="O383" s="58"/>
      <c r="P383" s="58"/>
    </row>
    <row r="384" spans="1:16" hidden="1" outlineLevel="1">
      <c r="A384" s="1">
        <v>1</v>
      </c>
      <c r="B384" s="11">
        <v>44147</v>
      </c>
      <c r="C384" s="160">
        <v>7487</v>
      </c>
      <c r="E384" s="1" t="s">
        <v>383</v>
      </c>
      <c r="F384" s="2" t="s">
        <v>4414</v>
      </c>
    </row>
    <row r="385" spans="1:16" hidden="1" outlineLevel="1">
      <c r="A385" s="1">
        <v>2</v>
      </c>
      <c r="F385" s="2" t="s">
        <v>4415</v>
      </c>
    </row>
    <row r="386" spans="1:16" hidden="1" outlineLevel="1">
      <c r="A386" s="1">
        <v>3</v>
      </c>
      <c r="F386" s="2" t="s">
        <v>4416</v>
      </c>
    </row>
    <row r="387" spans="1:16" hidden="1" outlineLevel="1">
      <c r="A387" s="1">
        <v>4</v>
      </c>
      <c r="F387" s="2" t="s">
        <v>4417</v>
      </c>
    </row>
    <row r="388" spans="1:16" hidden="1" outlineLevel="1">
      <c r="A388" s="1">
        <v>5</v>
      </c>
      <c r="F388" s="2" t="s">
        <v>4418</v>
      </c>
    </row>
    <row r="389" spans="1:16" hidden="1" outlineLevel="1">
      <c r="A389" s="1">
        <v>6</v>
      </c>
      <c r="F389" s="2" t="s">
        <v>4419</v>
      </c>
    </row>
    <row r="390" spans="1:16" hidden="1" outlineLevel="1">
      <c r="A390" s="1">
        <v>7</v>
      </c>
      <c r="F390" s="2" t="s">
        <v>4420</v>
      </c>
    </row>
    <row r="391" spans="1:16" hidden="1" outlineLevel="1">
      <c r="A391" s="1">
        <v>8</v>
      </c>
      <c r="F391" s="2" t="s">
        <v>4421</v>
      </c>
    </row>
    <row r="392" spans="1:16" hidden="1" outlineLevel="1">
      <c r="A392" s="1">
        <v>9</v>
      </c>
      <c r="F392" s="2" t="s">
        <v>4422</v>
      </c>
    </row>
    <row r="393" spans="1:16" hidden="1" outlineLevel="1">
      <c r="A393" s="8"/>
      <c r="B393" s="58">
        <v>2020</v>
      </c>
      <c r="C393" s="159"/>
      <c r="D393" s="8"/>
      <c r="E393" s="8"/>
      <c r="F393" s="8"/>
      <c r="G393" s="8"/>
      <c r="H393" s="8"/>
      <c r="I393" s="8"/>
      <c r="J393" s="58"/>
      <c r="K393" s="8"/>
      <c r="L393" s="58"/>
      <c r="M393" s="8"/>
      <c r="N393" s="8"/>
      <c r="O393" s="58"/>
      <c r="P393" s="58"/>
    </row>
    <row r="394" spans="1:16" hidden="1" outlineLevel="1">
      <c r="A394" s="1">
        <v>1</v>
      </c>
      <c r="B394" s="11">
        <v>44168</v>
      </c>
      <c r="C394" s="160">
        <v>8194</v>
      </c>
      <c r="E394" s="1" t="s">
        <v>383</v>
      </c>
      <c r="F394" s="2" t="s">
        <v>4423</v>
      </c>
      <c r="M394" s="2" t="s">
        <v>5039</v>
      </c>
      <c r="N394" s="2" t="s">
        <v>4737</v>
      </c>
      <c r="O394" s="18">
        <v>44222</v>
      </c>
    </row>
    <row r="395" spans="1:16" hidden="1" outlineLevel="1">
      <c r="A395" s="1">
        <v>2</v>
      </c>
      <c r="F395" s="2" t="s">
        <v>4424</v>
      </c>
      <c r="M395" s="2" t="s">
        <v>5040</v>
      </c>
      <c r="N395" s="2" t="s">
        <v>4738</v>
      </c>
      <c r="O395" s="18">
        <v>44221</v>
      </c>
    </row>
    <row r="396" spans="1:16" hidden="1" outlineLevel="1">
      <c r="A396" s="1">
        <v>3</v>
      </c>
      <c r="F396" s="2" t="s">
        <v>4425</v>
      </c>
      <c r="M396" s="2" t="s">
        <v>5041</v>
      </c>
      <c r="N396" s="2" t="s">
        <v>4739</v>
      </c>
      <c r="O396" s="18">
        <v>44222</v>
      </c>
    </row>
    <row r="397" spans="1:16" hidden="1" outlineLevel="1">
      <c r="A397" s="1">
        <v>4</v>
      </c>
      <c r="F397" s="2" t="s">
        <v>4426</v>
      </c>
      <c r="M397" s="2" t="s">
        <v>5042</v>
      </c>
      <c r="N397" s="2" t="s">
        <v>4740</v>
      </c>
      <c r="O397" s="18">
        <v>44221</v>
      </c>
    </row>
    <row r="398" spans="1:16" hidden="1" outlineLevel="1">
      <c r="A398" s="1">
        <v>5</v>
      </c>
      <c r="F398" s="2" t="s">
        <v>4427</v>
      </c>
      <c r="M398" s="2" t="s">
        <v>5043</v>
      </c>
      <c r="N398" s="2" t="s">
        <v>4738</v>
      </c>
      <c r="O398" s="18">
        <v>44221</v>
      </c>
    </row>
    <row r="399" spans="1:16" hidden="1" outlineLevel="1">
      <c r="A399" s="1">
        <v>6</v>
      </c>
      <c r="F399" s="2" t="s">
        <v>4428</v>
      </c>
      <c r="N399" s="2" t="s">
        <v>4741</v>
      </c>
    </row>
    <row r="400" spans="1:16" hidden="1" outlineLevel="1">
      <c r="A400" s="1">
        <v>7</v>
      </c>
      <c r="F400" s="2" t="s">
        <v>4429</v>
      </c>
      <c r="M400" s="2" t="s">
        <v>5044</v>
      </c>
      <c r="N400" s="2" t="s">
        <v>4742</v>
      </c>
      <c r="O400" s="18">
        <v>44218</v>
      </c>
    </row>
    <row r="401" spans="1:16" hidden="1" outlineLevel="1">
      <c r="A401" s="1">
        <v>8</v>
      </c>
      <c r="F401" s="2" t="s">
        <v>4430</v>
      </c>
      <c r="N401" s="2" t="s">
        <v>4743</v>
      </c>
    </row>
    <row r="402" spans="1:16" hidden="1" outlineLevel="1">
      <c r="A402" s="1">
        <v>9</v>
      </c>
      <c r="F402" s="2" t="s">
        <v>4431</v>
      </c>
      <c r="N402" s="2" t="s">
        <v>4744</v>
      </c>
    </row>
    <row r="403" spans="1:16" collapsed="1">
      <c r="A403" s="8">
        <v>2021</v>
      </c>
      <c r="B403" s="58">
        <v>2021</v>
      </c>
      <c r="C403" s="159"/>
      <c r="D403" s="8"/>
      <c r="E403" s="8"/>
      <c r="F403" s="8"/>
      <c r="G403" s="8"/>
      <c r="H403" s="8"/>
      <c r="I403" s="8"/>
      <c r="J403" s="58"/>
      <c r="K403" s="8"/>
      <c r="L403" s="58"/>
      <c r="M403" s="8"/>
      <c r="N403" s="8"/>
      <c r="O403" s="58"/>
      <c r="P403" s="58"/>
    </row>
    <row r="404" spans="1:16" hidden="1" outlineLevel="1">
      <c r="A404" s="1">
        <v>1</v>
      </c>
      <c r="B404" s="11">
        <v>44225</v>
      </c>
      <c r="C404" s="160">
        <v>505</v>
      </c>
      <c r="E404" s="1" t="s">
        <v>383</v>
      </c>
      <c r="F404" s="2" t="s">
        <v>4432</v>
      </c>
      <c r="M404" s="2" t="s">
        <v>5045</v>
      </c>
      <c r="N404" s="2" t="s">
        <v>4745</v>
      </c>
      <c r="O404" s="18">
        <v>44258</v>
      </c>
    </row>
    <row r="405" spans="1:16" hidden="1" outlineLevel="1">
      <c r="A405" s="1">
        <v>2</v>
      </c>
      <c r="C405" s="11" t="s">
        <v>4114</v>
      </c>
      <c r="F405" s="2" t="s">
        <v>4433</v>
      </c>
      <c r="M405" s="2" t="s">
        <v>5046</v>
      </c>
      <c r="N405" s="2" t="s">
        <v>4746</v>
      </c>
      <c r="O405" s="18">
        <v>44251</v>
      </c>
    </row>
    <row r="406" spans="1:16" hidden="1" outlineLevel="1">
      <c r="A406" s="1">
        <v>3</v>
      </c>
      <c r="F406" s="2" t="s">
        <v>4434</v>
      </c>
      <c r="M406" s="2" t="s">
        <v>5047</v>
      </c>
      <c r="N406" s="2" t="s">
        <v>4747</v>
      </c>
      <c r="O406" s="18">
        <v>44246</v>
      </c>
    </row>
    <row r="407" spans="1:16" hidden="1" outlineLevel="1">
      <c r="A407" s="1">
        <v>4</v>
      </c>
      <c r="F407" s="2" t="s">
        <v>4435</v>
      </c>
      <c r="M407" s="2" t="s">
        <v>5048</v>
      </c>
      <c r="N407" s="2" t="s">
        <v>4748</v>
      </c>
      <c r="O407" s="18">
        <v>44246</v>
      </c>
    </row>
    <row r="408" spans="1:16" hidden="1" outlineLevel="1">
      <c r="A408" s="1">
        <v>5</v>
      </c>
      <c r="F408" s="2" t="s">
        <v>4436</v>
      </c>
      <c r="M408" s="2" t="s">
        <v>5049</v>
      </c>
      <c r="N408" s="2" t="s">
        <v>4749</v>
      </c>
      <c r="O408" s="18">
        <v>44239</v>
      </c>
    </row>
    <row r="409" spans="1:16" hidden="1" outlineLevel="1">
      <c r="A409" s="1">
        <v>6</v>
      </c>
      <c r="F409" s="2" t="s">
        <v>4437</v>
      </c>
      <c r="M409" s="2" t="s">
        <v>5050</v>
      </c>
      <c r="N409" s="2" t="s">
        <v>4750</v>
      </c>
      <c r="O409" s="18">
        <v>44236</v>
      </c>
    </row>
    <row r="410" spans="1:16" hidden="1" outlineLevel="1">
      <c r="A410" s="1">
        <v>7</v>
      </c>
      <c r="F410" s="2" t="s">
        <v>4438</v>
      </c>
      <c r="M410" s="2" t="s">
        <v>5051</v>
      </c>
      <c r="N410" s="2" t="s">
        <v>4751</v>
      </c>
      <c r="O410" s="18">
        <v>44245</v>
      </c>
    </row>
    <row r="411" spans="1:16" hidden="1" outlineLevel="1">
      <c r="A411" s="1">
        <v>8</v>
      </c>
      <c r="F411" s="2" t="s">
        <v>4439</v>
      </c>
      <c r="G411" s="1" t="s">
        <v>4568</v>
      </c>
      <c r="M411" s="2" t="s">
        <v>5052</v>
      </c>
      <c r="N411" s="2" t="s">
        <v>4752</v>
      </c>
      <c r="O411" s="18">
        <v>44230</v>
      </c>
    </row>
    <row r="412" spans="1:16" hidden="1" outlineLevel="1">
      <c r="A412" s="1">
        <v>9</v>
      </c>
      <c r="F412" s="2" t="s">
        <v>4440</v>
      </c>
      <c r="G412" s="1" t="s">
        <v>4569</v>
      </c>
      <c r="M412" s="2" t="s">
        <v>5053</v>
      </c>
      <c r="N412" s="2" t="s">
        <v>4753</v>
      </c>
      <c r="O412" s="18">
        <v>44242</v>
      </c>
    </row>
    <row r="413" spans="1:16" hidden="1" outlineLevel="1">
      <c r="A413" s="8"/>
      <c r="B413" s="58"/>
      <c r="C413" s="159"/>
      <c r="D413" s="8"/>
      <c r="E413" s="8"/>
      <c r="F413" s="8"/>
      <c r="G413" s="8"/>
      <c r="H413" s="8"/>
      <c r="I413" s="8"/>
      <c r="J413" s="58"/>
      <c r="K413" s="8"/>
      <c r="L413" s="58"/>
      <c r="M413" s="8"/>
      <c r="N413" s="8"/>
      <c r="O413" s="58"/>
      <c r="P413" s="58"/>
    </row>
    <row r="414" spans="1:16" hidden="1" outlineLevel="1">
      <c r="A414" s="1">
        <v>1</v>
      </c>
      <c r="B414" s="11">
        <v>44247</v>
      </c>
      <c r="C414" s="160">
        <v>1325</v>
      </c>
      <c r="E414" s="1" t="s">
        <v>383</v>
      </c>
      <c r="F414" s="2" t="s">
        <v>4441</v>
      </c>
      <c r="M414" s="2" t="s">
        <v>5054</v>
      </c>
      <c r="N414" s="2" t="s">
        <v>4754</v>
      </c>
      <c r="O414" s="18">
        <v>44259</v>
      </c>
    </row>
    <row r="415" spans="1:16" hidden="1" outlineLevel="1">
      <c r="A415" s="1">
        <v>2</v>
      </c>
      <c r="C415" s="11" t="s">
        <v>4114</v>
      </c>
      <c r="F415" s="2" t="s">
        <v>4442</v>
      </c>
      <c r="N415" s="2" t="s">
        <v>4755</v>
      </c>
    </row>
    <row r="416" spans="1:16" hidden="1" outlineLevel="1">
      <c r="A416" s="1">
        <v>3</v>
      </c>
      <c r="F416" s="2" t="s">
        <v>4443</v>
      </c>
      <c r="M416" s="2" t="s">
        <v>5055</v>
      </c>
      <c r="N416" s="2" t="s">
        <v>4756</v>
      </c>
      <c r="O416" s="18">
        <v>44267</v>
      </c>
    </row>
    <row r="417" spans="1:16" hidden="1" outlineLevel="1">
      <c r="A417" s="1">
        <v>4</v>
      </c>
      <c r="F417" s="2" t="s">
        <v>4444</v>
      </c>
      <c r="M417" s="2" t="s">
        <v>5056</v>
      </c>
      <c r="N417" s="2" t="s">
        <v>4757</v>
      </c>
      <c r="O417" s="18">
        <v>44260</v>
      </c>
    </row>
    <row r="418" spans="1:16" hidden="1" outlineLevel="1">
      <c r="A418" s="1">
        <v>5</v>
      </c>
      <c r="F418" s="2" t="s">
        <v>4445</v>
      </c>
      <c r="M418" s="2" t="s">
        <v>5057</v>
      </c>
      <c r="N418" s="2" t="s">
        <v>4758</v>
      </c>
      <c r="O418" s="18">
        <v>44270</v>
      </c>
    </row>
    <row r="419" spans="1:16" hidden="1" outlineLevel="1">
      <c r="A419" s="1">
        <v>6</v>
      </c>
      <c r="F419" s="2" t="s">
        <v>4446</v>
      </c>
      <c r="M419" s="2" t="s">
        <v>5058</v>
      </c>
      <c r="N419" s="2" t="s">
        <v>4759</v>
      </c>
      <c r="O419" s="18">
        <v>44271</v>
      </c>
    </row>
    <row r="420" spans="1:16" hidden="1" outlineLevel="1">
      <c r="A420" s="1">
        <v>7</v>
      </c>
      <c r="F420" s="2" t="s">
        <v>4447</v>
      </c>
      <c r="M420" s="2" t="s">
        <v>5059</v>
      </c>
      <c r="N420" s="2" t="s">
        <v>4760</v>
      </c>
      <c r="O420" s="18">
        <v>44273</v>
      </c>
    </row>
    <row r="421" spans="1:16" hidden="1" outlineLevel="1">
      <c r="A421" s="1">
        <v>8</v>
      </c>
      <c r="F421" s="2" t="s">
        <v>4448</v>
      </c>
      <c r="M421" s="2" t="s">
        <v>5060</v>
      </c>
      <c r="N421" s="2" t="s">
        <v>4761</v>
      </c>
      <c r="O421" s="18">
        <v>44274</v>
      </c>
    </row>
    <row r="422" spans="1:16" hidden="1" outlineLevel="1">
      <c r="A422" s="1">
        <v>9</v>
      </c>
      <c r="F422" s="2" t="s">
        <v>4449</v>
      </c>
      <c r="M422" s="2" t="s">
        <v>5061</v>
      </c>
      <c r="N422" s="2" t="s">
        <v>4761</v>
      </c>
      <c r="O422" s="18">
        <v>44274</v>
      </c>
    </row>
    <row r="423" spans="1:16" hidden="1" outlineLevel="1">
      <c r="A423" s="8"/>
      <c r="B423" s="58"/>
      <c r="C423" s="159"/>
      <c r="D423" s="8"/>
      <c r="E423" s="8"/>
      <c r="F423" s="8"/>
      <c r="G423" s="8"/>
      <c r="H423" s="8"/>
      <c r="I423" s="8"/>
      <c r="J423" s="58"/>
      <c r="K423" s="8"/>
      <c r="L423" s="58"/>
      <c r="M423" s="8"/>
      <c r="N423" s="8"/>
      <c r="O423" s="58"/>
      <c r="P423" s="58"/>
    </row>
    <row r="424" spans="1:16" hidden="1" outlineLevel="1">
      <c r="A424" s="1">
        <v>1</v>
      </c>
      <c r="B424" s="11">
        <v>44243</v>
      </c>
      <c r="C424" s="160">
        <v>2058</v>
      </c>
      <c r="E424" s="1" t="s">
        <v>383</v>
      </c>
      <c r="F424" s="2" t="s">
        <v>4450</v>
      </c>
      <c r="M424" s="2" t="s">
        <v>5062</v>
      </c>
      <c r="N424" s="2" t="s">
        <v>4762</v>
      </c>
      <c r="O424" s="18">
        <v>44280</v>
      </c>
    </row>
    <row r="425" spans="1:16" hidden="1" outlineLevel="1">
      <c r="A425" s="1">
        <v>2</v>
      </c>
      <c r="C425" s="11" t="s">
        <v>4115</v>
      </c>
      <c r="F425" s="2" t="s">
        <v>4451</v>
      </c>
      <c r="M425" s="2" t="s">
        <v>5063</v>
      </c>
      <c r="N425" s="2" t="s">
        <v>4763</v>
      </c>
      <c r="O425" s="18">
        <v>44279</v>
      </c>
    </row>
    <row r="426" spans="1:16" hidden="1" outlineLevel="1">
      <c r="A426" s="1">
        <v>3</v>
      </c>
      <c r="F426" s="2" t="s">
        <v>4452</v>
      </c>
      <c r="M426" s="2" t="s">
        <v>2451</v>
      </c>
      <c r="N426" s="2" t="s">
        <v>2452</v>
      </c>
      <c r="O426" s="18">
        <v>44279</v>
      </c>
    </row>
    <row r="427" spans="1:16" hidden="1" outlineLevel="1">
      <c r="A427" s="1">
        <v>4</v>
      </c>
      <c r="F427" s="2" t="s">
        <v>4453</v>
      </c>
      <c r="M427" s="2" t="s">
        <v>5064</v>
      </c>
      <c r="N427" s="2" t="s">
        <v>4764</v>
      </c>
      <c r="O427" s="18">
        <v>44286</v>
      </c>
    </row>
    <row r="428" spans="1:16" hidden="1" outlineLevel="1">
      <c r="A428" s="1">
        <v>5</v>
      </c>
      <c r="F428" s="2" t="s">
        <v>4454</v>
      </c>
      <c r="M428" s="2" t="s">
        <v>5065</v>
      </c>
      <c r="N428" s="2" t="s">
        <v>4765</v>
      </c>
      <c r="O428" s="18">
        <v>44285</v>
      </c>
    </row>
    <row r="429" spans="1:16" hidden="1" outlineLevel="1">
      <c r="A429" s="1">
        <v>6</v>
      </c>
      <c r="F429" s="2" t="s">
        <v>4455</v>
      </c>
      <c r="M429" s="2" t="s">
        <v>5066</v>
      </c>
      <c r="N429" s="2" t="s">
        <v>4766</v>
      </c>
      <c r="O429" s="18">
        <v>44286</v>
      </c>
    </row>
    <row r="430" spans="1:16" hidden="1" outlineLevel="1">
      <c r="A430" s="8">
        <v>7</v>
      </c>
      <c r="B430" s="58"/>
      <c r="C430" s="159"/>
      <c r="D430" s="8"/>
      <c r="E430" s="8"/>
      <c r="F430" s="8"/>
      <c r="G430" s="8"/>
      <c r="H430" s="8"/>
      <c r="I430" s="8"/>
      <c r="J430" s="58"/>
      <c r="K430" s="8"/>
      <c r="L430" s="58"/>
      <c r="M430" s="8"/>
      <c r="N430" s="8"/>
      <c r="O430" s="58"/>
      <c r="P430" s="58"/>
    </row>
    <row r="431" spans="1:16" hidden="1" outlineLevel="1">
      <c r="A431" s="1">
        <v>1</v>
      </c>
      <c r="E431" s="1" t="s">
        <v>4132</v>
      </c>
      <c r="F431" s="2">
        <v>20600967086</v>
      </c>
    </row>
    <row r="432" spans="1:16" hidden="1" outlineLevel="1">
      <c r="A432" s="8"/>
      <c r="B432" s="58"/>
      <c r="C432" s="159"/>
      <c r="D432" s="8"/>
      <c r="E432" s="8"/>
      <c r="F432" s="8"/>
      <c r="G432" s="8"/>
      <c r="H432" s="8"/>
      <c r="I432" s="8"/>
      <c r="J432" s="58"/>
      <c r="K432" s="8"/>
      <c r="L432" s="58"/>
      <c r="M432" s="8"/>
      <c r="N432" s="8"/>
      <c r="O432" s="58"/>
      <c r="P432" s="58"/>
    </row>
    <row r="433" spans="1:16" hidden="1" outlineLevel="1">
      <c r="A433" s="1">
        <v>1</v>
      </c>
      <c r="B433" s="11">
        <v>44279</v>
      </c>
      <c r="C433" s="160">
        <v>213</v>
      </c>
      <c r="E433" s="1" t="s">
        <v>4133</v>
      </c>
      <c r="F433" s="2">
        <v>400403</v>
      </c>
      <c r="N433" s="2" t="s">
        <v>4767</v>
      </c>
    </row>
    <row r="434" spans="1:16" hidden="1" outlineLevel="1">
      <c r="A434" s="1">
        <v>2</v>
      </c>
      <c r="F434" s="2">
        <v>401387</v>
      </c>
      <c r="N434" s="2" t="s">
        <v>4767</v>
      </c>
    </row>
    <row r="435" spans="1:16" hidden="1" outlineLevel="1">
      <c r="A435" s="1">
        <v>3</v>
      </c>
      <c r="F435" s="2">
        <v>400415</v>
      </c>
      <c r="N435" s="2" t="s">
        <v>4767</v>
      </c>
    </row>
    <row r="436" spans="1:16" hidden="1" outlineLevel="1">
      <c r="A436" s="1">
        <v>4</v>
      </c>
      <c r="F436" s="2">
        <v>400440</v>
      </c>
      <c r="N436" s="2" t="s">
        <v>4767</v>
      </c>
    </row>
    <row r="437" spans="1:16" hidden="1" outlineLevel="1">
      <c r="A437" s="1">
        <v>5</v>
      </c>
      <c r="F437" s="2">
        <v>400410</v>
      </c>
      <c r="N437" s="2" t="s">
        <v>4767</v>
      </c>
    </row>
    <row r="438" spans="1:16" hidden="1" outlineLevel="1">
      <c r="A438" s="1">
        <v>6</v>
      </c>
      <c r="F438" s="2">
        <v>400404</v>
      </c>
      <c r="N438" s="2" t="s">
        <v>4767</v>
      </c>
    </row>
    <row r="439" spans="1:16" hidden="1" outlineLevel="1">
      <c r="A439" s="8"/>
      <c r="B439" s="58"/>
      <c r="C439" s="159"/>
      <c r="D439" s="8"/>
      <c r="E439" s="8"/>
      <c r="F439" s="8"/>
      <c r="G439" s="8"/>
      <c r="H439" s="8"/>
      <c r="I439" s="8"/>
      <c r="J439" s="58"/>
      <c r="K439" s="8"/>
      <c r="L439" s="58"/>
      <c r="M439" s="8"/>
      <c r="N439" s="8"/>
      <c r="O439" s="58"/>
      <c r="P439" s="58"/>
    </row>
    <row r="440" spans="1:16" hidden="1" outlineLevel="1">
      <c r="A440" s="1">
        <v>1</v>
      </c>
      <c r="B440" s="11">
        <v>44284</v>
      </c>
      <c r="C440" s="160">
        <v>2559</v>
      </c>
      <c r="E440" s="1" t="s">
        <v>383</v>
      </c>
      <c r="F440" s="2" t="s">
        <v>4456</v>
      </c>
      <c r="N440" s="2" t="s">
        <v>4768</v>
      </c>
    </row>
    <row r="441" spans="1:16" hidden="1" outlineLevel="1">
      <c r="A441" s="1">
        <v>2</v>
      </c>
      <c r="F441" s="2" t="s">
        <v>4457</v>
      </c>
      <c r="M441" s="2" t="s">
        <v>5067</v>
      </c>
      <c r="N441" s="2" t="s">
        <v>4769</v>
      </c>
      <c r="O441" s="18">
        <v>44302</v>
      </c>
    </row>
    <row r="442" spans="1:16" hidden="1" outlineLevel="1">
      <c r="A442" s="1">
        <v>3</v>
      </c>
      <c r="F442" s="2" t="s">
        <v>4458</v>
      </c>
      <c r="N442" s="2" t="s">
        <v>4768</v>
      </c>
    </row>
    <row r="443" spans="1:16" hidden="1" outlineLevel="1">
      <c r="A443" s="1">
        <v>4</v>
      </c>
      <c r="F443" s="2" t="s">
        <v>4459</v>
      </c>
      <c r="M443" s="2" t="s">
        <v>5068</v>
      </c>
      <c r="N443" s="2" t="s">
        <v>4770</v>
      </c>
    </row>
    <row r="444" spans="1:16" hidden="1" outlineLevel="1">
      <c r="A444" s="1">
        <v>5</v>
      </c>
      <c r="F444" s="2" t="s">
        <v>4460</v>
      </c>
      <c r="N444" s="2" t="s">
        <v>4771</v>
      </c>
    </row>
    <row r="445" spans="1:16" hidden="1" outlineLevel="1">
      <c r="A445" s="1">
        <v>6</v>
      </c>
      <c r="F445" s="2" t="s">
        <v>4461</v>
      </c>
      <c r="M445" s="2" t="s">
        <v>5069</v>
      </c>
      <c r="N445" s="2" t="s">
        <v>4769</v>
      </c>
      <c r="O445" s="18">
        <v>44302</v>
      </c>
    </row>
    <row r="446" spans="1:16" hidden="1" outlineLevel="1">
      <c r="A446" s="1">
        <v>7</v>
      </c>
      <c r="F446" s="2" t="s">
        <v>4462</v>
      </c>
      <c r="M446" s="2" t="s">
        <v>5070</v>
      </c>
      <c r="N446" s="2" t="s">
        <v>4772</v>
      </c>
      <c r="O446" s="18">
        <v>44293</v>
      </c>
    </row>
    <row r="447" spans="1:16" hidden="1" outlineLevel="1">
      <c r="A447" s="1">
        <v>8</v>
      </c>
      <c r="F447" s="2" t="s">
        <v>4463</v>
      </c>
      <c r="N447" s="2" t="s">
        <v>4768</v>
      </c>
    </row>
    <row r="448" spans="1:16" hidden="1" outlineLevel="1">
      <c r="A448" s="8"/>
      <c r="B448" s="58"/>
      <c r="C448" s="159"/>
      <c r="D448" s="8"/>
      <c r="E448" s="8"/>
      <c r="F448" s="8"/>
      <c r="G448" s="8"/>
      <c r="H448" s="8"/>
      <c r="I448" s="8"/>
      <c r="J448" s="58"/>
      <c r="K448" s="8"/>
      <c r="L448" s="58"/>
      <c r="M448" s="8"/>
      <c r="N448" s="8"/>
      <c r="O448" s="58"/>
      <c r="P448" s="58"/>
    </row>
    <row r="449" spans="1:16" hidden="1" outlineLevel="1">
      <c r="A449" s="1">
        <v>1</v>
      </c>
      <c r="B449" s="11">
        <v>44305</v>
      </c>
      <c r="C449" s="160">
        <v>3614</v>
      </c>
      <c r="E449" s="1" t="s">
        <v>383</v>
      </c>
      <c r="F449" s="2" t="s">
        <v>4464</v>
      </c>
      <c r="M449" s="2" t="s">
        <v>5071</v>
      </c>
      <c r="N449" s="2" t="s">
        <v>4769</v>
      </c>
    </row>
    <row r="450" spans="1:16" hidden="1" outlineLevel="1">
      <c r="A450" s="1">
        <v>2</v>
      </c>
      <c r="F450" s="2" t="s">
        <v>4465</v>
      </c>
      <c r="M450" s="2" t="s">
        <v>5072</v>
      </c>
      <c r="N450" s="2" t="s">
        <v>4773</v>
      </c>
    </row>
    <row r="451" spans="1:16" hidden="1" outlineLevel="1">
      <c r="A451" s="1">
        <v>3</v>
      </c>
      <c r="F451" s="2" t="s">
        <v>4466</v>
      </c>
      <c r="M451" s="2" t="s">
        <v>5073</v>
      </c>
      <c r="N451" s="2" t="s">
        <v>4616</v>
      </c>
    </row>
    <row r="452" spans="1:16" hidden="1" outlineLevel="1">
      <c r="A452" s="1">
        <v>4</v>
      </c>
      <c r="F452" s="2" t="s">
        <v>4467</v>
      </c>
      <c r="M452" s="2" t="s">
        <v>5074</v>
      </c>
      <c r="N452" s="2" t="s">
        <v>4769</v>
      </c>
    </row>
    <row r="453" spans="1:16" hidden="1" outlineLevel="1">
      <c r="A453" s="1">
        <v>5</v>
      </c>
      <c r="F453" s="2" t="s">
        <v>4468</v>
      </c>
      <c r="M453" s="2" t="s">
        <v>5075</v>
      </c>
      <c r="N453" s="2" t="s">
        <v>4769</v>
      </c>
    </row>
    <row r="454" spans="1:16" hidden="1" outlineLevel="1">
      <c r="A454" s="1">
        <v>6</v>
      </c>
      <c r="F454" s="2" t="s">
        <v>4469</v>
      </c>
      <c r="M454" s="2" t="s">
        <v>5076</v>
      </c>
      <c r="N454" s="2" t="s">
        <v>4774</v>
      </c>
    </row>
    <row r="455" spans="1:16" hidden="1" outlineLevel="1">
      <c r="A455" s="1">
        <v>7</v>
      </c>
      <c r="F455" s="2" t="s">
        <v>4470</v>
      </c>
      <c r="M455" s="2" t="s">
        <v>5077</v>
      </c>
      <c r="N455" s="2" t="s">
        <v>4775</v>
      </c>
    </row>
    <row r="456" spans="1:16" hidden="1" outlineLevel="1">
      <c r="A456" s="1">
        <v>8</v>
      </c>
      <c r="F456" s="2" t="s">
        <v>4471</v>
      </c>
      <c r="M456" s="2" t="s">
        <v>5078</v>
      </c>
      <c r="N456" s="2" t="s">
        <v>4776</v>
      </c>
    </row>
    <row r="457" spans="1:16" hidden="1" outlineLevel="1">
      <c r="A457" s="1">
        <v>9</v>
      </c>
      <c r="F457" s="2" t="s">
        <v>4472</v>
      </c>
      <c r="M457" s="2" t="s">
        <v>5079</v>
      </c>
      <c r="N457" s="2" t="s">
        <v>4777</v>
      </c>
    </row>
    <row r="458" spans="1:16" hidden="1" outlineLevel="1">
      <c r="A458" s="1">
        <v>10</v>
      </c>
      <c r="F458" s="2" t="s">
        <v>4473</v>
      </c>
      <c r="M458" s="2" t="s">
        <v>5080</v>
      </c>
      <c r="N458" s="2" t="s">
        <v>4778</v>
      </c>
    </row>
    <row r="459" spans="1:16" hidden="1" outlineLevel="1">
      <c r="A459" s="8"/>
      <c r="B459" s="58"/>
      <c r="C459" s="159"/>
      <c r="D459" s="8"/>
      <c r="E459" s="8"/>
      <c r="F459" s="8"/>
      <c r="G459" s="8"/>
      <c r="H459" s="8"/>
      <c r="I459" s="8"/>
      <c r="J459" s="58"/>
      <c r="K459" s="8"/>
      <c r="L459" s="58"/>
      <c r="M459" s="8"/>
      <c r="N459" s="8"/>
      <c r="O459" s="58"/>
      <c r="P459" s="58"/>
    </row>
    <row r="460" spans="1:16" hidden="1" outlineLevel="1">
      <c r="A460" s="1">
        <v>1</v>
      </c>
      <c r="B460" s="11">
        <v>44321</v>
      </c>
      <c r="C460" s="160">
        <v>4332</v>
      </c>
      <c r="E460" s="1" t="s">
        <v>383</v>
      </c>
      <c r="F460" s="2" t="s">
        <v>4474</v>
      </c>
      <c r="M460" s="2" t="s">
        <v>5081</v>
      </c>
      <c r="N460" s="2" t="s">
        <v>4779</v>
      </c>
      <c r="O460" s="18">
        <v>44376</v>
      </c>
    </row>
    <row r="461" spans="1:16" hidden="1" outlineLevel="1">
      <c r="A461" s="1">
        <v>2</v>
      </c>
      <c r="F461" s="2" t="s">
        <v>4475</v>
      </c>
      <c r="M461" s="2" t="s">
        <v>5082</v>
      </c>
      <c r="N461" s="2" t="s">
        <v>4780</v>
      </c>
    </row>
    <row r="462" spans="1:16" hidden="1" outlineLevel="1">
      <c r="A462" s="1">
        <v>3</v>
      </c>
      <c r="F462" s="2" t="s">
        <v>4476</v>
      </c>
      <c r="M462" s="2" t="s">
        <v>5083</v>
      </c>
      <c r="N462" s="2" t="s">
        <v>4781</v>
      </c>
    </row>
    <row r="463" spans="1:16" hidden="1" outlineLevel="1">
      <c r="A463" s="1">
        <v>4</v>
      </c>
      <c r="F463" s="2" t="s">
        <v>4477</v>
      </c>
      <c r="M463" s="2" t="s">
        <v>5084</v>
      </c>
      <c r="N463" s="2" t="s">
        <v>4782</v>
      </c>
    </row>
    <row r="464" spans="1:16" hidden="1" outlineLevel="1">
      <c r="A464" s="1">
        <v>5</v>
      </c>
      <c r="F464" s="2" t="s">
        <v>4478</v>
      </c>
      <c r="M464" s="2" t="s">
        <v>5085</v>
      </c>
      <c r="N464" s="2" t="s">
        <v>4716</v>
      </c>
    </row>
    <row r="465" spans="1:16" hidden="1" outlineLevel="1">
      <c r="A465" s="1">
        <v>6</v>
      </c>
      <c r="F465" s="2" t="s">
        <v>4479</v>
      </c>
      <c r="M465" s="2" t="s">
        <v>5086</v>
      </c>
      <c r="N465" s="2" t="s">
        <v>4783</v>
      </c>
    </row>
    <row r="466" spans="1:16" hidden="1" outlineLevel="1">
      <c r="A466" s="8"/>
      <c r="B466" s="58"/>
      <c r="C466" s="159"/>
      <c r="D466" s="8"/>
      <c r="E466" s="8"/>
      <c r="F466" s="8"/>
      <c r="G466" s="8"/>
      <c r="H466" s="8"/>
      <c r="I466" s="8"/>
      <c r="J466" s="58"/>
      <c r="K466" s="8"/>
      <c r="L466" s="58"/>
      <c r="M466" s="8"/>
      <c r="N466" s="8"/>
      <c r="O466" s="58"/>
      <c r="P466" s="58"/>
    </row>
    <row r="467" spans="1:16" hidden="1" outlineLevel="1">
      <c r="A467" s="1">
        <v>1</v>
      </c>
      <c r="B467" s="11">
        <v>44336</v>
      </c>
      <c r="C467" s="160">
        <v>4759</v>
      </c>
      <c r="E467" s="1" t="s">
        <v>383</v>
      </c>
      <c r="F467" s="2" t="s">
        <v>4480</v>
      </c>
      <c r="M467" s="2" t="s">
        <v>5087</v>
      </c>
      <c r="N467" s="2" t="s">
        <v>4784</v>
      </c>
    </row>
    <row r="468" spans="1:16" hidden="1" outlineLevel="1">
      <c r="A468" s="1">
        <v>2</v>
      </c>
      <c r="F468" s="2" t="s">
        <v>4481</v>
      </c>
      <c r="M468" s="2" t="s">
        <v>5088</v>
      </c>
      <c r="N468" s="2" t="s">
        <v>4785</v>
      </c>
    </row>
    <row r="469" spans="1:16" hidden="1" outlineLevel="1">
      <c r="A469" s="1">
        <v>3</v>
      </c>
      <c r="F469" s="2" t="s">
        <v>4482</v>
      </c>
      <c r="M469" s="2" t="s">
        <v>5089</v>
      </c>
      <c r="N469" s="2" t="s">
        <v>4786</v>
      </c>
    </row>
    <row r="470" spans="1:16" hidden="1" outlineLevel="1">
      <c r="A470" s="1">
        <v>4</v>
      </c>
      <c r="F470" s="2" t="s">
        <v>4483</v>
      </c>
      <c r="N470" s="2" t="s">
        <v>4787</v>
      </c>
      <c r="O470" s="18">
        <v>44348</v>
      </c>
    </row>
    <row r="471" spans="1:16" hidden="1" outlineLevel="1">
      <c r="A471" s="8"/>
      <c r="B471" s="58"/>
      <c r="C471" s="159"/>
      <c r="D471" s="8"/>
      <c r="E471" s="8"/>
      <c r="F471" s="8"/>
      <c r="G471" s="8"/>
      <c r="H471" s="8"/>
      <c r="I471" s="8"/>
      <c r="J471" s="58"/>
      <c r="K471" s="8"/>
      <c r="L471" s="58"/>
      <c r="M471" s="8"/>
      <c r="N471" s="8"/>
      <c r="O471" s="58"/>
      <c r="P471" s="58"/>
    </row>
    <row r="472" spans="1:16" hidden="1" outlineLevel="1">
      <c r="A472" s="1">
        <v>1</v>
      </c>
      <c r="B472" s="11">
        <v>44341</v>
      </c>
      <c r="C472" s="160">
        <v>4894</v>
      </c>
      <c r="E472" s="1" t="s">
        <v>383</v>
      </c>
      <c r="F472" s="2" t="s">
        <v>4484</v>
      </c>
      <c r="M472" s="2" t="s">
        <v>5090</v>
      </c>
      <c r="N472" s="2" t="s">
        <v>4611</v>
      </c>
    </row>
    <row r="473" spans="1:16" hidden="1" outlineLevel="1">
      <c r="A473" s="1">
        <v>2</v>
      </c>
      <c r="F473" s="2" t="s">
        <v>4485</v>
      </c>
      <c r="M473" s="2" t="s">
        <v>5091</v>
      </c>
      <c r="N473" s="2" t="s">
        <v>4788</v>
      </c>
    </row>
    <row r="474" spans="1:16" hidden="1" outlineLevel="1">
      <c r="A474" s="1">
        <v>3</v>
      </c>
      <c r="F474" s="2" t="s">
        <v>4486</v>
      </c>
      <c r="M474" s="2" t="s">
        <v>5092</v>
      </c>
      <c r="N474" s="2" t="s">
        <v>4789</v>
      </c>
      <c r="O474" s="18">
        <v>44350</v>
      </c>
    </row>
    <row r="475" spans="1:16" hidden="1" outlineLevel="1">
      <c r="A475" s="1">
        <v>4</v>
      </c>
      <c r="F475" s="2" t="s">
        <v>4487</v>
      </c>
      <c r="M475" s="2" t="s">
        <v>5093</v>
      </c>
      <c r="N475" s="2" t="s">
        <v>4790</v>
      </c>
    </row>
    <row r="476" spans="1:16" hidden="1" outlineLevel="1">
      <c r="A476" s="1">
        <v>5</v>
      </c>
      <c r="F476" s="2" t="s">
        <v>4488</v>
      </c>
      <c r="M476" s="2" t="s">
        <v>5094</v>
      </c>
      <c r="N476" s="2" t="s">
        <v>4791</v>
      </c>
    </row>
    <row r="477" spans="1:16" hidden="1" outlineLevel="1">
      <c r="A477" s="1">
        <v>6</v>
      </c>
      <c r="F477" s="2" t="s">
        <v>4489</v>
      </c>
      <c r="M477" s="2" t="s">
        <v>5095</v>
      </c>
      <c r="N477" s="2" t="s">
        <v>4792</v>
      </c>
    </row>
    <row r="478" spans="1:16" hidden="1" outlineLevel="1">
      <c r="A478" s="8"/>
      <c r="B478" s="58"/>
      <c r="C478" s="159"/>
      <c r="D478" s="8"/>
      <c r="E478" s="8"/>
      <c r="F478" s="8"/>
      <c r="G478" s="8"/>
      <c r="H478" s="8"/>
      <c r="I478" s="8"/>
      <c r="J478" s="58"/>
      <c r="K478" s="8"/>
      <c r="L478" s="58"/>
      <c r="M478" s="8"/>
      <c r="N478" s="8"/>
      <c r="O478" s="58"/>
      <c r="P478" s="58"/>
    </row>
    <row r="479" spans="1:16" hidden="1" outlineLevel="1">
      <c r="A479" s="1">
        <v>1</v>
      </c>
      <c r="B479" s="11">
        <v>44363</v>
      </c>
      <c r="C479" s="160">
        <v>5919</v>
      </c>
      <c r="E479" s="1" t="s">
        <v>383</v>
      </c>
      <c r="F479" s="2" t="s">
        <v>4490</v>
      </c>
      <c r="M479" s="2" t="s">
        <v>5096</v>
      </c>
      <c r="N479" s="2" t="s">
        <v>4793</v>
      </c>
    </row>
    <row r="480" spans="1:16" hidden="1" outlineLevel="1">
      <c r="A480" s="1">
        <v>2</v>
      </c>
      <c r="F480" s="2" t="s">
        <v>4491</v>
      </c>
      <c r="M480" s="2" t="s">
        <v>5097</v>
      </c>
      <c r="N480" s="2" t="s">
        <v>4794</v>
      </c>
    </row>
    <row r="481" spans="1:16" hidden="1" outlineLevel="1">
      <c r="A481" s="1">
        <v>3</v>
      </c>
      <c r="F481" s="2" t="s">
        <v>4492</v>
      </c>
      <c r="M481" s="2" t="s">
        <v>5098</v>
      </c>
      <c r="N481" s="2" t="s">
        <v>4795</v>
      </c>
    </row>
    <row r="482" spans="1:16" hidden="1" outlineLevel="1">
      <c r="A482" s="1">
        <v>4</v>
      </c>
      <c r="F482" s="2" t="s">
        <v>4493</v>
      </c>
      <c r="M482" s="2" t="s">
        <v>5099</v>
      </c>
      <c r="N482" s="2" t="s">
        <v>4796</v>
      </c>
    </row>
    <row r="483" spans="1:16" hidden="1" outlineLevel="1">
      <c r="A483" s="1">
        <v>5</v>
      </c>
      <c r="F483" s="2" t="s">
        <v>4494</v>
      </c>
      <c r="M483" s="2" t="s">
        <v>5100</v>
      </c>
      <c r="N483" s="2" t="s">
        <v>4797</v>
      </c>
    </row>
    <row r="484" spans="1:16" hidden="1" outlineLevel="1">
      <c r="A484" s="1">
        <v>6</v>
      </c>
      <c r="F484" s="2" t="s">
        <v>4495</v>
      </c>
      <c r="M484" s="2" t="s">
        <v>5101</v>
      </c>
      <c r="N484" s="2" t="s">
        <v>4797</v>
      </c>
    </row>
    <row r="485" spans="1:16" hidden="1" outlineLevel="1">
      <c r="A485" s="1">
        <v>7</v>
      </c>
      <c r="F485" s="2" t="s">
        <v>4496</v>
      </c>
      <c r="M485" s="2" t="s">
        <v>5102</v>
      </c>
      <c r="N485" s="2" t="s">
        <v>4798</v>
      </c>
    </row>
    <row r="486" spans="1:16" hidden="1" outlineLevel="1">
      <c r="A486" s="1">
        <v>8</v>
      </c>
      <c r="F486" s="2" t="s">
        <v>4497</v>
      </c>
      <c r="M486" s="2" t="s">
        <v>5103</v>
      </c>
      <c r="N486" s="2" t="s">
        <v>4799</v>
      </c>
    </row>
    <row r="487" spans="1:16" hidden="1" outlineLevel="1">
      <c r="A487" s="1">
        <v>9</v>
      </c>
      <c r="F487" s="2" t="s">
        <v>4498</v>
      </c>
      <c r="M487" s="2" t="s">
        <v>5104</v>
      </c>
      <c r="N487" s="2" t="s">
        <v>4605</v>
      </c>
    </row>
    <row r="488" spans="1:16" hidden="1" outlineLevel="1">
      <c r="A488" s="8"/>
      <c r="B488" s="58"/>
      <c r="C488" s="159"/>
      <c r="D488" s="8"/>
      <c r="E488" s="8"/>
      <c r="F488" s="8"/>
      <c r="G488" s="8"/>
      <c r="H488" s="8"/>
      <c r="I488" s="8"/>
      <c r="J488" s="58"/>
      <c r="K488" s="8"/>
      <c r="L488" s="58"/>
      <c r="M488" s="8"/>
      <c r="N488" s="8"/>
      <c r="O488" s="58"/>
      <c r="P488" s="58"/>
    </row>
    <row r="489" spans="1:16" hidden="1" outlineLevel="1">
      <c r="A489" s="1">
        <v>1</v>
      </c>
      <c r="B489" s="11">
        <v>44392</v>
      </c>
      <c r="C489" s="160">
        <v>7053</v>
      </c>
      <c r="E489" s="1" t="s">
        <v>383</v>
      </c>
      <c r="F489" s="2" t="s">
        <v>4499</v>
      </c>
      <c r="M489" s="2" t="s">
        <v>5105</v>
      </c>
      <c r="N489" s="2" t="s">
        <v>4800</v>
      </c>
      <c r="O489" s="18">
        <v>44455</v>
      </c>
    </row>
    <row r="490" spans="1:16" hidden="1" outlineLevel="1">
      <c r="A490" s="1">
        <v>2</v>
      </c>
      <c r="F490" s="2" t="s">
        <v>4500</v>
      </c>
      <c r="M490" s="2" t="s">
        <v>5106</v>
      </c>
      <c r="N490" s="2" t="s">
        <v>4801</v>
      </c>
    </row>
    <row r="491" spans="1:16" hidden="1" outlineLevel="1">
      <c r="A491" s="1">
        <v>3</v>
      </c>
      <c r="F491" s="2" t="s">
        <v>4501</v>
      </c>
      <c r="M491" s="2" t="s">
        <v>5107</v>
      </c>
      <c r="N491" s="2" t="s">
        <v>4802</v>
      </c>
    </row>
    <row r="492" spans="1:16" hidden="1" outlineLevel="1">
      <c r="A492" s="1">
        <v>4</v>
      </c>
      <c r="F492" s="2" t="s">
        <v>4502</v>
      </c>
      <c r="M492" s="2" t="s">
        <v>5108</v>
      </c>
      <c r="N492" s="2" t="s">
        <v>4803</v>
      </c>
      <c r="O492" s="18">
        <v>44445</v>
      </c>
    </row>
    <row r="493" spans="1:16" hidden="1" outlineLevel="1">
      <c r="A493" s="1">
        <v>5</v>
      </c>
      <c r="F493" s="2" t="s">
        <v>4503</v>
      </c>
      <c r="M493" s="2" t="s">
        <v>5109</v>
      </c>
      <c r="N493" s="2" t="s">
        <v>4804</v>
      </c>
      <c r="O493" s="18">
        <v>44452</v>
      </c>
    </row>
    <row r="494" spans="1:16" hidden="1" outlineLevel="1">
      <c r="A494" s="1">
        <v>6</v>
      </c>
      <c r="F494" s="2" t="s">
        <v>4504</v>
      </c>
      <c r="M494" s="2" t="s">
        <v>5110</v>
      </c>
      <c r="N494" s="2" t="s">
        <v>4805</v>
      </c>
      <c r="O494" s="18">
        <v>44442</v>
      </c>
    </row>
    <row r="495" spans="1:16" hidden="1" outlineLevel="1">
      <c r="A495" s="1">
        <v>7</v>
      </c>
      <c r="F495" s="2" t="s">
        <v>4505</v>
      </c>
      <c r="M495" s="2" t="s">
        <v>5111</v>
      </c>
      <c r="N495" s="2" t="s">
        <v>4806</v>
      </c>
      <c r="O495" s="18">
        <v>44432</v>
      </c>
    </row>
    <row r="496" spans="1:16" hidden="1" outlineLevel="1">
      <c r="A496" s="1">
        <v>8</v>
      </c>
      <c r="F496" s="2" t="s">
        <v>4506</v>
      </c>
      <c r="M496" s="2" t="s">
        <v>5112</v>
      </c>
      <c r="N496" s="2" t="s">
        <v>4807</v>
      </c>
      <c r="O496" s="18">
        <v>44431</v>
      </c>
    </row>
    <row r="497" spans="1:16" hidden="1" outlineLevel="1">
      <c r="A497" s="1">
        <v>9</v>
      </c>
      <c r="F497" s="2" t="s">
        <v>4507</v>
      </c>
      <c r="M497" s="2" t="s">
        <v>5113</v>
      </c>
      <c r="N497" s="2" t="s">
        <v>4808</v>
      </c>
      <c r="O497" s="18">
        <v>44424</v>
      </c>
    </row>
    <row r="498" spans="1:16" hidden="1" outlineLevel="1">
      <c r="A498" s="1">
        <v>10</v>
      </c>
      <c r="F498" s="2" t="s">
        <v>4508</v>
      </c>
      <c r="M498" s="2" t="s">
        <v>3577</v>
      </c>
      <c r="N498" s="2" t="s">
        <v>3954</v>
      </c>
      <c r="O498" s="18">
        <v>44440</v>
      </c>
    </row>
    <row r="499" spans="1:16" hidden="1" outlineLevel="1">
      <c r="A499" s="1">
        <v>11</v>
      </c>
      <c r="F499" s="2" t="s">
        <v>4509</v>
      </c>
      <c r="M499" s="2" t="s">
        <v>5114</v>
      </c>
      <c r="N499" s="2" t="s">
        <v>4809</v>
      </c>
      <c r="O499" s="18">
        <v>44428</v>
      </c>
    </row>
    <row r="500" spans="1:16" hidden="1" outlineLevel="1">
      <c r="A500" s="1">
        <v>12</v>
      </c>
      <c r="F500" s="2" t="s">
        <v>4510</v>
      </c>
      <c r="M500" s="2" t="s">
        <v>5115</v>
      </c>
      <c r="N500" s="2" t="s">
        <v>4810</v>
      </c>
      <c r="O500" s="18">
        <v>44434</v>
      </c>
    </row>
    <row r="501" spans="1:16" hidden="1" outlineLevel="1">
      <c r="A501" s="1">
        <v>13</v>
      </c>
      <c r="F501" s="2" t="s">
        <v>4511</v>
      </c>
      <c r="M501" s="2" t="s">
        <v>5116</v>
      </c>
      <c r="N501" s="2" t="s">
        <v>4811</v>
      </c>
      <c r="O501" s="18">
        <v>44459</v>
      </c>
    </row>
    <row r="502" spans="1:16" hidden="1" outlineLevel="1">
      <c r="A502" s="1">
        <v>14</v>
      </c>
      <c r="F502" s="2" t="s">
        <v>4512</v>
      </c>
      <c r="M502" s="2" t="s">
        <v>5117</v>
      </c>
      <c r="N502" s="2" t="s">
        <v>4812</v>
      </c>
      <c r="O502" s="18">
        <v>44453</v>
      </c>
    </row>
    <row r="503" spans="1:16" hidden="1" outlineLevel="1">
      <c r="A503" s="1">
        <v>15</v>
      </c>
      <c r="F503" s="2" t="s">
        <v>4513</v>
      </c>
      <c r="M503" s="2" t="s">
        <v>5118</v>
      </c>
      <c r="N503" s="2" t="s">
        <v>4813</v>
      </c>
    </row>
    <row r="504" spans="1:16" hidden="1" outlineLevel="1">
      <c r="A504" s="1">
        <v>16</v>
      </c>
      <c r="F504" s="2" t="s">
        <v>4514</v>
      </c>
      <c r="M504" s="2" t="s">
        <v>5119</v>
      </c>
      <c r="N504" s="2" t="s">
        <v>4814</v>
      </c>
      <c r="O504" s="18">
        <v>44447</v>
      </c>
    </row>
    <row r="505" spans="1:16" hidden="1" outlineLevel="1">
      <c r="A505" s="1">
        <v>17</v>
      </c>
      <c r="F505" s="2" t="s">
        <v>4515</v>
      </c>
      <c r="M505" s="2" t="s">
        <v>5120</v>
      </c>
      <c r="N505" s="2" t="s">
        <v>4815</v>
      </c>
      <c r="O505" s="18">
        <v>44456</v>
      </c>
    </row>
    <row r="506" spans="1:16" hidden="1" outlineLevel="1">
      <c r="A506" s="1">
        <v>18</v>
      </c>
      <c r="F506" s="2" t="s">
        <v>4516</v>
      </c>
      <c r="M506" s="2" t="s">
        <v>3182</v>
      </c>
      <c r="N506" s="2" t="s">
        <v>1936</v>
      </c>
      <c r="O506" s="18">
        <v>44400</v>
      </c>
    </row>
    <row r="507" spans="1:16" hidden="1" outlineLevel="1">
      <c r="A507" s="1">
        <v>19</v>
      </c>
      <c r="F507" s="2" t="s">
        <v>4517</v>
      </c>
      <c r="M507" s="2" t="s">
        <v>5121</v>
      </c>
      <c r="N507" s="2" t="s">
        <v>2911</v>
      </c>
      <c r="O507" s="18">
        <v>44403</v>
      </c>
    </row>
    <row r="508" spans="1:16" hidden="1" outlineLevel="1">
      <c r="A508" s="1">
        <v>20</v>
      </c>
      <c r="F508" s="2" t="s">
        <v>4518</v>
      </c>
      <c r="M508" s="2" t="s">
        <v>5111</v>
      </c>
      <c r="N508" s="2" t="s">
        <v>4806</v>
      </c>
      <c r="O508" s="18">
        <v>44432</v>
      </c>
    </row>
    <row r="509" spans="1:16" hidden="1" outlineLevel="1">
      <c r="A509" s="8"/>
      <c r="B509" s="58"/>
      <c r="C509" s="159"/>
      <c r="D509" s="8"/>
      <c r="E509" s="8"/>
      <c r="F509" s="8"/>
      <c r="G509" s="8"/>
      <c r="H509" s="8"/>
      <c r="I509" s="8"/>
      <c r="J509" s="58"/>
      <c r="K509" s="8"/>
      <c r="L509" s="58"/>
      <c r="M509" s="8"/>
      <c r="N509" s="8"/>
      <c r="O509" s="58"/>
      <c r="P509" s="58"/>
    </row>
    <row r="510" spans="1:16" hidden="1" outlineLevel="1">
      <c r="A510" s="1">
        <v>1</v>
      </c>
      <c r="B510" s="11">
        <v>44433</v>
      </c>
      <c r="C510" s="160" t="s">
        <v>7020</v>
      </c>
      <c r="E510" s="1" t="s">
        <v>4134</v>
      </c>
      <c r="F510" s="2">
        <v>536401</v>
      </c>
    </row>
    <row r="511" spans="1:16" hidden="1" outlineLevel="1">
      <c r="A511" s="8"/>
      <c r="B511" s="58"/>
      <c r="C511" s="159"/>
      <c r="D511" s="8"/>
      <c r="E511" s="8"/>
      <c r="F511" s="8"/>
      <c r="G511" s="8"/>
      <c r="H511" s="8"/>
      <c r="I511" s="8"/>
      <c r="J511" s="58"/>
      <c r="K511" s="8"/>
      <c r="L511" s="58"/>
      <c r="M511" s="8"/>
      <c r="N511" s="8"/>
      <c r="O511" s="58"/>
      <c r="P511" s="58"/>
    </row>
    <row r="512" spans="1:16" hidden="1" outlineLevel="1">
      <c r="A512" s="1">
        <v>1</v>
      </c>
      <c r="B512" s="11">
        <v>44455</v>
      </c>
      <c r="C512" s="160">
        <v>9163</v>
      </c>
      <c r="E512" s="1" t="s">
        <v>383</v>
      </c>
      <c r="F512" s="2" t="s">
        <v>4519</v>
      </c>
      <c r="M512" s="2" t="s">
        <v>5122</v>
      </c>
      <c r="N512" s="2" t="s">
        <v>4816</v>
      </c>
      <c r="O512" s="18">
        <v>44463</v>
      </c>
    </row>
    <row r="513" spans="1:16" hidden="1" outlineLevel="1">
      <c r="A513" s="1">
        <v>2</v>
      </c>
      <c r="F513" s="2" t="s">
        <v>4520</v>
      </c>
      <c r="M513" s="2" t="s">
        <v>5123</v>
      </c>
      <c r="N513" s="2" t="s">
        <v>4817</v>
      </c>
      <c r="O513" s="18">
        <v>44466</v>
      </c>
    </row>
    <row r="514" spans="1:16" hidden="1" outlineLevel="1">
      <c r="A514" s="1">
        <v>3</v>
      </c>
      <c r="F514" s="2" t="s">
        <v>4521</v>
      </c>
      <c r="M514" s="2" t="s">
        <v>5124</v>
      </c>
      <c r="N514" s="2" t="s">
        <v>4817</v>
      </c>
      <c r="O514" s="18">
        <v>44466</v>
      </c>
    </row>
    <row r="515" spans="1:16" hidden="1" outlineLevel="1">
      <c r="A515" s="1">
        <v>4</v>
      </c>
      <c r="F515" s="2" t="s">
        <v>4522</v>
      </c>
      <c r="M515" s="2" t="s">
        <v>5125</v>
      </c>
      <c r="N515" s="2" t="s">
        <v>4817</v>
      </c>
      <c r="O515" s="18">
        <v>44466</v>
      </c>
    </row>
    <row r="516" spans="1:16" hidden="1" outlineLevel="1">
      <c r="A516" s="1">
        <v>5</v>
      </c>
      <c r="F516" s="2" t="s">
        <v>4523</v>
      </c>
      <c r="M516" s="2" t="s">
        <v>5126</v>
      </c>
      <c r="N516" s="2" t="s">
        <v>4818</v>
      </c>
      <c r="O516" s="18">
        <v>44475</v>
      </c>
    </row>
    <row r="517" spans="1:16" hidden="1" outlineLevel="1">
      <c r="A517" s="1">
        <v>6</v>
      </c>
      <c r="F517" s="2" t="s">
        <v>4524</v>
      </c>
      <c r="M517" s="2" t="s">
        <v>5127</v>
      </c>
      <c r="N517" s="2" t="s">
        <v>3954</v>
      </c>
      <c r="O517" s="18">
        <v>44477</v>
      </c>
    </row>
    <row r="518" spans="1:16" hidden="1" outlineLevel="1">
      <c r="A518" s="1">
        <v>7</v>
      </c>
      <c r="F518" s="2" t="s">
        <v>4525</v>
      </c>
      <c r="M518" s="2" t="s">
        <v>5128</v>
      </c>
      <c r="N518" s="2" t="s">
        <v>4819</v>
      </c>
      <c r="O518" s="18">
        <v>44481</v>
      </c>
    </row>
    <row r="519" spans="1:16" hidden="1" outlineLevel="1">
      <c r="A519" s="1">
        <v>8</v>
      </c>
      <c r="F519" s="2" t="s">
        <v>4526</v>
      </c>
      <c r="M519" s="2" t="s">
        <v>5129</v>
      </c>
      <c r="N519" s="2" t="s">
        <v>4820</v>
      </c>
      <c r="O519" s="18">
        <v>44482</v>
      </c>
    </row>
    <row r="520" spans="1:16" hidden="1" outlineLevel="1">
      <c r="A520" s="1">
        <v>9</v>
      </c>
      <c r="F520" s="2" t="s">
        <v>4527</v>
      </c>
      <c r="M520" s="2" t="s">
        <v>5130</v>
      </c>
      <c r="N520" s="2" t="s">
        <v>4821</v>
      </c>
      <c r="O520" s="18">
        <v>44489</v>
      </c>
    </row>
    <row r="521" spans="1:16" hidden="1" outlineLevel="1">
      <c r="A521" s="8"/>
      <c r="B521" s="58"/>
      <c r="C521" s="159"/>
      <c r="D521" s="8"/>
      <c r="E521" s="8"/>
      <c r="F521" s="8"/>
      <c r="G521" s="8"/>
      <c r="H521" s="8"/>
      <c r="I521" s="8"/>
      <c r="J521" s="58"/>
      <c r="K521" s="8"/>
      <c r="L521" s="58"/>
      <c r="M521" s="8"/>
      <c r="N521" s="8"/>
      <c r="O521" s="58"/>
      <c r="P521" s="58"/>
    </row>
    <row r="522" spans="1:16" hidden="1" outlineLevel="1">
      <c r="A522" s="1">
        <v>1</v>
      </c>
      <c r="B522" s="11">
        <v>44468</v>
      </c>
      <c r="C522" s="160">
        <v>9506</v>
      </c>
      <c r="E522" s="1" t="s">
        <v>383</v>
      </c>
      <c r="F522" s="2" t="s">
        <v>4528</v>
      </c>
    </row>
    <row r="523" spans="1:16" hidden="1" outlineLevel="1">
      <c r="A523" s="1">
        <v>2</v>
      </c>
      <c r="F523" s="2" t="s">
        <v>4529</v>
      </c>
      <c r="M523" s="2" t="s">
        <v>5131</v>
      </c>
      <c r="N523" s="2" t="s">
        <v>4822</v>
      </c>
      <c r="O523" s="18">
        <v>44496</v>
      </c>
    </row>
    <row r="524" spans="1:16" hidden="1" outlineLevel="1">
      <c r="A524" s="1">
        <v>3</v>
      </c>
      <c r="F524" s="2" t="s">
        <v>4530</v>
      </c>
      <c r="M524" s="2" t="s">
        <v>5132</v>
      </c>
      <c r="N524" s="2" t="s">
        <v>4823</v>
      </c>
      <c r="O524" s="18">
        <v>44490</v>
      </c>
    </row>
    <row r="525" spans="1:16" hidden="1" outlineLevel="1">
      <c r="A525" s="1">
        <v>4</v>
      </c>
      <c r="F525" s="2" t="s">
        <v>4531</v>
      </c>
      <c r="M525" s="2" t="s">
        <v>5133</v>
      </c>
      <c r="N525" s="2" t="s">
        <v>4824</v>
      </c>
      <c r="O525" s="18">
        <v>44494</v>
      </c>
    </row>
    <row r="526" spans="1:16" hidden="1" outlineLevel="1">
      <c r="A526" s="1">
        <v>5</v>
      </c>
      <c r="F526" s="2" t="s">
        <v>4532</v>
      </c>
      <c r="M526" s="2" t="s">
        <v>5134</v>
      </c>
      <c r="N526" s="2" t="s">
        <v>4822</v>
      </c>
      <c r="O526" s="18">
        <v>44496</v>
      </c>
    </row>
    <row r="527" spans="1:16" hidden="1" outlineLevel="1">
      <c r="A527" s="1">
        <v>6</v>
      </c>
      <c r="F527" s="2" t="s">
        <v>4533</v>
      </c>
      <c r="M527" s="2" t="s">
        <v>5135</v>
      </c>
      <c r="N527" s="2" t="s">
        <v>4598</v>
      </c>
      <c r="O527" s="18">
        <v>44484</v>
      </c>
    </row>
    <row r="528" spans="1:16" hidden="1" outlineLevel="1">
      <c r="A528" s="1">
        <v>7</v>
      </c>
      <c r="F528" s="2" t="s">
        <v>4534</v>
      </c>
    </row>
    <row r="529" spans="1:16" hidden="1" outlineLevel="1">
      <c r="A529" s="1">
        <v>8</v>
      </c>
      <c r="F529" s="2" t="s">
        <v>4535</v>
      </c>
    </row>
    <row r="530" spans="1:16" hidden="1" outlineLevel="1">
      <c r="A530" s="1">
        <v>9</v>
      </c>
      <c r="F530" s="2" t="s">
        <v>4536</v>
      </c>
      <c r="M530" s="2" t="s">
        <v>5136</v>
      </c>
      <c r="N530" s="2" t="s">
        <v>4825</v>
      </c>
      <c r="O530" s="18">
        <v>44491</v>
      </c>
    </row>
    <row r="531" spans="1:16" hidden="1" outlineLevel="1">
      <c r="A531" s="8"/>
      <c r="B531" s="58"/>
      <c r="C531" s="159"/>
      <c r="D531" s="8"/>
      <c r="E531" s="8"/>
      <c r="F531" s="8"/>
      <c r="G531" s="8"/>
      <c r="H531" s="8"/>
      <c r="I531" s="8"/>
      <c r="J531" s="58"/>
      <c r="K531" s="8"/>
      <c r="L531" s="58"/>
      <c r="M531" s="8"/>
      <c r="N531" s="8"/>
      <c r="O531" s="58"/>
      <c r="P531" s="58"/>
    </row>
    <row r="532" spans="1:16" hidden="1" outlineLevel="1">
      <c r="A532" s="1">
        <v>1</v>
      </c>
      <c r="B532" s="11">
        <v>44495</v>
      </c>
      <c r="C532" s="160">
        <v>10454</v>
      </c>
      <c r="E532" s="1" t="s">
        <v>383</v>
      </c>
      <c r="F532" s="2" t="s">
        <v>4537</v>
      </c>
    </row>
    <row r="533" spans="1:16" hidden="1" outlineLevel="1">
      <c r="A533" s="1">
        <v>2</v>
      </c>
      <c r="F533" s="2" t="s">
        <v>4538</v>
      </c>
    </row>
    <row r="534" spans="1:16" hidden="1" outlineLevel="1">
      <c r="A534" s="1">
        <v>3</v>
      </c>
      <c r="F534" s="2" t="s">
        <v>4539</v>
      </c>
    </row>
    <row r="535" spans="1:16" hidden="1" outlineLevel="1">
      <c r="A535" s="1">
        <v>4</v>
      </c>
      <c r="F535" s="2" t="s">
        <v>4540</v>
      </c>
    </row>
    <row r="536" spans="1:16" hidden="1" outlineLevel="1">
      <c r="A536" s="1">
        <v>5</v>
      </c>
      <c r="F536" s="2" t="s">
        <v>4541</v>
      </c>
    </row>
    <row r="537" spans="1:16" hidden="1" outlineLevel="1">
      <c r="A537" s="1">
        <v>6</v>
      </c>
      <c r="F537" s="2" t="s">
        <v>4542</v>
      </c>
    </row>
    <row r="538" spans="1:16" hidden="1" outlineLevel="1">
      <c r="A538" s="1">
        <v>7</v>
      </c>
      <c r="F538" s="2" t="s">
        <v>4543</v>
      </c>
    </row>
    <row r="539" spans="1:16" hidden="1" outlineLevel="1">
      <c r="A539" s="1">
        <v>8</v>
      </c>
      <c r="F539" s="2" t="s">
        <v>4544</v>
      </c>
    </row>
    <row r="540" spans="1:16" hidden="1" outlineLevel="1">
      <c r="A540" s="1">
        <v>9</v>
      </c>
      <c r="F540" s="2" t="s">
        <v>4545</v>
      </c>
    </row>
    <row r="541" spans="1:16" hidden="1" outlineLevel="1">
      <c r="A541" s="8"/>
      <c r="B541" s="58"/>
      <c r="C541" s="159"/>
      <c r="D541" s="8"/>
      <c r="E541" s="8"/>
      <c r="F541" s="8"/>
      <c r="G541" s="8"/>
      <c r="H541" s="8"/>
      <c r="I541" s="8"/>
      <c r="J541" s="58"/>
      <c r="K541" s="8"/>
      <c r="L541" s="58"/>
      <c r="M541" s="8"/>
      <c r="N541" s="8"/>
      <c r="O541" s="58"/>
      <c r="P541" s="58"/>
    </row>
    <row r="542" spans="1:16" hidden="1" outlineLevel="1">
      <c r="A542" s="1">
        <v>1</v>
      </c>
      <c r="B542" s="11">
        <v>44522</v>
      </c>
      <c r="C542" s="160">
        <v>11390</v>
      </c>
      <c r="E542" s="1" t="s">
        <v>4128</v>
      </c>
      <c r="F542" s="2" t="s">
        <v>4546</v>
      </c>
    </row>
    <row r="543" spans="1:16" hidden="1" outlineLevel="1">
      <c r="A543" s="1">
        <v>2</v>
      </c>
      <c r="F543" s="2" t="s">
        <v>4547</v>
      </c>
    </row>
    <row r="544" spans="1:16" hidden="1" outlineLevel="1">
      <c r="A544" s="1">
        <v>3</v>
      </c>
      <c r="F544" s="2" t="s">
        <v>4548</v>
      </c>
    </row>
    <row r="545" spans="1:16" hidden="1" outlineLevel="1">
      <c r="A545" s="1">
        <v>4</v>
      </c>
      <c r="F545" s="2" t="s">
        <v>4549</v>
      </c>
    </row>
    <row r="546" spans="1:16" hidden="1" outlineLevel="1">
      <c r="A546" s="1">
        <v>5</v>
      </c>
      <c r="F546" s="2" t="s">
        <v>4550</v>
      </c>
    </row>
    <row r="547" spans="1:16" hidden="1" outlineLevel="1">
      <c r="A547" s="1">
        <v>6</v>
      </c>
      <c r="F547" s="2" t="s">
        <v>4551</v>
      </c>
    </row>
    <row r="548" spans="1:16" hidden="1" outlineLevel="1">
      <c r="A548" s="1">
        <v>7</v>
      </c>
      <c r="F548" s="2" t="s">
        <v>4552</v>
      </c>
    </row>
    <row r="549" spans="1:16" hidden="1" outlineLevel="1">
      <c r="A549" s="1">
        <v>8</v>
      </c>
      <c r="F549" s="2" t="s">
        <v>4553</v>
      </c>
    </row>
    <row r="550" spans="1:16" hidden="1" outlineLevel="1">
      <c r="A550" s="1">
        <v>9</v>
      </c>
      <c r="F550" s="2" t="s">
        <v>4554</v>
      </c>
    </row>
    <row r="551" spans="1:16" hidden="1" outlineLevel="1">
      <c r="A551" s="1">
        <v>10</v>
      </c>
      <c r="F551" s="2" t="s">
        <v>4555</v>
      </c>
    </row>
    <row r="552" spans="1:16" hidden="1" outlineLevel="1">
      <c r="A552" s="1">
        <v>11</v>
      </c>
      <c r="F552" s="2" t="s">
        <v>4556</v>
      </c>
    </row>
    <row r="553" spans="1:16" hidden="1" outlineLevel="1">
      <c r="A553" s="1">
        <v>12</v>
      </c>
      <c r="F553" s="2" t="s">
        <v>4557</v>
      </c>
    </row>
    <row r="554" spans="1:16" hidden="1" outlineLevel="1">
      <c r="A554" s="1">
        <v>13</v>
      </c>
      <c r="F554" s="2" t="s">
        <v>4558</v>
      </c>
    </row>
    <row r="555" spans="1:16" hidden="1" outlineLevel="1">
      <c r="A555" s="8"/>
      <c r="B555" s="58"/>
      <c r="C555" s="159"/>
      <c r="D555" s="8"/>
      <c r="E555" s="8"/>
      <c r="F555" s="8"/>
      <c r="G555" s="8"/>
      <c r="H555" s="8"/>
      <c r="I555" s="8"/>
      <c r="J555" s="58"/>
      <c r="K555" s="8"/>
      <c r="L555" s="58"/>
      <c r="M555" s="8"/>
      <c r="N555" s="8"/>
      <c r="O555" s="58"/>
      <c r="P555" s="58"/>
    </row>
    <row r="556" spans="1:16" hidden="1" outlineLevel="1">
      <c r="A556" s="1">
        <v>1</v>
      </c>
      <c r="B556" s="11">
        <v>44551</v>
      </c>
      <c r="C556" s="160">
        <v>12502</v>
      </c>
      <c r="E556" s="1" t="s">
        <v>383</v>
      </c>
      <c r="F556" s="2" t="s">
        <v>4559</v>
      </c>
    </row>
    <row r="557" spans="1:16" hidden="1" outlineLevel="1">
      <c r="A557" s="1">
        <v>2</v>
      </c>
      <c r="F557" s="2" t="s">
        <v>4560</v>
      </c>
    </row>
    <row r="558" spans="1:16" hidden="1" outlineLevel="1">
      <c r="A558" s="1">
        <v>3</v>
      </c>
      <c r="F558" s="2" t="s">
        <v>4561</v>
      </c>
    </row>
    <row r="559" spans="1:16" hidden="1" outlineLevel="1">
      <c r="A559" s="1">
        <v>4</v>
      </c>
      <c r="F559" s="2" t="s">
        <v>4562</v>
      </c>
    </row>
    <row r="560" spans="1:16" hidden="1" outlineLevel="1">
      <c r="A560" s="1">
        <v>5</v>
      </c>
      <c r="F560" s="2" t="s">
        <v>4563</v>
      </c>
    </row>
    <row r="561" spans="1:16" hidden="1" outlineLevel="1">
      <c r="A561" s="1">
        <v>6</v>
      </c>
      <c r="F561" s="2" t="s">
        <v>4564</v>
      </c>
    </row>
    <row r="562" spans="1:16" hidden="1" outlineLevel="1">
      <c r="A562" s="1">
        <v>7</v>
      </c>
      <c r="F562" s="2" t="s">
        <v>4565</v>
      </c>
    </row>
    <row r="563" spans="1:16" hidden="1" outlineLevel="1">
      <c r="A563" s="1">
        <v>8</v>
      </c>
      <c r="F563" s="2" t="s">
        <v>4566</v>
      </c>
    </row>
    <row r="564" spans="1:16" hidden="1" outlineLevel="1">
      <c r="A564" s="1">
        <v>9</v>
      </c>
      <c r="F564" s="2" t="s">
        <v>4567</v>
      </c>
    </row>
    <row r="565" spans="1:16" collapsed="1">
      <c r="A565" s="8">
        <v>2022</v>
      </c>
      <c r="B565" s="58"/>
      <c r="C565" s="159"/>
      <c r="D565" s="8"/>
      <c r="E565" s="8"/>
      <c r="F565" s="8"/>
      <c r="G565" s="8"/>
      <c r="H565" s="8"/>
      <c r="I565" s="8"/>
      <c r="J565" s="58"/>
      <c r="K565" s="8"/>
      <c r="L565" s="58"/>
      <c r="M565" s="8"/>
      <c r="N565" s="8"/>
      <c r="O565" s="58"/>
      <c r="P565" s="58"/>
    </row>
    <row r="566" spans="1:16">
      <c r="A566" s="1">
        <v>1</v>
      </c>
      <c r="B566" s="11">
        <v>44592</v>
      </c>
      <c r="C566" s="160">
        <v>578</v>
      </c>
      <c r="E566" s="1" t="s">
        <v>383</v>
      </c>
      <c r="F566" s="2" t="s">
        <v>384</v>
      </c>
      <c r="I566" s="2" t="s">
        <v>44</v>
      </c>
      <c r="P566" s="24">
        <v>44592</v>
      </c>
    </row>
    <row r="567" spans="1:16">
      <c r="A567" s="1">
        <v>2</v>
      </c>
      <c r="F567" s="2" t="s">
        <v>385</v>
      </c>
      <c r="I567" s="2" t="s">
        <v>512</v>
      </c>
      <c r="P567" s="24">
        <v>44592</v>
      </c>
    </row>
    <row r="568" spans="1:16">
      <c r="A568" s="1">
        <v>3</v>
      </c>
      <c r="F568" s="2" t="s">
        <v>386</v>
      </c>
      <c r="I568" s="2" t="s">
        <v>512</v>
      </c>
      <c r="P568" s="24">
        <v>44592</v>
      </c>
    </row>
    <row r="569" spans="1:16">
      <c r="A569" s="1">
        <v>4</v>
      </c>
      <c r="F569" s="2" t="s">
        <v>387</v>
      </c>
      <c r="I569" s="2" t="s">
        <v>512</v>
      </c>
      <c r="P569" s="24">
        <v>44592</v>
      </c>
    </row>
    <row r="570" spans="1:16">
      <c r="A570" s="1">
        <v>5</v>
      </c>
      <c r="F570" s="2" t="s">
        <v>388</v>
      </c>
      <c r="I570" s="2" t="s">
        <v>512</v>
      </c>
      <c r="P570" s="24">
        <v>44592</v>
      </c>
    </row>
    <row r="571" spans="1:16">
      <c r="A571" s="1">
        <v>6</v>
      </c>
      <c r="F571" s="2" t="s">
        <v>389</v>
      </c>
      <c r="I571" s="2" t="s">
        <v>512</v>
      </c>
      <c r="P571" s="24">
        <v>44592</v>
      </c>
    </row>
    <row r="572" spans="1:16">
      <c r="A572" s="1">
        <v>7</v>
      </c>
      <c r="F572" s="2" t="s">
        <v>390</v>
      </c>
      <c r="I572" s="2" t="s">
        <v>512</v>
      </c>
      <c r="P572" s="24">
        <v>44592</v>
      </c>
    </row>
    <row r="573" spans="1:16">
      <c r="A573" s="1">
        <v>8</v>
      </c>
      <c r="F573" s="2" t="s">
        <v>391</v>
      </c>
      <c r="I573" s="2" t="s">
        <v>512</v>
      </c>
      <c r="P573" s="24">
        <v>44592</v>
      </c>
    </row>
    <row r="574" spans="1:16">
      <c r="A574" s="1">
        <v>9</v>
      </c>
      <c r="F574" s="2" t="s">
        <v>392</v>
      </c>
      <c r="I574" s="2" t="s">
        <v>512</v>
      </c>
      <c r="P574" s="24">
        <v>44592</v>
      </c>
    </row>
    <row r="575" spans="1:16">
      <c r="A575" s="1">
        <v>10</v>
      </c>
      <c r="F575" s="2" t="s">
        <v>393</v>
      </c>
      <c r="I575" s="2" t="s">
        <v>512</v>
      </c>
      <c r="P575" s="24">
        <v>44592</v>
      </c>
    </row>
    <row r="576" spans="1:16">
      <c r="A576" s="1">
        <v>11</v>
      </c>
      <c r="F576" s="2" t="s">
        <v>394</v>
      </c>
      <c r="I576" s="2" t="s">
        <v>512</v>
      </c>
      <c r="P576" s="24">
        <v>44592</v>
      </c>
    </row>
    <row r="577" spans="1:16">
      <c r="A577" s="1">
        <v>12</v>
      </c>
      <c r="F577" s="2" t="s">
        <v>395</v>
      </c>
      <c r="I577" s="2" t="s">
        <v>512</v>
      </c>
      <c r="P577" s="24">
        <v>44592</v>
      </c>
    </row>
    <row r="578" spans="1:16">
      <c r="A578" s="1">
        <v>13</v>
      </c>
      <c r="F578" s="2" t="s">
        <v>396</v>
      </c>
      <c r="I578" s="2" t="s">
        <v>512</v>
      </c>
      <c r="P578" s="24">
        <v>44592</v>
      </c>
    </row>
    <row r="579" spans="1:16">
      <c r="A579" s="1">
        <v>14</v>
      </c>
      <c r="F579" s="2" t="s">
        <v>397</v>
      </c>
      <c r="I579" s="2" t="s">
        <v>512</v>
      </c>
      <c r="P579" s="24">
        <v>44592</v>
      </c>
    </row>
    <row r="580" spans="1:16">
      <c r="A580" s="1">
        <v>15</v>
      </c>
      <c r="F580" s="2" t="s">
        <v>398</v>
      </c>
      <c r="I580" s="2" t="s">
        <v>512</v>
      </c>
      <c r="P580" s="24">
        <v>44592</v>
      </c>
    </row>
    <row r="581" spans="1:16">
      <c r="A581" s="1">
        <v>16</v>
      </c>
      <c r="F581" s="2" t="s">
        <v>399</v>
      </c>
      <c r="I581" s="2" t="s">
        <v>512</v>
      </c>
      <c r="P581" s="24">
        <v>44592</v>
      </c>
    </row>
    <row r="582" spans="1:16">
      <c r="A582" s="1">
        <v>17</v>
      </c>
      <c r="F582" s="2" t="s">
        <v>400</v>
      </c>
      <c r="I582" s="2" t="s">
        <v>512</v>
      </c>
      <c r="P582" s="24">
        <v>44592</v>
      </c>
    </row>
    <row r="583" spans="1:16">
      <c r="A583" s="1">
        <v>18</v>
      </c>
      <c r="F583" s="2" t="s">
        <v>401</v>
      </c>
      <c r="I583" s="2" t="s">
        <v>512</v>
      </c>
      <c r="P583" s="24">
        <v>44592</v>
      </c>
    </row>
    <row r="584" spans="1:16">
      <c r="A584" s="8"/>
      <c r="B584" s="58"/>
      <c r="C584" s="159"/>
      <c r="D584" s="8"/>
      <c r="E584" s="8"/>
      <c r="F584" s="8"/>
      <c r="G584" s="8"/>
      <c r="H584" s="8"/>
      <c r="I584" s="8"/>
      <c r="J584" s="58"/>
      <c r="K584" s="8"/>
      <c r="L584" s="58"/>
      <c r="M584" s="8"/>
      <c r="N584" s="8"/>
      <c r="O584" s="58"/>
      <c r="P584" s="58"/>
    </row>
    <row r="585" spans="1:16">
      <c r="A585" s="1">
        <v>1</v>
      </c>
      <c r="B585" s="11">
        <v>44697</v>
      </c>
      <c r="C585" s="160">
        <v>4063</v>
      </c>
      <c r="E585" s="1" t="s">
        <v>383</v>
      </c>
      <c r="F585" s="2" t="s">
        <v>8574</v>
      </c>
      <c r="I585" s="2" t="s">
        <v>512</v>
      </c>
    </row>
    <row r="586" spans="1:16">
      <c r="A586" s="1">
        <v>2</v>
      </c>
      <c r="F586" s="2" t="s">
        <v>8575</v>
      </c>
      <c r="I586" s="2" t="s">
        <v>512</v>
      </c>
    </row>
    <row r="587" spans="1:16">
      <c r="A587" s="1">
        <v>3</v>
      </c>
      <c r="F587" s="2" t="s">
        <v>8576</v>
      </c>
      <c r="I587" s="2" t="s">
        <v>512</v>
      </c>
    </row>
    <row r="588" spans="1:16">
      <c r="A588" s="1">
        <v>4</v>
      </c>
      <c r="F588" s="2" t="s">
        <v>8577</v>
      </c>
      <c r="I588" s="2" t="s">
        <v>47</v>
      </c>
      <c r="M588" s="2" t="s">
        <v>8577</v>
      </c>
      <c r="N588" s="2">
        <v>395</v>
      </c>
      <c r="O588" s="18">
        <v>44715</v>
      </c>
    </row>
    <row r="589" spans="1:16">
      <c r="A589" s="8"/>
      <c r="B589" s="58"/>
      <c r="C589" s="159"/>
      <c r="D589" s="8"/>
      <c r="E589" s="8"/>
      <c r="F589" s="8"/>
      <c r="G589" s="8"/>
      <c r="H589" s="8"/>
      <c r="I589" s="8"/>
      <c r="J589" s="58"/>
      <c r="K589" s="8"/>
      <c r="L589" s="58"/>
      <c r="M589" s="8"/>
      <c r="N589" s="8"/>
      <c r="O589" s="58"/>
      <c r="P589" s="58"/>
    </row>
    <row r="590" spans="1:16">
      <c r="A590" s="1">
        <v>1</v>
      </c>
      <c r="B590" s="11">
        <v>44711</v>
      </c>
      <c r="C590" s="160">
        <v>4433</v>
      </c>
      <c r="E590" s="1" t="s">
        <v>383</v>
      </c>
      <c r="F590" s="2" t="s">
        <v>8578</v>
      </c>
      <c r="I590" s="2" t="s">
        <v>512</v>
      </c>
    </row>
    <row r="591" spans="1:16">
      <c r="A591" s="1">
        <v>2</v>
      </c>
      <c r="F591" s="2" t="s">
        <v>8579</v>
      </c>
      <c r="I591" s="2" t="s">
        <v>47</v>
      </c>
      <c r="M591" s="2" t="s">
        <v>8580</v>
      </c>
      <c r="N591" s="2" t="s">
        <v>8581</v>
      </c>
      <c r="O591" s="18">
        <v>44720</v>
      </c>
    </row>
    <row r="592" spans="1:16">
      <c r="A592" s="1">
        <v>3</v>
      </c>
      <c r="F592" s="2" t="s">
        <v>8582</v>
      </c>
      <c r="I592" s="2" t="s">
        <v>47</v>
      </c>
      <c r="M592" s="2" t="s">
        <v>8583</v>
      </c>
      <c r="O592" s="18">
        <v>44720</v>
      </c>
    </row>
    <row r="593" spans="1:16">
      <c r="A593" s="1">
        <v>5</v>
      </c>
      <c r="F593" s="2" t="s">
        <v>8584</v>
      </c>
      <c r="I593" s="2" t="s">
        <v>47</v>
      </c>
      <c r="M593" s="2" t="s">
        <v>8585</v>
      </c>
      <c r="N593" s="2" t="s">
        <v>8586</v>
      </c>
      <c r="O593" s="18">
        <v>44727</v>
      </c>
    </row>
    <row r="594" spans="1:16">
      <c r="A594" s="8"/>
      <c r="B594" s="58"/>
      <c r="C594" s="159"/>
      <c r="D594" s="8"/>
      <c r="E594" s="8"/>
      <c r="F594" s="8"/>
      <c r="G594" s="8"/>
      <c r="H594" s="8"/>
      <c r="I594" s="8"/>
      <c r="J594" s="58"/>
      <c r="K594" s="8"/>
      <c r="L594" s="58"/>
      <c r="M594" s="8"/>
      <c r="N594" s="8"/>
      <c r="O594" s="58"/>
      <c r="P594" s="58"/>
    </row>
    <row r="595" spans="1:16">
      <c r="A595" s="1">
        <v>1</v>
      </c>
      <c r="B595" s="11">
        <v>44720</v>
      </c>
      <c r="C595" s="160">
        <v>4878</v>
      </c>
      <c r="E595" s="1" t="s">
        <v>383</v>
      </c>
      <c r="F595" s="2" t="s">
        <v>8587</v>
      </c>
      <c r="I595" s="2" t="s">
        <v>512</v>
      </c>
    </row>
    <row r="596" spans="1:16">
      <c r="A596" s="1">
        <v>2</v>
      </c>
      <c r="F596" s="2" t="s">
        <v>8588</v>
      </c>
      <c r="I596" s="2" t="s">
        <v>47</v>
      </c>
      <c r="M596" s="2" t="s">
        <v>8583</v>
      </c>
      <c r="O596" s="18">
        <v>44722</v>
      </c>
    </row>
    <row r="597" spans="1:16">
      <c r="A597" s="1">
        <v>3</v>
      </c>
      <c r="F597" s="2" t="s">
        <v>8589</v>
      </c>
      <c r="I597" s="2" t="s">
        <v>512</v>
      </c>
    </row>
    <row r="598" spans="1:16">
      <c r="A598" s="1">
        <v>4</v>
      </c>
      <c r="F598" s="2" t="s">
        <v>8590</v>
      </c>
      <c r="I598" s="2" t="s">
        <v>512</v>
      </c>
    </row>
    <row r="599" spans="1:16">
      <c r="A599" s="1">
        <v>5</v>
      </c>
      <c r="F599" s="2" t="s">
        <v>8591</v>
      </c>
      <c r="I599" s="2" t="s">
        <v>512</v>
      </c>
    </row>
    <row r="600" spans="1:16">
      <c r="A600" s="1">
        <v>6</v>
      </c>
      <c r="F600" s="2" t="s">
        <v>8592</v>
      </c>
      <c r="I600" s="2" t="s">
        <v>512</v>
      </c>
    </row>
    <row r="601" spans="1:16">
      <c r="A601" s="1">
        <v>7</v>
      </c>
      <c r="F601" s="2" t="s">
        <v>8593</v>
      </c>
      <c r="I601" s="2" t="s">
        <v>512</v>
      </c>
    </row>
    <row r="602" spans="1:16">
      <c r="A602" s="1">
        <v>8</v>
      </c>
      <c r="F602" s="2" t="s">
        <v>8594</v>
      </c>
      <c r="I602" s="2" t="s">
        <v>47</v>
      </c>
      <c r="M602" s="2" t="s">
        <v>8583</v>
      </c>
      <c r="O602" s="18">
        <v>44722</v>
      </c>
    </row>
    <row r="603" spans="1:16">
      <c r="A603" s="1">
        <v>9</v>
      </c>
      <c r="F603" s="2" t="s">
        <v>8584</v>
      </c>
      <c r="I603" s="2" t="s">
        <v>512</v>
      </c>
    </row>
    <row r="604" spans="1:16">
      <c r="A604" s="1">
        <v>10</v>
      </c>
      <c r="F604" s="2" t="s">
        <v>8595</v>
      </c>
      <c r="I604" s="2" t="s">
        <v>47</v>
      </c>
      <c r="M604" s="2" t="s">
        <v>8596</v>
      </c>
      <c r="O604" s="18">
        <v>44721</v>
      </c>
    </row>
  </sheetData>
  <dataValidations count="1">
    <dataValidation type="list" allowBlank="1" showInputMessage="1" showErrorMessage="1" sqref="I2:I588 I595:I1048576 I590:I593">
      <formula1>Текущий_статус</formula1>
    </dataValidation>
  </dataValidations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7"/>
  <dimension ref="A1:Z1000"/>
  <sheetViews>
    <sheetView workbookViewId="0">
      <pane xSplit="3" ySplit="1" topLeftCell="D969" activePane="bottomRight" state="frozen"/>
      <selection pane="topRight" activeCell="D1" sqref="D1"/>
      <selection pane="bottomLeft" activeCell="A2" sqref="A2"/>
      <selection pane="bottomRight" activeCell="H1000" sqref="H1000"/>
    </sheetView>
  </sheetViews>
  <sheetFormatPr defaultRowHeight="15" outlineLevelRow="1"/>
  <cols>
    <col min="1" max="1" width="9.140625" style="1"/>
    <col min="2" max="2" width="11.85546875" style="11" customWidth="1"/>
    <col min="3" max="3" width="11.85546875" style="160" customWidth="1"/>
    <col min="4" max="4" width="18.7109375" style="1" customWidth="1"/>
    <col min="5" max="5" width="17.42578125" style="1" customWidth="1"/>
    <col min="6" max="6" width="35.7109375" style="170" bestFit="1" customWidth="1"/>
    <col min="7" max="8" width="17" style="1" customWidth="1"/>
    <col min="9" max="9" width="12.85546875" style="2" customWidth="1"/>
    <col min="10" max="10" width="12.42578125" style="11" customWidth="1"/>
    <col min="11" max="11" width="12.42578125" style="1" customWidth="1"/>
    <col min="12" max="12" width="18.140625" style="11" customWidth="1"/>
    <col min="13" max="13" width="14" style="2" customWidth="1"/>
    <col min="14" max="14" width="9.140625" style="2"/>
    <col min="15" max="15" width="10.5703125" style="18" customWidth="1"/>
    <col min="16" max="16" width="13.7109375" style="1" bestFit="1" customWidth="1"/>
  </cols>
  <sheetData>
    <row r="1" spans="1:26" s="41" customFormat="1" ht="38.25">
      <c r="A1" s="38" t="s">
        <v>1</v>
      </c>
      <c r="B1" s="42" t="s">
        <v>469</v>
      </c>
      <c r="C1" s="154" t="s">
        <v>488</v>
      </c>
      <c r="D1" s="38" t="s">
        <v>3</v>
      </c>
      <c r="E1" s="38" t="s">
        <v>4</v>
      </c>
      <c r="F1" s="43" t="s">
        <v>5</v>
      </c>
      <c r="G1" s="38" t="s">
        <v>476</v>
      </c>
      <c r="H1" s="38" t="s">
        <v>320</v>
      </c>
      <c r="I1" s="43" t="s">
        <v>6</v>
      </c>
      <c r="J1" s="42" t="s">
        <v>7</v>
      </c>
      <c r="K1" s="39" t="s">
        <v>478</v>
      </c>
      <c r="L1" s="42" t="s">
        <v>477</v>
      </c>
      <c r="M1" s="43" t="s">
        <v>9</v>
      </c>
      <c r="N1" s="43" t="s">
        <v>8</v>
      </c>
      <c r="O1" s="45" t="s">
        <v>16</v>
      </c>
      <c r="P1" s="56" t="s">
        <v>12</v>
      </c>
    </row>
    <row r="2" spans="1:26" s="41" customFormat="1" ht="15" customHeight="1">
      <c r="A2" s="8">
        <v>2019</v>
      </c>
      <c r="B2" s="146"/>
      <c r="C2" s="167"/>
      <c r="D2" s="145"/>
      <c r="E2" s="145"/>
      <c r="F2" s="134"/>
      <c r="G2" s="145"/>
      <c r="H2" s="145"/>
      <c r="I2" s="145"/>
      <c r="J2" s="146"/>
      <c r="K2" s="145"/>
      <c r="L2" s="146"/>
      <c r="M2" s="142"/>
      <c r="N2" s="142"/>
      <c r="O2" s="147"/>
      <c r="P2" s="148"/>
    </row>
    <row r="3" spans="1:26" ht="38.25" hidden="1" outlineLevel="1">
      <c r="A3" s="33">
        <v>1</v>
      </c>
      <c r="B3" s="63">
        <v>43481</v>
      </c>
      <c r="C3" s="166" t="s">
        <v>7033</v>
      </c>
      <c r="D3" s="33" t="s">
        <v>5137</v>
      </c>
      <c r="E3" s="33" t="s">
        <v>5154</v>
      </c>
      <c r="F3" s="169" t="s">
        <v>5183</v>
      </c>
      <c r="G3" s="33"/>
      <c r="H3" s="33"/>
      <c r="I3" s="152"/>
      <c r="J3" s="63"/>
      <c r="K3" s="33"/>
      <c r="L3" s="63"/>
      <c r="M3" s="31" t="s">
        <v>6341</v>
      </c>
      <c r="N3" s="31" t="s">
        <v>6015</v>
      </c>
      <c r="O3" s="35">
        <v>43490</v>
      </c>
      <c r="P3" s="34"/>
    </row>
    <row r="4" spans="1:26" ht="38.25" hidden="1" outlineLevel="1">
      <c r="A4" s="33">
        <v>2</v>
      </c>
      <c r="B4" s="63"/>
      <c r="C4" s="166"/>
      <c r="D4" s="33" t="s">
        <v>5137</v>
      </c>
      <c r="E4" s="33" t="s">
        <v>5154</v>
      </c>
      <c r="F4" s="169" t="s">
        <v>5184</v>
      </c>
      <c r="G4" s="33"/>
      <c r="H4" s="33"/>
      <c r="I4" s="152"/>
      <c r="J4" s="63"/>
      <c r="K4" s="33"/>
      <c r="L4" s="63"/>
      <c r="M4" s="31" t="s">
        <v>6342</v>
      </c>
      <c r="N4" s="31" t="s">
        <v>6016</v>
      </c>
      <c r="O4" s="35">
        <v>43494</v>
      </c>
      <c r="P4" s="34"/>
    </row>
    <row r="5" spans="1:26" ht="38.25" hidden="1" outlineLevel="1">
      <c r="A5" s="33">
        <v>3</v>
      </c>
      <c r="B5" s="63"/>
      <c r="C5" s="166"/>
      <c r="D5" s="33" t="s">
        <v>5137</v>
      </c>
      <c r="E5" s="33" t="s">
        <v>5154</v>
      </c>
      <c r="F5" s="169" t="s">
        <v>5185</v>
      </c>
      <c r="G5" s="33"/>
      <c r="H5" s="33"/>
      <c r="I5" s="152"/>
      <c r="J5" s="63"/>
      <c r="K5" s="33"/>
      <c r="L5" s="63"/>
      <c r="M5" s="31" t="s">
        <v>6343</v>
      </c>
      <c r="N5" s="31" t="s">
        <v>6017</v>
      </c>
      <c r="O5" s="35">
        <v>43497</v>
      </c>
      <c r="P5" s="34"/>
    </row>
    <row r="6" spans="1:26" ht="38.25" hidden="1" outlineLevel="1">
      <c r="A6" s="33">
        <v>4</v>
      </c>
      <c r="B6" s="63"/>
      <c r="C6" s="166"/>
      <c r="D6" s="33" t="s">
        <v>5137</v>
      </c>
      <c r="E6" s="33" t="s">
        <v>5154</v>
      </c>
      <c r="F6" s="169" t="s">
        <v>5186</v>
      </c>
      <c r="G6" s="33"/>
      <c r="H6" s="33"/>
      <c r="I6" s="152"/>
      <c r="J6" s="63"/>
      <c r="K6" s="33"/>
      <c r="L6" s="63"/>
      <c r="M6" s="31" t="s">
        <v>6344</v>
      </c>
      <c r="N6" s="31" t="s">
        <v>6018</v>
      </c>
      <c r="O6" s="35">
        <v>43502</v>
      </c>
      <c r="P6" s="34"/>
    </row>
    <row r="7" spans="1:26" ht="76.5" hidden="1" outlineLevel="1">
      <c r="A7" s="33">
        <v>5</v>
      </c>
      <c r="B7" s="63"/>
      <c r="C7" s="166"/>
      <c r="D7" s="33" t="s">
        <v>5137</v>
      </c>
      <c r="E7" s="33" t="s">
        <v>5154</v>
      </c>
      <c r="F7" s="169" t="s">
        <v>5187</v>
      </c>
      <c r="G7" s="33"/>
      <c r="H7" s="33"/>
      <c r="I7" s="152"/>
      <c r="J7" s="63"/>
      <c r="K7" s="33"/>
      <c r="L7" s="63"/>
      <c r="M7" s="31" t="s">
        <v>6345</v>
      </c>
      <c r="N7" s="31" t="s">
        <v>6019</v>
      </c>
      <c r="O7" s="35">
        <v>43488</v>
      </c>
      <c r="P7" s="34"/>
    </row>
    <row r="8" spans="1:26" hidden="1" outlineLevel="1">
      <c r="A8" s="145"/>
      <c r="B8" s="146"/>
      <c r="C8" s="167"/>
      <c r="D8" s="145"/>
      <c r="E8" s="145"/>
      <c r="F8" s="134"/>
      <c r="G8" s="145"/>
      <c r="H8" s="145"/>
      <c r="I8" s="145"/>
      <c r="J8" s="146"/>
      <c r="K8" s="145"/>
      <c r="L8" s="146"/>
      <c r="M8" s="142"/>
      <c r="N8" s="142"/>
      <c r="O8" s="147"/>
      <c r="P8" s="148"/>
    </row>
    <row r="9" spans="1:26" ht="114.75" hidden="1" outlineLevel="1">
      <c r="A9" s="33">
        <v>1</v>
      </c>
      <c r="B9" s="63">
        <v>43501</v>
      </c>
      <c r="C9" s="166" t="s">
        <v>7034</v>
      </c>
      <c r="D9" s="33" t="s">
        <v>5138</v>
      </c>
      <c r="E9" s="33" t="s">
        <v>5155</v>
      </c>
      <c r="F9" s="169" t="s">
        <v>5188</v>
      </c>
      <c r="G9" s="33"/>
      <c r="H9" s="33"/>
      <c r="I9" s="152"/>
      <c r="J9" s="63"/>
      <c r="K9" s="33"/>
      <c r="L9" s="63"/>
      <c r="M9" s="31" t="s">
        <v>6346</v>
      </c>
      <c r="N9" s="31" t="s">
        <v>4628</v>
      </c>
      <c r="O9" s="35">
        <v>43508</v>
      </c>
      <c r="P9" s="34"/>
    </row>
    <row r="10" spans="1:26" ht="114.75" hidden="1" outlineLevel="1">
      <c r="A10" s="149">
        <v>2</v>
      </c>
      <c r="B10" s="150"/>
      <c r="C10" s="168"/>
      <c r="D10" s="149" t="s">
        <v>5139</v>
      </c>
      <c r="E10" s="149" t="s">
        <v>5155</v>
      </c>
      <c r="F10" s="169" t="s">
        <v>5189</v>
      </c>
      <c r="G10" s="149"/>
      <c r="H10" s="149"/>
      <c r="I10" s="152"/>
      <c r="J10" s="150"/>
      <c r="K10" s="149"/>
      <c r="L10" s="150"/>
      <c r="M10" s="152" t="s">
        <v>6347</v>
      </c>
      <c r="N10" s="152" t="s">
        <v>4628</v>
      </c>
      <c r="O10" s="153">
        <v>43509</v>
      </c>
      <c r="P10" s="151"/>
      <c r="Q10" s="68"/>
      <c r="R10" s="68"/>
      <c r="S10" s="68"/>
      <c r="T10" s="68"/>
      <c r="U10" s="68"/>
      <c r="V10" s="68"/>
      <c r="W10" s="68"/>
      <c r="X10" s="68"/>
      <c r="Y10" s="68"/>
      <c r="Z10" s="68"/>
    </row>
    <row r="11" spans="1:26" ht="114.75" hidden="1" outlineLevel="1">
      <c r="A11" s="33">
        <v>3</v>
      </c>
      <c r="B11" s="63"/>
      <c r="C11" s="166"/>
      <c r="D11" s="33" t="s">
        <v>5139</v>
      </c>
      <c r="E11" s="33" t="s">
        <v>5155</v>
      </c>
      <c r="F11" s="169" t="s">
        <v>5190</v>
      </c>
      <c r="G11" s="33"/>
      <c r="H11" s="33"/>
      <c r="I11" s="152"/>
      <c r="J11" s="63"/>
      <c r="K11" s="33"/>
      <c r="L11" s="63"/>
      <c r="M11" s="31" t="s">
        <v>6348</v>
      </c>
      <c r="N11" s="31" t="s">
        <v>6020</v>
      </c>
      <c r="O11" s="35">
        <v>43509</v>
      </c>
      <c r="P11" s="34"/>
    </row>
    <row r="12" spans="1:26" ht="114.75" hidden="1" outlineLevel="1">
      <c r="A12" s="33">
        <v>4</v>
      </c>
      <c r="B12" s="63"/>
      <c r="C12" s="166"/>
      <c r="D12" s="33" t="s">
        <v>5139</v>
      </c>
      <c r="E12" s="33" t="s">
        <v>5155</v>
      </c>
      <c r="F12" s="169" t="s">
        <v>5191</v>
      </c>
      <c r="G12" s="33"/>
      <c r="H12" s="33"/>
      <c r="I12" s="152"/>
      <c r="J12" s="63"/>
      <c r="K12" s="33"/>
      <c r="L12" s="63"/>
      <c r="M12" s="31" t="s">
        <v>6349</v>
      </c>
      <c r="N12" s="31" t="s">
        <v>4628</v>
      </c>
      <c r="O12" s="35">
        <v>43509</v>
      </c>
      <c r="P12" s="34"/>
    </row>
    <row r="13" spans="1:26" ht="76.5" hidden="1" outlineLevel="1">
      <c r="A13" s="33">
        <v>5</v>
      </c>
      <c r="B13" s="63"/>
      <c r="C13" s="166"/>
      <c r="D13" s="33" t="s">
        <v>5139</v>
      </c>
      <c r="E13" s="33" t="s">
        <v>5155</v>
      </c>
      <c r="F13" s="169" t="s">
        <v>5192</v>
      </c>
      <c r="G13" s="33"/>
      <c r="H13" s="33"/>
      <c r="I13" s="152"/>
      <c r="J13" s="63"/>
      <c r="K13" s="33"/>
      <c r="L13" s="63"/>
      <c r="M13" s="31" t="s">
        <v>6350</v>
      </c>
      <c r="N13" s="31" t="s">
        <v>6021</v>
      </c>
      <c r="O13" s="35">
        <v>43511</v>
      </c>
      <c r="P13" s="34"/>
    </row>
    <row r="14" spans="1:26" ht="38.25" hidden="1" outlineLevel="1">
      <c r="A14" s="33">
        <v>6</v>
      </c>
      <c r="B14" s="63"/>
      <c r="C14" s="166"/>
      <c r="D14" s="33" t="s">
        <v>5139</v>
      </c>
      <c r="E14" s="33" t="s">
        <v>5155</v>
      </c>
      <c r="F14" s="169" t="s">
        <v>5193</v>
      </c>
      <c r="G14" s="33"/>
      <c r="H14" s="33"/>
      <c r="I14" s="152"/>
      <c r="J14" s="63"/>
      <c r="K14" s="33"/>
      <c r="L14" s="63"/>
      <c r="M14" s="31" t="s">
        <v>6351</v>
      </c>
      <c r="N14" s="31" t="s">
        <v>6022</v>
      </c>
      <c r="O14" s="35">
        <v>43507</v>
      </c>
      <c r="P14" s="34"/>
    </row>
    <row r="15" spans="1:26" ht="38.25" hidden="1" outlineLevel="1">
      <c r="A15" s="33">
        <v>7</v>
      </c>
      <c r="B15" s="63"/>
      <c r="C15" s="166"/>
      <c r="D15" s="33" t="s">
        <v>5139</v>
      </c>
      <c r="E15" s="33" t="s">
        <v>5155</v>
      </c>
      <c r="F15" s="169" t="s">
        <v>5194</v>
      </c>
      <c r="G15" s="33"/>
      <c r="H15" s="33"/>
      <c r="I15" s="152"/>
      <c r="J15" s="63"/>
      <c r="K15" s="33"/>
      <c r="L15" s="63"/>
      <c r="M15" s="31" t="s">
        <v>6352</v>
      </c>
      <c r="N15" s="31" t="s">
        <v>6023</v>
      </c>
      <c r="O15" s="35">
        <v>43507</v>
      </c>
      <c r="P15" s="34"/>
    </row>
    <row r="16" spans="1:26" ht="38.25" hidden="1" outlineLevel="1">
      <c r="A16" s="33">
        <v>8</v>
      </c>
      <c r="B16" s="63"/>
      <c r="C16" s="166"/>
      <c r="D16" s="33" t="s">
        <v>5139</v>
      </c>
      <c r="E16" s="33" t="s">
        <v>5155</v>
      </c>
      <c r="F16" s="169" t="s">
        <v>5195</v>
      </c>
      <c r="G16" s="33"/>
      <c r="H16" s="33"/>
      <c r="I16" s="152"/>
      <c r="J16" s="63"/>
      <c r="K16" s="33"/>
      <c r="L16" s="63"/>
      <c r="M16" s="31" t="s">
        <v>6353</v>
      </c>
      <c r="N16" s="31" t="s">
        <v>6023</v>
      </c>
      <c r="O16" s="35">
        <v>43508</v>
      </c>
      <c r="P16" s="34"/>
    </row>
    <row r="17" spans="1:16" hidden="1" outlineLevel="1">
      <c r="A17" s="145"/>
      <c r="B17" s="146"/>
      <c r="C17" s="167"/>
      <c r="D17" s="145"/>
      <c r="E17" s="145"/>
      <c r="F17" s="134"/>
      <c r="G17" s="145"/>
      <c r="H17" s="145"/>
      <c r="I17" s="145"/>
      <c r="J17" s="146"/>
      <c r="K17" s="145"/>
      <c r="L17" s="146"/>
      <c r="M17" s="142"/>
      <c r="N17" s="142"/>
      <c r="O17" s="147"/>
      <c r="P17" s="148"/>
    </row>
    <row r="18" spans="1:16" ht="89.25" hidden="1" outlineLevel="1">
      <c r="A18" s="33">
        <v>1</v>
      </c>
      <c r="B18" s="63" t="s">
        <v>7035</v>
      </c>
      <c r="C18" s="166" t="s">
        <v>7036</v>
      </c>
      <c r="D18" s="33" t="s">
        <v>5139</v>
      </c>
      <c r="E18" s="33" t="s">
        <v>5155</v>
      </c>
      <c r="F18" s="169" t="s">
        <v>5196</v>
      </c>
      <c r="G18" s="33"/>
      <c r="H18" s="33"/>
      <c r="I18" s="152"/>
      <c r="J18" s="63"/>
      <c r="K18" s="33"/>
      <c r="L18" s="63"/>
      <c r="M18" s="31" t="s">
        <v>6354</v>
      </c>
      <c r="N18" s="31" t="s">
        <v>6024</v>
      </c>
      <c r="O18" s="35">
        <v>43515</v>
      </c>
      <c r="P18" s="34"/>
    </row>
    <row r="19" spans="1:16" ht="38.25" hidden="1" outlineLevel="1">
      <c r="A19" s="33">
        <v>2</v>
      </c>
      <c r="B19" s="63"/>
      <c r="C19" s="166"/>
      <c r="D19" s="33" t="s">
        <v>5139</v>
      </c>
      <c r="E19" s="33" t="s">
        <v>5155</v>
      </c>
      <c r="F19" s="169" t="s">
        <v>5197</v>
      </c>
      <c r="G19" s="33"/>
      <c r="H19" s="33"/>
      <c r="I19" s="152"/>
      <c r="J19" s="63"/>
      <c r="K19" s="33"/>
      <c r="L19" s="63"/>
      <c r="M19" s="31" t="s">
        <v>6355</v>
      </c>
      <c r="N19" s="31" t="s">
        <v>6025</v>
      </c>
      <c r="O19" s="35">
        <v>43517</v>
      </c>
      <c r="P19" s="34"/>
    </row>
    <row r="20" spans="1:16" ht="63.75" hidden="1" outlineLevel="1">
      <c r="A20" s="33">
        <v>3</v>
      </c>
      <c r="B20" s="63"/>
      <c r="C20" s="166"/>
      <c r="D20" s="33" t="s">
        <v>5139</v>
      </c>
      <c r="E20" s="33" t="s">
        <v>5155</v>
      </c>
      <c r="F20" s="169" t="s">
        <v>5198</v>
      </c>
      <c r="G20" s="33"/>
      <c r="H20" s="33"/>
      <c r="I20" s="152"/>
      <c r="J20" s="63"/>
      <c r="K20" s="33"/>
      <c r="L20" s="63"/>
      <c r="M20" s="31" t="s">
        <v>6356</v>
      </c>
      <c r="N20" s="31" t="s">
        <v>6026</v>
      </c>
      <c r="O20" s="35">
        <v>43515</v>
      </c>
      <c r="P20" s="34"/>
    </row>
    <row r="21" spans="1:16" ht="51" hidden="1" outlineLevel="1">
      <c r="A21" s="33">
        <v>4</v>
      </c>
      <c r="B21" s="63"/>
      <c r="C21" s="166"/>
      <c r="D21" s="33" t="s">
        <v>5139</v>
      </c>
      <c r="E21" s="33" t="s">
        <v>5155</v>
      </c>
      <c r="F21" s="169" t="s">
        <v>5199</v>
      </c>
      <c r="G21" s="33"/>
      <c r="H21" s="33"/>
      <c r="I21" s="152"/>
      <c r="J21" s="63"/>
      <c r="K21" s="33"/>
      <c r="L21" s="63"/>
      <c r="M21" s="31" t="s">
        <v>6357</v>
      </c>
      <c r="N21" s="31" t="s">
        <v>6027</v>
      </c>
      <c r="O21" s="35">
        <v>43511</v>
      </c>
      <c r="P21" s="34"/>
    </row>
    <row r="22" spans="1:16" ht="38.25" hidden="1" outlineLevel="1">
      <c r="A22" s="33">
        <v>5</v>
      </c>
      <c r="B22" s="63"/>
      <c r="C22" s="166"/>
      <c r="D22" s="33" t="s">
        <v>5139</v>
      </c>
      <c r="E22" s="33" t="s">
        <v>5155</v>
      </c>
      <c r="F22" s="169" t="s">
        <v>5200</v>
      </c>
      <c r="G22" s="33"/>
      <c r="H22" s="33"/>
      <c r="I22" s="152"/>
      <c r="J22" s="63"/>
      <c r="K22" s="33"/>
      <c r="L22" s="63"/>
      <c r="M22" s="31" t="s">
        <v>6358</v>
      </c>
      <c r="N22" s="31" t="s">
        <v>6028</v>
      </c>
      <c r="O22" s="35">
        <v>43518</v>
      </c>
      <c r="P22" s="34"/>
    </row>
    <row r="23" spans="1:16" ht="38.25" hidden="1" outlineLevel="1">
      <c r="A23" s="33">
        <v>6</v>
      </c>
      <c r="B23" s="63"/>
      <c r="C23" s="166"/>
      <c r="D23" s="33" t="s">
        <v>5139</v>
      </c>
      <c r="E23" s="33" t="s">
        <v>5155</v>
      </c>
      <c r="F23" s="169" t="s">
        <v>5201</v>
      </c>
      <c r="G23" s="33"/>
      <c r="H23" s="33"/>
      <c r="I23" s="152"/>
      <c r="J23" s="63"/>
      <c r="K23" s="33"/>
      <c r="L23" s="63"/>
      <c r="M23" s="31" t="s">
        <v>6359</v>
      </c>
      <c r="N23" s="31" t="s">
        <v>6029</v>
      </c>
      <c r="O23" s="35">
        <v>43523</v>
      </c>
      <c r="P23" s="34"/>
    </row>
    <row r="24" spans="1:16" hidden="1" outlineLevel="1">
      <c r="A24" s="1">
        <v>7</v>
      </c>
      <c r="D24" s="1" t="s">
        <v>5139</v>
      </c>
      <c r="E24" s="1" t="s">
        <v>5155</v>
      </c>
      <c r="F24" s="170" t="s">
        <v>5202</v>
      </c>
      <c r="M24" s="2" t="s">
        <v>6360</v>
      </c>
      <c r="N24" s="2" t="s">
        <v>6030</v>
      </c>
      <c r="O24" s="18">
        <v>43528</v>
      </c>
    </row>
    <row r="25" spans="1:16" hidden="1" outlineLevel="1">
      <c r="A25" s="1">
        <v>8</v>
      </c>
      <c r="D25" s="1" t="s">
        <v>5139</v>
      </c>
      <c r="E25" s="1" t="s">
        <v>5155</v>
      </c>
      <c r="F25" s="170" t="s">
        <v>5203</v>
      </c>
      <c r="M25" s="2" t="s">
        <v>6361</v>
      </c>
      <c r="N25" s="2" t="s">
        <v>6031</v>
      </c>
      <c r="O25" s="18">
        <v>43528</v>
      </c>
    </row>
    <row r="26" spans="1:16" hidden="1" outlineLevel="1">
      <c r="A26" s="1">
        <v>9</v>
      </c>
      <c r="D26" s="1" t="s">
        <v>5139</v>
      </c>
      <c r="E26" s="1" t="s">
        <v>5155</v>
      </c>
      <c r="F26" s="170" t="s">
        <v>5204</v>
      </c>
      <c r="M26" s="2" t="s">
        <v>6362</v>
      </c>
      <c r="N26" s="2" t="s">
        <v>6032</v>
      </c>
      <c r="O26" s="18">
        <v>43528</v>
      </c>
    </row>
    <row r="27" spans="1:16" hidden="1" outlineLevel="1">
      <c r="A27" s="1">
        <v>10</v>
      </c>
      <c r="D27" s="1" t="s">
        <v>5139</v>
      </c>
      <c r="E27" s="1" t="s">
        <v>5155</v>
      </c>
      <c r="F27" s="170" t="s">
        <v>5205</v>
      </c>
      <c r="M27" s="2" t="s">
        <v>6363</v>
      </c>
      <c r="N27" s="2" t="s">
        <v>6033</v>
      </c>
      <c r="O27" s="18">
        <v>43563</v>
      </c>
    </row>
    <row r="28" spans="1:16" hidden="1" outlineLevel="1">
      <c r="A28" s="8"/>
      <c r="B28" s="58"/>
      <c r="C28" s="159"/>
      <c r="D28" s="8"/>
      <c r="E28" s="8"/>
      <c r="F28" s="171"/>
      <c r="G28" s="8"/>
      <c r="H28" s="8"/>
      <c r="I28" s="8"/>
      <c r="J28" s="58"/>
      <c r="K28" s="8"/>
      <c r="L28" s="58"/>
      <c r="M28" s="8"/>
      <c r="N28" s="8"/>
      <c r="O28" s="58"/>
      <c r="P28" s="8"/>
    </row>
    <row r="29" spans="1:16" hidden="1" outlineLevel="1">
      <c r="A29" s="1">
        <v>1</v>
      </c>
      <c r="B29" s="11">
        <v>43528</v>
      </c>
      <c r="C29" s="160" t="s">
        <v>7037</v>
      </c>
      <c r="D29" s="1" t="s">
        <v>5137</v>
      </c>
      <c r="E29" s="1" t="s">
        <v>5156</v>
      </c>
      <c r="F29" s="170" t="s">
        <v>5206</v>
      </c>
      <c r="M29" s="2" t="s">
        <v>6364</v>
      </c>
      <c r="N29" s="2" t="s">
        <v>6034</v>
      </c>
      <c r="O29" s="18">
        <v>43538</v>
      </c>
    </row>
    <row r="30" spans="1:16" hidden="1" outlineLevel="1">
      <c r="A30" s="1">
        <v>2</v>
      </c>
      <c r="D30" s="1" t="s">
        <v>5137</v>
      </c>
      <c r="E30" s="1" t="s">
        <v>5156</v>
      </c>
      <c r="F30" s="170" t="s">
        <v>5207</v>
      </c>
      <c r="M30" s="2" t="s">
        <v>6365</v>
      </c>
      <c r="N30" s="2" t="s">
        <v>4616</v>
      </c>
      <c r="O30" s="18">
        <v>43544</v>
      </c>
    </row>
    <row r="31" spans="1:16" hidden="1" outlineLevel="1">
      <c r="A31" s="1">
        <v>3</v>
      </c>
      <c r="D31" s="1" t="s">
        <v>5137</v>
      </c>
      <c r="E31" s="1" t="s">
        <v>5156</v>
      </c>
      <c r="F31" s="170" t="s">
        <v>5208</v>
      </c>
      <c r="M31" s="2" t="s">
        <v>6366</v>
      </c>
      <c r="N31" s="2" t="s">
        <v>6035</v>
      </c>
      <c r="O31" s="18">
        <v>43537</v>
      </c>
    </row>
    <row r="32" spans="1:16" hidden="1" outlineLevel="1">
      <c r="A32" s="1">
        <v>4</v>
      </c>
      <c r="D32" s="1" t="s">
        <v>5137</v>
      </c>
      <c r="E32" s="1" t="s">
        <v>5156</v>
      </c>
      <c r="F32" s="170" t="s">
        <v>5209</v>
      </c>
      <c r="M32" s="2" t="s">
        <v>414</v>
      </c>
      <c r="N32" s="2" t="s">
        <v>6036</v>
      </c>
      <c r="O32" s="18">
        <v>43544</v>
      </c>
    </row>
    <row r="33" spans="1:16" hidden="1" outlineLevel="1">
      <c r="A33" s="1">
        <v>5</v>
      </c>
      <c r="D33" s="1" t="s">
        <v>5137</v>
      </c>
      <c r="E33" s="1" t="s">
        <v>5156</v>
      </c>
      <c r="F33" s="170" t="s">
        <v>5210</v>
      </c>
      <c r="M33" s="2" t="s">
        <v>6367</v>
      </c>
      <c r="N33" s="2" t="s">
        <v>6037</v>
      </c>
      <c r="O33" s="18">
        <v>43542</v>
      </c>
    </row>
    <row r="34" spans="1:16" hidden="1" outlineLevel="1">
      <c r="A34" s="1">
        <v>6</v>
      </c>
      <c r="D34" s="1" t="s">
        <v>5137</v>
      </c>
      <c r="E34" s="1" t="s">
        <v>5156</v>
      </c>
      <c r="F34" s="170" t="s">
        <v>5211</v>
      </c>
      <c r="M34" s="2" t="s">
        <v>6368</v>
      </c>
      <c r="N34" s="2" t="s">
        <v>6038</v>
      </c>
      <c r="O34" s="18">
        <v>43551</v>
      </c>
    </row>
    <row r="35" spans="1:16" hidden="1" outlineLevel="1">
      <c r="A35" s="1">
        <v>7</v>
      </c>
      <c r="D35" s="1" t="s">
        <v>5137</v>
      </c>
      <c r="E35" s="1" t="s">
        <v>5156</v>
      </c>
      <c r="F35" s="170" t="s">
        <v>5212</v>
      </c>
      <c r="M35" s="2" t="s">
        <v>6369</v>
      </c>
      <c r="N35" s="2" t="s">
        <v>6039</v>
      </c>
      <c r="O35" s="18">
        <v>43551</v>
      </c>
    </row>
    <row r="36" spans="1:16" hidden="1" outlineLevel="1">
      <c r="A36" s="1">
        <v>8</v>
      </c>
      <c r="D36" s="1" t="s">
        <v>5137</v>
      </c>
      <c r="E36" s="1" t="s">
        <v>5156</v>
      </c>
      <c r="F36" s="170" t="s">
        <v>5213</v>
      </c>
      <c r="M36" s="2" t="s">
        <v>6370</v>
      </c>
      <c r="N36" s="2" t="s">
        <v>6040</v>
      </c>
      <c r="O36" s="18">
        <v>43551</v>
      </c>
    </row>
    <row r="37" spans="1:16" hidden="1" outlineLevel="1">
      <c r="A37" s="1">
        <v>9</v>
      </c>
      <c r="D37" s="1" t="s">
        <v>5137</v>
      </c>
      <c r="E37" s="1" t="s">
        <v>5156</v>
      </c>
      <c r="F37" s="170" t="s">
        <v>5214</v>
      </c>
      <c r="M37" s="2" t="s">
        <v>6371</v>
      </c>
      <c r="N37" s="2" t="s">
        <v>6041</v>
      </c>
      <c r="O37" s="18">
        <v>43551</v>
      </c>
    </row>
    <row r="38" spans="1:16" hidden="1" outlineLevel="1">
      <c r="A38" s="1">
        <v>10</v>
      </c>
      <c r="D38" s="1" t="s">
        <v>5137</v>
      </c>
      <c r="E38" s="1" t="s">
        <v>5156</v>
      </c>
      <c r="F38" s="170" t="s">
        <v>5215</v>
      </c>
      <c r="M38" s="2" t="s">
        <v>6372</v>
      </c>
      <c r="N38" s="2" t="s">
        <v>6042</v>
      </c>
      <c r="O38" s="18">
        <v>43553</v>
      </c>
    </row>
    <row r="39" spans="1:16" hidden="1" outlineLevel="1">
      <c r="A39" s="8"/>
      <c r="B39" s="58"/>
      <c r="C39" s="159"/>
      <c r="D39" s="8"/>
      <c r="E39" s="8"/>
      <c r="F39" s="171"/>
      <c r="G39" s="8"/>
      <c r="H39" s="8"/>
      <c r="I39" s="8"/>
      <c r="J39" s="58"/>
      <c r="K39" s="8"/>
      <c r="L39" s="58"/>
      <c r="M39" s="8"/>
      <c r="N39" s="8"/>
      <c r="O39" s="58"/>
      <c r="P39" s="8"/>
    </row>
    <row r="40" spans="1:16" hidden="1" outlineLevel="1">
      <c r="A40" s="1">
        <v>1</v>
      </c>
      <c r="B40" s="11">
        <v>43544</v>
      </c>
      <c r="C40" s="160" t="s">
        <v>7038</v>
      </c>
      <c r="D40" s="1" t="s">
        <v>5137</v>
      </c>
      <c r="E40" s="1" t="s">
        <v>5156</v>
      </c>
      <c r="F40" s="170" t="s">
        <v>5216</v>
      </c>
      <c r="M40" s="2" t="s">
        <v>6373</v>
      </c>
      <c r="N40" s="2" t="s">
        <v>6043</v>
      </c>
      <c r="O40" s="18">
        <v>43551</v>
      </c>
    </row>
    <row r="41" spans="1:16" hidden="1" outlineLevel="1">
      <c r="A41" s="1">
        <v>2</v>
      </c>
      <c r="D41" s="1" t="s">
        <v>5137</v>
      </c>
      <c r="E41" s="1" t="s">
        <v>5156</v>
      </c>
      <c r="F41" s="170" t="s">
        <v>5217</v>
      </c>
      <c r="M41" s="2" t="s">
        <v>6374</v>
      </c>
      <c r="N41" s="2" t="s">
        <v>6044</v>
      </c>
      <c r="O41" s="18">
        <v>43551</v>
      </c>
    </row>
    <row r="42" spans="1:16" hidden="1" outlineLevel="1">
      <c r="A42" s="1">
        <v>3</v>
      </c>
      <c r="D42" s="1" t="s">
        <v>5137</v>
      </c>
      <c r="E42" s="1" t="s">
        <v>5156</v>
      </c>
      <c r="F42" s="170" t="s">
        <v>5218</v>
      </c>
      <c r="M42" s="2" t="s">
        <v>6375</v>
      </c>
      <c r="N42" s="2" t="s">
        <v>6045</v>
      </c>
      <c r="O42" s="18">
        <v>43550</v>
      </c>
    </row>
    <row r="43" spans="1:16" hidden="1" outlineLevel="1">
      <c r="A43" s="1">
        <v>4</v>
      </c>
      <c r="D43" s="1" t="s">
        <v>5137</v>
      </c>
      <c r="E43" s="1" t="s">
        <v>5156</v>
      </c>
      <c r="F43" s="170" t="s">
        <v>5219</v>
      </c>
      <c r="M43" s="2" t="s">
        <v>6376</v>
      </c>
      <c r="N43" s="2" t="s">
        <v>428</v>
      </c>
      <c r="O43" s="18">
        <v>43550</v>
      </c>
    </row>
    <row r="44" spans="1:16" hidden="1" outlineLevel="1">
      <c r="A44" s="1">
        <v>5</v>
      </c>
      <c r="D44" s="1" t="s">
        <v>5137</v>
      </c>
      <c r="E44" s="1" t="s">
        <v>5156</v>
      </c>
      <c r="F44" s="170" t="s">
        <v>5220</v>
      </c>
      <c r="M44" s="2" t="s">
        <v>6377</v>
      </c>
      <c r="N44" s="2" t="s">
        <v>6046</v>
      </c>
      <c r="O44" s="18">
        <v>43550</v>
      </c>
    </row>
    <row r="45" spans="1:16" hidden="1" outlineLevel="1">
      <c r="A45" s="8"/>
      <c r="B45" s="58"/>
      <c r="C45" s="159"/>
      <c r="D45" s="8"/>
      <c r="E45" s="8"/>
      <c r="F45" s="171"/>
      <c r="G45" s="8"/>
      <c r="H45" s="8"/>
      <c r="I45" s="8"/>
      <c r="J45" s="58"/>
      <c r="K45" s="8"/>
      <c r="L45" s="58"/>
      <c r="M45" s="8"/>
      <c r="N45" s="8"/>
      <c r="O45" s="58"/>
      <c r="P45" s="8"/>
    </row>
    <row r="46" spans="1:16" hidden="1" outlineLevel="1">
      <c r="A46" s="1">
        <v>1</v>
      </c>
      <c r="B46" s="11">
        <v>43553</v>
      </c>
      <c r="C46" s="160" t="s">
        <v>7039</v>
      </c>
      <c r="D46" s="1" t="s">
        <v>5140</v>
      </c>
      <c r="E46" s="1" t="s">
        <v>5156</v>
      </c>
      <c r="F46" s="170" t="s">
        <v>5221</v>
      </c>
      <c r="M46" s="2" t="s">
        <v>6378</v>
      </c>
      <c r="N46" s="2" t="s">
        <v>6047</v>
      </c>
      <c r="O46" s="18">
        <v>43567</v>
      </c>
    </row>
    <row r="47" spans="1:16" hidden="1" outlineLevel="1">
      <c r="A47" s="1">
        <v>2</v>
      </c>
      <c r="D47" s="1" t="s">
        <v>5137</v>
      </c>
      <c r="E47" s="1" t="s">
        <v>5156</v>
      </c>
      <c r="F47" s="170" t="s">
        <v>5222</v>
      </c>
      <c r="M47" s="2" t="s">
        <v>988</v>
      </c>
      <c r="N47" s="2" t="s">
        <v>987</v>
      </c>
      <c r="O47" s="18">
        <v>43570</v>
      </c>
    </row>
    <row r="48" spans="1:16" hidden="1" outlineLevel="1">
      <c r="A48" s="1">
        <v>3</v>
      </c>
      <c r="D48" s="1" t="s">
        <v>5137</v>
      </c>
      <c r="E48" s="1" t="s">
        <v>5156</v>
      </c>
      <c r="F48" s="170" t="s">
        <v>5223</v>
      </c>
      <c r="M48" s="2" t="s">
        <v>6379</v>
      </c>
      <c r="N48" s="2" t="s">
        <v>6043</v>
      </c>
      <c r="O48" s="18">
        <v>43566</v>
      </c>
    </row>
    <row r="49" spans="1:16" hidden="1" outlineLevel="1">
      <c r="A49" s="1">
        <v>4</v>
      </c>
      <c r="D49" s="1" t="s">
        <v>5137</v>
      </c>
      <c r="E49" s="1" t="s">
        <v>5156</v>
      </c>
      <c r="F49" s="170" t="s">
        <v>5224</v>
      </c>
      <c r="M49" s="2" t="s">
        <v>6380</v>
      </c>
      <c r="N49" s="2" t="s">
        <v>6043</v>
      </c>
      <c r="O49" s="18">
        <v>43566</v>
      </c>
    </row>
    <row r="50" spans="1:16" hidden="1" outlineLevel="1">
      <c r="A50" s="1">
        <v>5</v>
      </c>
      <c r="D50" s="1" t="s">
        <v>5137</v>
      </c>
      <c r="E50" s="1" t="s">
        <v>5156</v>
      </c>
      <c r="F50" s="170" t="s">
        <v>5225</v>
      </c>
      <c r="M50" s="2" t="s">
        <v>6381</v>
      </c>
      <c r="N50" s="2" t="s">
        <v>4601</v>
      </c>
      <c r="O50" s="18">
        <v>43566</v>
      </c>
    </row>
    <row r="51" spans="1:16" hidden="1" outlineLevel="1">
      <c r="A51" s="1">
        <v>6</v>
      </c>
      <c r="D51" s="1" t="s">
        <v>5137</v>
      </c>
      <c r="E51" s="1" t="s">
        <v>5156</v>
      </c>
      <c r="F51" s="170" t="s">
        <v>5226</v>
      </c>
      <c r="M51" s="2" t="s">
        <v>6382</v>
      </c>
      <c r="N51" s="2" t="s">
        <v>6048</v>
      </c>
      <c r="O51" s="18">
        <v>43565</v>
      </c>
    </row>
    <row r="52" spans="1:16" hidden="1" outlineLevel="1">
      <c r="A52" s="1">
        <v>7</v>
      </c>
      <c r="D52" s="1" t="s">
        <v>5137</v>
      </c>
      <c r="E52" s="1" t="s">
        <v>5156</v>
      </c>
      <c r="F52" s="170" t="s">
        <v>5227</v>
      </c>
      <c r="M52" s="2" t="s">
        <v>6383</v>
      </c>
      <c r="N52" s="2" t="s">
        <v>6049</v>
      </c>
      <c r="O52" s="18">
        <v>43564</v>
      </c>
    </row>
    <row r="53" spans="1:16" hidden="1" outlineLevel="1">
      <c r="A53" s="1">
        <v>8</v>
      </c>
      <c r="D53" s="1" t="s">
        <v>5137</v>
      </c>
      <c r="E53" s="1" t="s">
        <v>5156</v>
      </c>
      <c r="F53" s="170" t="s">
        <v>5228</v>
      </c>
      <c r="M53" s="2" t="s">
        <v>6384</v>
      </c>
      <c r="N53" s="2" t="s">
        <v>6050</v>
      </c>
      <c r="O53" s="18">
        <v>43560</v>
      </c>
    </row>
    <row r="54" spans="1:16" hidden="1" outlineLevel="1">
      <c r="A54" s="1">
        <v>9</v>
      </c>
      <c r="D54" s="1" t="s">
        <v>5137</v>
      </c>
      <c r="E54" s="1" t="s">
        <v>5156</v>
      </c>
      <c r="F54" s="170" t="s">
        <v>5229</v>
      </c>
      <c r="M54" s="2" t="s">
        <v>6385</v>
      </c>
      <c r="N54" s="2" t="s">
        <v>4607</v>
      </c>
      <c r="O54" s="18">
        <v>43560</v>
      </c>
    </row>
    <row r="55" spans="1:16" hidden="1" outlineLevel="1">
      <c r="A55" s="1">
        <v>10</v>
      </c>
      <c r="D55" s="1" t="s">
        <v>5137</v>
      </c>
      <c r="E55" s="1" t="s">
        <v>5156</v>
      </c>
      <c r="F55" s="170" t="s">
        <v>5230</v>
      </c>
      <c r="M55" s="2" t="s">
        <v>6386</v>
      </c>
      <c r="N55" s="2" t="s">
        <v>6051</v>
      </c>
      <c r="O55" s="18">
        <v>43557</v>
      </c>
    </row>
    <row r="56" spans="1:16" hidden="1" outlineLevel="1">
      <c r="A56" s="1">
        <v>11</v>
      </c>
      <c r="D56" s="1" t="s">
        <v>5141</v>
      </c>
      <c r="E56" s="1" t="s">
        <v>5156</v>
      </c>
      <c r="F56" s="170" t="s">
        <v>5231</v>
      </c>
      <c r="M56" s="2" t="s">
        <v>6387</v>
      </c>
      <c r="N56" s="2" t="s">
        <v>6052</v>
      </c>
      <c r="O56" s="18">
        <v>43600</v>
      </c>
    </row>
    <row r="57" spans="1:16" hidden="1" outlineLevel="1">
      <c r="A57" s="8"/>
      <c r="B57" s="58"/>
      <c r="C57" s="159"/>
      <c r="D57" s="8"/>
      <c r="E57" s="8"/>
      <c r="F57" s="171"/>
      <c r="G57" s="8"/>
      <c r="H57" s="8"/>
      <c r="I57" s="8"/>
      <c r="J57" s="58"/>
      <c r="K57" s="8"/>
      <c r="L57" s="58"/>
      <c r="M57" s="8"/>
      <c r="N57" s="8"/>
      <c r="O57" s="58"/>
      <c r="P57" s="8"/>
    </row>
    <row r="58" spans="1:16" hidden="1" outlineLevel="1">
      <c r="A58" s="1">
        <v>1</v>
      </c>
      <c r="B58" s="11">
        <v>43553</v>
      </c>
      <c r="C58" s="160" t="s">
        <v>7040</v>
      </c>
      <c r="D58" s="1" t="s">
        <v>5137</v>
      </c>
      <c r="E58" s="1" t="s">
        <v>5156</v>
      </c>
      <c r="F58" s="170" t="s">
        <v>5232</v>
      </c>
      <c r="M58" s="2" t="s">
        <v>6388</v>
      </c>
      <c r="N58" s="2" t="s">
        <v>6053</v>
      </c>
      <c r="O58" s="18">
        <v>43557</v>
      </c>
    </row>
    <row r="59" spans="1:16" hidden="1" outlineLevel="1">
      <c r="A59" s="1">
        <v>2</v>
      </c>
      <c r="D59" s="1" t="s">
        <v>5137</v>
      </c>
      <c r="E59" s="1" t="s">
        <v>5156</v>
      </c>
      <c r="F59" s="170" t="s">
        <v>5233</v>
      </c>
      <c r="M59" s="2" t="s">
        <v>6389</v>
      </c>
      <c r="N59" s="2" t="s">
        <v>6050</v>
      </c>
      <c r="O59" s="18">
        <v>43557</v>
      </c>
    </row>
    <row r="60" spans="1:16" hidden="1" outlineLevel="1">
      <c r="A60" s="1">
        <v>3</v>
      </c>
      <c r="D60" s="1" t="s">
        <v>5137</v>
      </c>
      <c r="E60" s="1" t="s">
        <v>5156</v>
      </c>
      <c r="F60" s="170" t="s">
        <v>5234</v>
      </c>
      <c r="M60" s="2" t="s">
        <v>6390</v>
      </c>
      <c r="N60" s="2" t="s">
        <v>6050</v>
      </c>
      <c r="O60" s="18">
        <v>43557</v>
      </c>
    </row>
    <row r="61" spans="1:16" hidden="1" outlineLevel="1">
      <c r="A61" s="1">
        <v>4</v>
      </c>
      <c r="D61" s="1" t="s">
        <v>5137</v>
      </c>
      <c r="E61" s="1" t="s">
        <v>5156</v>
      </c>
      <c r="F61" s="170" t="s">
        <v>5235</v>
      </c>
      <c r="M61" s="2" t="s">
        <v>6391</v>
      </c>
      <c r="N61" s="2" t="s">
        <v>6054</v>
      </c>
      <c r="O61" s="18">
        <v>43559</v>
      </c>
    </row>
    <row r="62" spans="1:16" hidden="1" outlineLevel="1">
      <c r="A62" s="1">
        <v>5</v>
      </c>
      <c r="D62" s="1" t="s">
        <v>5137</v>
      </c>
      <c r="E62" s="1" t="s">
        <v>5156</v>
      </c>
      <c r="F62" s="170" t="s">
        <v>5236</v>
      </c>
      <c r="M62" s="2" t="s">
        <v>6392</v>
      </c>
      <c r="N62" s="2" t="s">
        <v>6055</v>
      </c>
      <c r="O62" s="18">
        <v>43557</v>
      </c>
    </row>
    <row r="63" spans="1:16" hidden="1" outlineLevel="1">
      <c r="A63" s="1">
        <v>6</v>
      </c>
      <c r="D63" s="1" t="s">
        <v>5137</v>
      </c>
      <c r="E63" s="1" t="s">
        <v>5156</v>
      </c>
      <c r="F63" s="170" t="s">
        <v>5237</v>
      </c>
      <c r="M63" s="2" t="s">
        <v>6393</v>
      </c>
      <c r="N63" s="2" t="s">
        <v>6056</v>
      </c>
      <c r="O63" s="18">
        <v>43557</v>
      </c>
    </row>
    <row r="64" spans="1:16" hidden="1" outlineLevel="1">
      <c r="A64" s="1">
        <v>7</v>
      </c>
      <c r="D64" s="1" t="s">
        <v>5137</v>
      </c>
      <c r="E64" s="1" t="s">
        <v>5156</v>
      </c>
      <c r="F64" s="170" t="s">
        <v>5238</v>
      </c>
      <c r="M64" s="2" t="s">
        <v>6394</v>
      </c>
      <c r="N64" s="2" t="s">
        <v>6057</v>
      </c>
      <c r="O64" s="18">
        <v>43559</v>
      </c>
    </row>
    <row r="65" spans="1:16" hidden="1" outlineLevel="1">
      <c r="A65" s="1">
        <v>8</v>
      </c>
      <c r="D65" s="1" t="s">
        <v>5137</v>
      </c>
      <c r="E65" s="1" t="s">
        <v>5156</v>
      </c>
      <c r="F65" s="170" t="s">
        <v>5239</v>
      </c>
      <c r="M65" s="2" t="s">
        <v>6395</v>
      </c>
      <c r="N65" s="2" t="s">
        <v>6058</v>
      </c>
      <c r="O65" s="18">
        <v>43558</v>
      </c>
    </row>
    <row r="66" spans="1:16" hidden="1" outlineLevel="1">
      <c r="A66" s="1">
        <v>9</v>
      </c>
      <c r="D66" s="1" t="s">
        <v>5137</v>
      </c>
      <c r="E66" s="1" t="s">
        <v>5156</v>
      </c>
      <c r="F66" s="170" t="s">
        <v>5240</v>
      </c>
      <c r="M66" s="2" t="s">
        <v>6396</v>
      </c>
      <c r="N66" s="2" t="s">
        <v>6046</v>
      </c>
      <c r="O66" s="18">
        <v>43558</v>
      </c>
    </row>
    <row r="67" spans="1:16" hidden="1" outlineLevel="1">
      <c r="A67" s="1">
        <v>10</v>
      </c>
      <c r="D67" s="1" t="s">
        <v>5137</v>
      </c>
      <c r="E67" s="1" t="s">
        <v>5156</v>
      </c>
      <c r="F67" s="170" t="s">
        <v>5241</v>
      </c>
      <c r="M67" s="2" t="s">
        <v>6397</v>
      </c>
      <c r="N67" s="2" t="s">
        <v>6059</v>
      </c>
      <c r="O67" s="18">
        <v>43558</v>
      </c>
    </row>
    <row r="68" spans="1:16" hidden="1" outlineLevel="1">
      <c r="A68" s="8"/>
      <c r="B68" s="58"/>
      <c r="C68" s="159"/>
      <c r="D68" s="8"/>
      <c r="E68" s="8"/>
      <c r="F68" s="171"/>
      <c r="G68" s="8"/>
      <c r="H68" s="8"/>
      <c r="I68" s="8"/>
      <c r="J68" s="58"/>
      <c r="K68" s="8"/>
      <c r="L68" s="58"/>
      <c r="M68" s="8"/>
      <c r="N68" s="8"/>
      <c r="O68" s="58"/>
      <c r="P68" s="8"/>
    </row>
    <row r="69" spans="1:16" hidden="1" outlineLevel="1">
      <c r="A69" s="1">
        <v>1</v>
      </c>
      <c r="B69" s="11">
        <v>43565</v>
      </c>
      <c r="C69" s="160" t="s">
        <v>7041</v>
      </c>
      <c r="D69" s="1" t="s">
        <v>5140</v>
      </c>
      <c r="E69" s="1" t="s">
        <v>5156</v>
      </c>
      <c r="F69" s="170" t="s">
        <v>5242</v>
      </c>
      <c r="M69" s="2" t="s">
        <v>6398</v>
      </c>
      <c r="N69" s="2" t="s">
        <v>6043</v>
      </c>
      <c r="O69" s="18">
        <v>43572</v>
      </c>
    </row>
    <row r="70" spans="1:16" hidden="1" outlineLevel="1">
      <c r="A70" s="1">
        <v>2</v>
      </c>
      <c r="D70" s="1" t="s">
        <v>5137</v>
      </c>
      <c r="E70" s="1" t="s">
        <v>5156</v>
      </c>
      <c r="F70" s="170" t="s">
        <v>5243</v>
      </c>
      <c r="M70" s="2" t="s">
        <v>6399</v>
      </c>
      <c r="N70" s="2" t="s">
        <v>4607</v>
      </c>
      <c r="O70" s="18">
        <v>43573</v>
      </c>
    </row>
    <row r="71" spans="1:16" hidden="1" outlineLevel="1">
      <c r="A71" s="1">
        <v>3</v>
      </c>
      <c r="D71" s="1" t="s">
        <v>5137</v>
      </c>
      <c r="E71" s="1" t="s">
        <v>5156</v>
      </c>
      <c r="F71" s="170" t="s">
        <v>5244</v>
      </c>
      <c r="M71" s="2" t="s">
        <v>6400</v>
      </c>
      <c r="N71" s="2" t="s">
        <v>6043</v>
      </c>
      <c r="O71" s="18">
        <v>43580</v>
      </c>
    </row>
    <row r="72" spans="1:16" hidden="1" outlineLevel="1">
      <c r="A72" s="1">
        <v>4</v>
      </c>
      <c r="D72" s="1" t="s">
        <v>5137</v>
      </c>
      <c r="E72" s="1" t="s">
        <v>5156</v>
      </c>
      <c r="F72" s="170" t="s">
        <v>5245</v>
      </c>
      <c r="M72" s="2" t="s">
        <v>6401</v>
      </c>
      <c r="N72" s="2" t="s">
        <v>6043</v>
      </c>
      <c r="O72" s="18">
        <v>43570</v>
      </c>
    </row>
    <row r="73" spans="1:16" hidden="1" outlineLevel="1">
      <c r="A73" s="1">
        <v>5</v>
      </c>
      <c r="D73" s="1" t="s">
        <v>5137</v>
      </c>
      <c r="E73" s="1" t="s">
        <v>5156</v>
      </c>
      <c r="F73" s="170" t="s">
        <v>5246</v>
      </c>
      <c r="M73" s="2" t="s">
        <v>6402</v>
      </c>
      <c r="N73" s="2" t="s">
        <v>6060</v>
      </c>
      <c r="O73" s="18">
        <v>43577</v>
      </c>
    </row>
    <row r="74" spans="1:16" hidden="1" outlineLevel="1">
      <c r="A74" s="1">
        <v>6</v>
      </c>
      <c r="D74" s="1" t="s">
        <v>5137</v>
      </c>
      <c r="E74" s="1" t="s">
        <v>5156</v>
      </c>
      <c r="F74" s="170" t="s">
        <v>5247</v>
      </c>
      <c r="M74" s="2" t="s">
        <v>6403</v>
      </c>
      <c r="N74" s="2" t="s">
        <v>6060</v>
      </c>
      <c r="O74" s="18">
        <v>43577</v>
      </c>
    </row>
    <row r="75" spans="1:16" hidden="1" outlineLevel="1">
      <c r="A75" s="1">
        <v>7</v>
      </c>
      <c r="D75" s="1" t="s">
        <v>5137</v>
      </c>
      <c r="E75" s="1" t="s">
        <v>5156</v>
      </c>
      <c r="F75" s="170" t="s">
        <v>5248</v>
      </c>
      <c r="M75" s="2" t="s">
        <v>6404</v>
      </c>
      <c r="N75" s="2" t="s">
        <v>6043</v>
      </c>
      <c r="O75" s="18">
        <v>43577</v>
      </c>
    </row>
    <row r="76" spans="1:16" hidden="1" outlineLevel="1">
      <c r="A76" s="1">
        <v>8</v>
      </c>
      <c r="D76" s="1" t="s">
        <v>5137</v>
      </c>
      <c r="E76" s="1" t="s">
        <v>5156</v>
      </c>
      <c r="F76" s="170" t="s">
        <v>5249</v>
      </c>
      <c r="M76" s="2" t="s">
        <v>6405</v>
      </c>
      <c r="N76" s="2" t="s">
        <v>6043</v>
      </c>
      <c r="O76" s="18">
        <v>43577</v>
      </c>
    </row>
    <row r="77" spans="1:16" hidden="1" outlineLevel="1">
      <c r="A77" s="1">
        <v>9</v>
      </c>
      <c r="D77" s="1" t="s">
        <v>5137</v>
      </c>
      <c r="E77" s="1" t="s">
        <v>5156</v>
      </c>
      <c r="F77" s="170" t="s">
        <v>5250</v>
      </c>
      <c r="M77" s="2" t="s">
        <v>6406</v>
      </c>
      <c r="N77" s="2" t="s">
        <v>6061</v>
      </c>
      <c r="O77" s="18">
        <v>43570</v>
      </c>
    </row>
    <row r="78" spans="1:16" hidden="1" outlineLevel="1">
      <c r="A78" s="1">
        <v>10</v>
      </c>
      <c r="D78" s="1" t="s">
        <v>5137</v>
      </c>
      <c r="E78" s="1" t="s">
        <v>5156</v>
      </c>
      <c r="F78" s="170" t="s">
        <v>5251</v>
      </c>
      <c r="M78" s="2" t="s">
        <v>6407</v>
      </c>
      <c r="N78" s="2" t="s">
        <v>6043</v>
      </c>
      <c r="O78" s="18">
        <v>43574</v>
      </c>
    </row>
    <row r="79" spans="1:16" hidden="1" outlineLevel="1">
      <c r="A79" s="8"/>
      <c r="B79" s="58"/>
      <c r="C79" s="159"/>
      <c r="D79" s="8"/>
      <c r="E79" s="8"/>
      <c r="F79" s="171"/>
      <c r="G79" s="8"/>
      <c r="H79" s="8"/>
      <c r="I79" s="8"/>
      <c r="J79" s="58"/>
      <c r="K79" s="8"/>
      <c r="L79" s="58"/>
      <c r="M79" s="8"/>
      <c r="N79" s="8"/>
      <c r="O79" s="58"/>
      <c r="P79" s="8"/>
    </row>
    <row r="80" spans="1:16" hidden="1" outlineLevel="1">
      <c r="A80" s="1">
        <v>1</v>
      </c>
      <c r="B80" s="11" t="s">
        <v>7042</v>
      </c>
      <c r="C80" s="160" t="s">
        <v>7043</v>
      </c>
      <c r="D80" s="1" t="s">
        <v>5139</v>
      </c>
      <c r="E80" s="1" t="s">
        <v>5156</v>
      </c>
      <c r="F80" s="170" t="s">
        <v>5252</v>
      </c>
      <c r="M80" s="2" t="s">
        <v>6408</v>
      </c>
      <c r="N80" s="2" t="s">
        <v>6062</v>
      </c>
      <c r="O80" s="18">
        <v>43585</v>
      </c>
    </row>
    <row r="81" spans="1:16" hidden="1" outlineLevel="1">
      <c r="A81" s="1">
        <v>2</v>
      </c>
      <c r="D81" s="1" t="s">
        <v>5139</v>
      </c>
      <c r="E81" s="1" t="s">
        <v>5156</v>
      </c>
      <c r="F81" s="170" t="s">
        <v>5253</v>
      </c>
      <c r="M81" s="2" t="s">
        <v>6409</v>
      </c>
      <c r="N81" s="2" t="s">
        <v>6063</v>
      </c>
      <c r="O81" s="18">
        <v>43600</v>
      </c>
    </row>
    <row r="82" spans="1:16" hidden="1" outlineLevel="1">
      <c r="A82" s="1">
        <v>3</v>
      </c>
      <c r="D82" s="1" t="s">
        <v>5139</v>
      </c>
      <c r="E82" s="1" t="s">
        <v>5156</v>
      </c>
      <c r="F82" s="170" t="s">
        <v>5254</v>
      </c>
      <c r="M82" s="2" t="s">
        <v>6410</v>
      </c>
      <c r="N82" s="2" t="s">
        <v>6064</v>
      </c>
      <c r="O82" s="18">
        <v>43599</v>
      </c>
    </row>
    <row r="83" spans="1:16" hidden="1" outlineLevel="1">
      <c r="A83" s="1">
        <v>4</v>
      </c>
      <c r="D83" s="1" t="s">
        <v>5139</v>
      </c>
      <c r="E83" s="1" t="s">
        <v>5156</v>
      </c>
      <c r="F83" s="170" t="s">
        <v>5255</v>
      </c>
      <c r="M83" s="2" t="s">
        <v>6411</v>
      </c>
      <c r="N83" s="2" t="s">
        <v>419</v>
      </c>
      <c r="O83" s="18">
        <v>43599</v>
      </c>
    </row>
    <row r="84" spans="1:16" hidden="1" outlineLevel="1">
      <c r="A84" s="1">
        <v>5</v>
      </c>
      <c r="D84" s="1" t="s">
        <v>5139</v>
      </c>
      <c r="E84" s="1" t="s">
        <v>5156</v>
      </c>
      <c r="F84" s="170" t="s">
        <v>5256</v>
      </c>
      <c r="M84" s="2" t="s">
        <v>6412</v>
      </c>
      <c r="N84" s="2" t="s">
        <v>6065</v>
      </c>
      <c r="O84" s="18">
        <v>43598</v>
      </c>
    </row>
    <row r="85" spans="1:16" hidden="1" outlineLevel="1">
      <c r="A85" s="1">
        <v>6</v>
      </c>
      <c r="D85" s="1" t="s">
        <v>5139</v>
      </c>
      <c r="E85" s="1" t="s">
        <v>5156</v>
      </c>
      <c r="F85" s="170" t="s">
        <v>5257</v>
      </c>
      <c r="M85" s="2" t="s">
        <v>6413</v>
      </c>
      <c r="N85" s="2" t="s">
        <v>6044</v>
      </c>
      <c r="O85" s="18">
        <v>43593</v>
      </c>
    </row>
    <row r="86" spans="1:16" hidden="1" outlineLevel="1">
      <c r="A86" s="1">
        <v>7</v>
      </c>
      <c r="D86" s="1" t="s">
        <v>5139</v>
      </c>
      <c r="E86" s="1" t="s">
        <v>5156</v>
      </c>
      <c r="F86" s="170" t="s">
        <v>5258</v>
      </c>
      <c r="M86" s="2" t="s">
        <v>6414</v>
      </c>
      <c r="N86" s="2" t="s">
        <v>6046</v>
      </c>
      <c r="O86" s="18">
        <v>43591</v>
      </c>
    </row>
    <row r="87" spans="1:16" hidden="1" outlineLevel="1">
      <c r="A87" s="1">
        <v>8</v>
      </c>
      <c r="D87" s="1" t="s">
        <v>5139</v>
      </c>
      <c r="E87" s="1" t="s">
        <v>5156</v>
      </c>
      <c r="F87" s="170" t="s">
        <v>5259</v>
      </c>
      <c r="M87" s="2" t="s">
        <v>6415</v>
      </c>
      <c r="N87" s="2" t="s">
        <v>6066</v>
      </c>
      <c r="O87" s="18">
        <v>43581</v>
      </c>
    </row>
    <row r="88" spans="1:16" hidden="1" outlineLevel="1">
      <c r="A88" s="1">
        <v>9</v>
      </c>
      <c r="D88" s="1" t="s">
        <v>5139</v>
      </c>
      <c r="E88" s="1" t="s">
        <v>5156</v>
      </c>
      <c r="F88" s="170" t="s">
        <v>5260</v>
      </c>
      <c r="M88" s="2" t="s">
        <v>6416</v>
      </c>
      <c r="N88" s="2" t="s">
        <v>419</v>
      </c>
      <c r="O88" s="18">
        <v>43591</v>
      </c>
    </row>
    <row r="89" spans="1:16" hidden="1" outlineLevel="1">
      <c r="A89" s="1">
        <v>10</v>
      </c>
      <c r="D89" s="1" t="s">
        <v>5139</v>
      </c>
      <c r="E89" s="1" t="s">
        <v>5156</v>
      </c>
      <c r="F89" s="170" t="s">
        <v>5261</v>
      </c>
      <c r="M89" s="2" t="s">
        <v>6417</v>
      </c>
      <c r="N89" s="2" t="s">
        <v>6062</v>
      </c>
      <c r="O89" s="18">
        <v>43585</v>
      </c>
    </row>
    <row r="90" spans="1:16" hidden="1" outlineLevel="1">
      <c r="A90" s="8"/>
      <c r="B90" s="58"/>
      <c r="C90" s="159"/>
      <c r="D90" s="8"/>
      <c r="E90" s="8"/>
      <c r="F90" s="171"/>
      <c r="G90" s="8"/>
      <c r="H90" s="8"/>
      <c r="I90" s="8"/>
      <c r="J90" s="58"/>
      <c r="K90" s="8"/>
      <c r="L90" s="58"/>
      <c r="M90" s="8"/>
      <c r="N90" s="8"/>
      <c r="O90" s="58"/>
      <c r="P90" s="8"/>
    </row>
    <row r="91" spans="1:16" hidden="1" outlineLevel="1">
      <c r="A91" s="1">
        <v>1</v>
      </c>
      <c r="B91" s="11" t="s">
        <v>5153</v>
      </c>
      <c r="D91" s="1" t="s">
        <v>5137</v>
      </c>
      <c r="E91" s="1" t="s">
        <v>5156</v>
      </c>
      <c r="F91" s="170" t="s">
        <v>5262</v>
      </c>
      <c r="M91" s="2" t="s">
        <v>6418</v>
      </c>
      <c r="N91" s="2" t="s">
        <v>6067</v>
      </c>
      <c r="O91" s="18">
        <v>43605</v>
      </c>
    </row>
    <row r="92" spans="1:16" hidden="1" outlineLevel="1">
      <c r="A92" s="1">
        <v>2</v>
      </c>
      <c r="D92" s="1" t="s">
        <v>5137</v>
      </c>
      <c r="E92" s="1" t="s">
        <v>5156</v>
      </c>
      <c r="F92" s="170" t="s">
        <v>5263</v>
      </c>
      <c r="M92" s="2" t="s">
        <v>6419</v>
      </c>
      <c r="N92" s="2" t="s">
        <v>6067</v>
      </c>
      <c r="O92" s="18">
        <v>43605</v>
      </c>
    </row>
    <row r="93" spans="1:16" hidden="1" outlineLevel="1">
      <c r="A93" s="1">
        <v>3</v>
      </c>
      <c r="D93" s="1" t="s">
        <v>5137</v>
      </c>
      <c r="E93" s="1" t="s">
        <v>5156</v>
      </c>
      <c r="F93" s="170" t="s">
        <v>5264</v>
      </c>
      <c r="M93" s="2" t="s">
        <v>6420</v>
      </c>
      <c r="N93" s="2" t="s">
        <v>6067</v>
      </c>
      <c r="O93" s="18">
        <v>43605</v>
      </c>
    </row>
    <row r="94" spans="1:16" hidden="1" outlineLevel="1">
      <c r="A94" s="1">
        <v>4</v>
      </c>
      <c r="D94" s="1" t="s">
        <v>5137</v>
      </c>
      <c r="E94" s="1" t="s">
        <v>5156</v>
      </c>
      <c r="F94" s="170" t="s">
        <v>5265</v>
      </c>
      <c r="M94" s="2" t="s">
        <v>6421</v>
      </c>
      <c r="N94" s="2" t="s">
        <v>6068</v>
      </c>
      <c r="O94" s="18">
        <v>43606</v>
      </c>
    </row>
    <row r="95" spans="1:16" hidden="1" outlineLevel="1">
      <c r="A95" s="1">
        <v>5</v>
      </c>
      <c r="D95" s="1" t="s">
        <v>5137</v>
      </c>
      <c r="E95" s="1" t="s">
        <v>5156</v>
      </c>
      <c r="F95" s="170" t="s">
        <v>5266</v>
      </c>
      <c r="M95" s="2" t="s">
        <v>6422</v>
      </c>
      <c r="N95" s="2" t="s">
        <v>4613</v>
      </c>
      <c r="O95" s="18">
        <v>43606</v>
      </c>
    </row>
    <row r="96" spans="1:16" hidden="1" outlineLevel="1">
      <c r="A96" s="1">
        <v>6</v>
      </c>
      <c r="D96" s="1" t="s">
        <v>5137</v>
      </c>
      <c r="E96" s="1" t="s">
        <v>5156</v>
      </c>
      <c r="F96" s="170" t="s">
        <v>5267</v>
      </c>
      <c r="M96" s="2" t="s">
        <v>6423</v>
      </c>
      <c r="N96" s="2" t="s">
        <v>6067</v>
      </c>
      <c r="O96" s="18">
        <v>43606</v>
      </c>
    </row>
    <row r="97" spans="1:16" hidden="1" outlineLevel="1">
      <c r="A97" s="1">
        <v>7</v>
      </c>
      <c r="D97" s="1" t="s">
        <v>5137</v>
      </c>
      <c r="E97" s="1" t="s">
        <v>5156</v>
      </c>
      <c r="F97" s="170" t="s">
        <v>5268</v>
      </c>
      <c r="M97" s="2" t="s">
        <v>6418</v>
      </c>
      <c r="N97" s="2" t="s">
        <v>6067</v>
      </c>
      <c r="O97" s="18">
        <v>43606</v>
      </c>
    </row>
    <row r="98" spans="1:16" hidden="1" outlineLevel="1">
      <c r="A98" s="1">
        <v>8</v>
      </c>
      <c r="D98" s="1" t="s">
        <v>5137</v>
      </c>
      <c r="E98" s="1" t="s">
        <v>5156</v>
      </c>
      <c r="F98" s="170" t="s">
        <v>5269</v>
      </c>
      <c r="M98" s="2" t="s">
        <v>6424</v>
      </c>
      <c r="N98" s="2" t="s">
        <v>6069</v>
      </c>
      <c r="O98" s="18">
        <v>43615</v>
      </c>
    </row>
    <row r="99" spans="1:16" hidden="1" outlineLevel="1">
      <c r="A99" s="1">
        <v>9</v>
      </c>
      <c r="D99" s="1" t="s">
        <v>5137</v>
      </c>
      <c r="E99" s="1" t="s">
        <v>5156</v>
      </c>
      <c r="F99" s="170" t="s">
        <v>5270</v>
      </c>
      <c r="M99" s="2" t="s">
        <v>6425</v>
      </c>
      <c r="N99" s="2" t="s">
        <v>6070</v>
      </c>
      <c r="O99" s="18">
        <v>43649</v>
      </c>
    </row>
    <row r="100" spans="1:16" hidden="1" outlineLevel="1">
      <c r="A100" s="1">
        <v>10</v>
      </c>
      <c r="D100" s="1" t="s">
        <v>5137</v>
      </c>
      <c r="E100" s="1" t="s">
        <v>5156</v>
      </c>
      <c r="F100" s="170" t="s">
        <v>5271</v>
      </c>
      <c r="M100" s="2" t="s">
        <v>6426</v>
      </c>
      <c r="N100" s="2" t="s">
        <v>6071</v>
      </c>
      <c r="O100" s="18">
        <v>43605</v>
      </c>
    </row>
    <row r="101" spans="1:16" hidden="1" outlineLevel="1">
      <c r="A101" s="8"/>
      <c r="B101" s="58"/>
      <c r="C101" s="159"/>
      <c r="D101" s="8"/>
      <c r="E101" s="8"/>
      <c r="F101" s="171"/>
      <c r="G101" s="8"/>
      <c r="H101" s="8"/>
      <c r="I101" s="8"/>
      <c r="J101" s="58"/>
      <c r="K101" s="8"/>
      <c r="L101" s="58"/>
      <c r="M101" s="8"/>
      <c r="N101" s="8"/>
      <c r="O101" s="58"/>
      <c r="P101" s="8"/>
    </row>
    <row r="102" spans="1:16" hidden="1" outlineLevel="1">
      <c r="A102" s="1">
        <v>1</v>
      </c>
      <c r="B102" s="11">
        <v>43616</v>
      </c>
      <c r="C102" s="160" t="s">
        <v>7044</v>
      </c>
      <c r="D102" s="1" t="s">
        <v>5140</v>
      </c>
      <c r="E102" s="1" t="s">
        <v>5156</v>
      </c>
      <c r="F102" s="170" t="s">
        <v>5272</v>
      </c>
      <c r="M102" s="2" t="s">
        <v>6427</v>
      </c>
      <c r="N102" s="2" t="s">
        <v>6072</v>
      </c>
      <c r="O102" s="18">
        <v>43627</v>
      </c>
    </row>
    <row r="103" spans="1:16" hidden="1" outlineLevel="1">
      <c r="A103" s="1">
        <v>2</v>
      </c>
      <c r="D103" s="1" t="s">
        <v>5140</v>
      </c>
      <c r="E103" s="1" t="s">
        <v>5156</v>
      </c>
      <c r="F103" s="170" t="s">
        <v>5273</v>
      </c>
      <c r="M103" s="2" t="s">
        <v>6428</v>
      </c>
      <c r="N103" s="2" t="s">
        <v>6073</v>
      </c>
      <c r="O103" s="18">
        <v>43627</v>
      </c>
    </row>
    <row r="104" spans="1:16" hidden="1" outlineLevel="1">
      <c r="A104" s="1">
        <v>3</v>
      </c>
      <c r="D104" s="1" t="s">
        <v>5140</v>
      </c>
      <c r="E104" s="1" t="s">
        <v>5156</v>
      </c>
      <c r="F104" s="170" t="s">
        <v>5274</v>
      </c>
      <c r="M104" s="2" t="s">
        <v>6429</v>
      </c>
      <c r="N104" s="2" t="s">
        <v>6072</v>
      </c>
      <c r="O104" s="18">
        <v>43626</v>
      </c>
    </row>
    <row r="105" spans="1:16" hidden="1" outlineLevel="1">
      <c r="A105" s="1">
        <v>4</v>
      </c>
      <c r="D105" s="1" t="s">
        <v>5140</v>
      </c>
      <c r="E105" s="1" t="s">
        <v>5156</v>
      </c>
      <c r="F105" s="170" t="s">
        <v>5275</v>
      </c>
      <c r="M105" s="2" t="s">
        <v>6430</v>
      </c>
      <c r="N105" s="2" t="s">
        <v>6072</v>
      </c>
      <c r="O105" s="18">
        <v>43626</v>
      </c>
    </row>
    <row r="106" spans="1:16" hidden="1" outlineLevel="1">
      <c r="A106" s="1">
        <v>5</v>
      </c>
      <c r="D106" s="1" t="s">
        <v>5140</v>
      </c>
      <c r="E106" s="1" t="s">
        <v>5156</v>
      </c>
      <c r="F106" s="170" t="s">
        <v>5276</v>
      </c>
      <c r="M106" s="2" t="s">
        <v>6431</v>
      </c>
      <c r="N106" s="2" t="s">
        <v>6072</v>
      </c>
      <c r="O106" s="18">
        <v>43626</v>
      </c>
    </row>
    <row r="107" spans="1:16" hidden="1" outlineLevel="1">
      <c r="A107" s="8"/>
      <c r="B107" s="58"/>
      <c r="C107" s="159"/>
      <c r="D107" s="8"/>
      <c r="E107" s="8"/>
      <c r="F107" s="171"/>
      <c r="G107" s="8"/>
      <c r="H107" s="8"/>
      <c r="I107" s="8"/>
      <c r="J107" s="58"/>
      <c r="K107" s="8"/>
      <c r="L107" s="58"/>
      <c r="M107" s="8"/>
      <c r="N107" s="8"/>
      <c r="O107" s="58"/>
      <c r="P107" s="8"/>
    </row>
    <row r="108" spans="1:16" hidden="1" outlineLevel="1">
      <c r="A108" s="1">
        <v>1</v>
      </c>
      <c r="B108" s="11">
        <v>43623</v>
      </c>
      <c r="C108" s="160" t="s">
        <v>7045</v>
      </c>
      <c r="D108" s="1" t="s">
        <v>5142</v>
      </c>
      <c r="E108" s="1" t="s">
        <v>5156</v>
      </c>
      <c r="F108" s="170" t="s">
        <v>5277</v>
      </c>
      <c r="M108" s="2" t="s">
        <v>6432</v>
      </c>
      <c r="N108" s="2" t="s">
        <v>6074</v>
      </c>
      <c r="O108" s="18">
        <v>43633</v>
      </c>
    </row>
    <row r="109" spans="1:16" hidden="1" outlineLevel="1">
      <c r="A109" s="1">
        <v>2</v>
      </c>
      <c r="D109" s="1" t="s">
        <v>5142</v>
      </c>
      <c r="E109" s="1" t="s">
        <v>5156</v>
      </c>
      <c r="F109" s="170" t="s">
        <v>5278</v>
      </c>
      <c r="M109" s="2" t="s">
        <v>6433</v>
      </c>
      <c r="N109" s="2" t="s">
        <v>6074</v>
      </c>
      <c r="O109" s="18">
        <v>43633</v>
      </c>
    </row>
    <row r="110" spans="1:16" hidden="1" outlineLevel="1">
      <c r="A110" s="1">
        <v>3</v>
      </c>
      <c r="D110" s="1" t="s">
        <v>5142</v>
      </c>
      <c r="E110" s="1" t="s">
        <v>5156</v>
      </c>
      <c r="F110" s="170" t="s">
        <v>5279</v>
      </c>
      <c r="M110" s="2" t="s">
        <v>6434</v>
      </c>
      <c r="N110" s="2" t="s">
        <v>4628</v>
      </c>
      <c r="O110" s="18">
        <v>43633</v>
      </c>
    </row>
    <row r="111" spans="1:16" hidden="1" outlineLevel="1">
      <c r="A111" s="1">
        <v>4</v>
      </c>
      <c r="D111" s="1" t="s">
        <v>5142</v>
      </c>
      <c r="E111" s="1" t="s">
        <v>5156</v>
      </c>
      <c r="F111" s="170" t="s">
        <v>5280</v>
      </c>
      <c r="M111" s="2" t="s">
        <v>6435</v>
      </c>
      <c r="N111" s="2" t="s">
        <v>6075</v>
      </c>
      <c r="O111" s="18">
        <v>43634</v>
      </c>
    </row>
    <row r="112" spans="1:16" hidden="1" outlineLevel="1">
      <c r="A112" s="1">
        <v>5</v>
      </c>
      <c r="D112" s="1" t="s">
        <v>5142</v>
      </c>
      <c r="E112" s="1" t="s">
        <v>5156</v>
      </c>
      <c r="F112" s="170" t="s">
        <v>5281</v>
      </c>
      <c r="M112" s="2" t="s">
        <v>6436</v>
      </c>
      <c r="N112" s="2" t="s">
        <v>6076</v>
      </c>
      <c r="O112" s="18">
        <v>43641</v>
      </c>
    </row>
    <row r="113" spans="1:16" hidden="1" outlineLevel="1">
      <c r="A113" s="1">
        <v>6</v>
      </c>
      <c r="D113" s="1" t="s">
        <v>5142</v>
      </c>
      <c r="E113" s="1" t="s">
        <v>5156</v>
      </c>
      <c r="F113" s="170" t="s">
        <v>5282</v>
      </c>
      <c r="M113" s="2" t="s">
        <v>6437</v>
      </c>
      <c r="N113" s="2" t="s">
        <v>6077</v>
      </c>
      <c r="O113" s="18">
        <v>43642</v>
      </c>
    </row>
    <row r="114" spans="1:16" hidden="1" outlineLevel="1">
      <c r="A114" s="1">
        <v>7</v>
      </c>
      <c r="D114" s="1" t="s">
        <v>5142</v>
      </c>
      <c r="E114" s="1" t="s">
        <v>5156</v>
      </c>
      <c r="F114" s="170" t="s">
        <v>5283</v>
      </c>
      <c r="M114" s="2" t="s">
        <v>6438</v>
      </c>
      <c r="N114" s="2" t="s">
        <v>6078</v>
      </c>
      <c r="O114" s="18">
        <v>43642</v>
      </c>
    </row>
    <row r="115" spans="1:16" hidden="1" outlineLevel="1">
      <c r="A115" s="1">
        <v>8</v>
      </c>
      <c r="D115" s="1" t="s">
        <v>5142</v>
      </c>
      <c r="E115" s="1" t="s">
        <v>5156</v>
      </c>
      <c r="F115" s="170" t="s">
        <v>5284</v>
      </c>
      <c r="M115" s="2" t="s">
        <v>6439</v>
      </c>
      <c r="N115" s="2" t="s">
        <v>6079</v>
      </c>
      <c r="O115" s="18">
        <v>43648</v>
      </c>
    </row>
    <row r="116" spans="1:16" hidden="1" outlineLevel="1">
      <c r="A116" s="1">
        <v>9</v>
      </c>
      <c r="D116" s="1" t="s">
        <v>5142</v>
      </c>
      <c r="E116" s="1" t="s">
        <v>5156</v>
      </c>
      <c r="F116" s="170" t="s">
        <v>5285</v>
      </c>
      <c r="M116" s="2" t="s">
        <v>6440</v>
      </c>
      <c r="N116" s="2" t="s">
        <v>6080</v>
      </c>
      <c r="O116" s="18">
        <v>43651</v>
      </c>
    </row>
    <row r="117" spans="1:16" hidden="1" outlineLevel="1">
      <c r="A117" s="1">
        <v>10</v>
      </c>
      <c r="D117" s="1" t="s">
        <v>5142</v>
      </c>
      <c r="E117" s="1" t="s">
        <v>5156</v>
      </c>
      <c r="F117" s="170" t="s">
        <v>5286</v>
      </c>
      <c r="M117" s="2" t="s">
        <v>6441</v>
      </c>
      <c r="N117" s="2" t="s">
        <v>6081</v>
      </c>
      <c r="O117" s="18">
        <v>43627</v>
      </c>
    </row>
    <row r="118" spans="1:16" hidden="1" outlineLevel="1">
      <c r="A118" s="1">
        <v>11</v>
      </c>
      <c r="D118" s="1" t="s">
        <v>5142</v>
      </c>
      <c r="E118" s="1" t="s">
        <v>5156</v>
      </c>
      <c r="F118" s="170" t="s">
        <v>5287</v>
      </c>
      <c r="M118" s="2" t="s">
        <v>6442</v>
      </c>
      <c r="N118" s="2" t="s">
        <v>6082</v>
      </c>
      <c r="O118" s="18">
        <v>43780</v>
      </c>
    </row>
    <row r="119" spans="1:16" hidden="1" outlineLevel="1">
      <c r="A119" s="1">
        <v>12</v>
      </c>
      <c r="D119" s="1" t="s">
        <v>5142</v>
      </c>
      <c r="E119" s="1" t="s">
        <v>5156</v>
      </c>
      <c r="F119" s="170" t="s">
        <v>5288</v>
      </c>
      <c r="M119" s="2" t="s">
        <v>6443</v>
      </c>
      <c r="N119" s="2" t="s">
        <v>6083</v>
      </c>
      <c r="O119" s="18">
        <v>43647</v>
      </c>
    </row>
    <row r="120" spans="1:16" hidden="1" outlineLevel="1">
      <c r="A120" s="1">
        <v>13</v>
      </c>
      <c r="D120" s="1" t="s">
        <v>5142</v>
      </c>
      <c r="E120" s="1" t="s">
        <v>5156</v>
      </c>
      <c r="F120" s="170" t="s">
        <v>5289</v>
      </c>
      <c r="M120" s="2" t="s">
        <v>6444</v>
      </c>
      <c r="N120" s="2" t="s">
        <v>6084</v>
      </c>
      <c r="O120" s="18">
        <v>43637</v>
      </c>
    </row>
    <row r="121" spans="1:16" hidden="1" outlineLevel="1">
      <c r="A121" s="1">
        <v>14</v>
      </c>
      <c r="D121" s="1" t="s">
        <v>5142</v>
      </c>
      <c r="E121" s="1" t="s">
        <v>5156</v>
      </c>
      <c r="F121" s="170" t="s">
        <v>5290</v>
      </c>
      <c r="M121" s="2" t="s">
        <v>6445</v>
      </c>
      <c r="N121" s="2" t="s">
        <v>6085</v>
      </c>
      <c r="O121" s="18">
        <v>43635</v>
      </c>
    </row>
    <row r="122" spans="1:16" hidden="1" outlineLevel="1">
      <c r="A122" s="1">
        <v>15</v>
      </c>
      <c r="D122" s="1" t="s">
        <v>5142</v>
      </c>
      <c r="E122" s="1" t="s">
        <v>5156</v>
      </c>
      <c r="F122" s="170" t="s">
        <v>5291</v>
      </c>
      <c r="M122" s="2" t="s">
        <v>6446</v>
      </c>
      <c r="N122" s="2" t="s">
        <v>6043</v>
      </c>
      <c r="O122" s="18">
        <v>43649</v>
      </c>
    </row>
    <row r="123" spans="1:16" hidden="1" outlineLevel="1">
      <c r="A123" s="1">
        <v>16</v>
      </c>
      <c r="D123" s="1" t="s">
        <v>5142</v>
      </c>
      <c r="E123" s="1" t="s">
        <v>5156</v>
      </c>
      <c r="F123" s="170" t="s">
        <v>5292</v>
      </c>
      <c r="M123" s="2" t="s">
        <v>6447</v>
      </c>
      <c r="N123" s="2" t="s">
        <v>6086</v>
      </c>
      <c r="O123" s="18">
        <v>43638</v>
      </c>
    </row>
    <row r="124" spans="1:16" hidden="1" outlineLevel="1">
      <c r="A124" s="1">
        <v>17</v>
      </c>
      <c r="D124" s="1" t="s">
        <v>5142</v>
      </c>
      <c r="E124" s="1" t="s">
        <v>5156</v>
      </c>
      <c r="F124" s="170" t="s">
        <v>5293</v>
      </c>
      <c r="M124" s="2" t="s">
        <v>6448</v>
      </c>
      <c r="N124" s="2" t="s">
        <v>1057</v>
      </c>
      <c r="O124" s="18">
        <v>43647</v>
      </c>
    </row>
    <row r="125" spans="1:16" hidden="1" outlineLevel="1">
      <c r="A125" s="1">
        <v>18</v>
      </c>
      <c r="D125" s="1" t="s">
        <v>5142</v>
      </c>
      <c r="E125" s="1" t="s">
        <v>5156</v>
      </c>
      <c r="F125" s="170" t="s">
        <v>5294</v>
      </c>
      <c r="M125" s="2" t="s">
        <v>6449</v>
      </c>
      <c r="N125" s="2" t="s">
        <v>6087</v>
      </c>
      <c r="O125" s="18">
        <v>43650</v>
      </c>
    </row>
    <row r="126" spans="1:16" hidden="1" outlineLevel="1">
      <c r="A126" s="1">
        <v>19</v>
      </c>
      <c r="D126" s="1" t="s">
        <v>5142</v>
      </c>
      <c r="E126" s="1" t="s">
        <v>5156</v>
      </c>
      <c r="F126" s="170" t="s">
        <v>5295</v>
      </c>
      <c r="M126" s="2" t="s">
        <v>6450</v>
      </c>
      <c r="N126" s="2" t="s">
        <v>6088</v>
      </c>
      <c r="O126" s="18">
        <v>43668</v>
      </c>
    </row>
    <row r="127" spans="1:16" hidden="1" outlineLevel="1">
      <c r="A127" s="1">
        <v>20</v>
      </c>
      <c r="D127" s="1" t="s">
        <v>5142</v>
      </c>
      <c r="E127" s="1" t="s">
        <v>5156</v>
      </c>
      <c r="F127" s="170" t="s">
        <v>5296</v>
      </c>
      <c r="M127" s="2" t="s">
        <v>6451</v>
      </c>
      <c r="N127" s="2" t="s">
        <v>6044</v>
      </c>
      <c r="O127" s="18">
        <v>43630</v>
      </c>
    </row>
    <row r="128" spans="1:16" hidden="1" outlineLevel="1">
      <c r="A128" s="8"/>
      <c r="B128" s="58"/>
      <c r="C128" s="159"/>
      <c r="D128" s="8"/>
      <c r="E128" s="8"/>
      <c r="F128" s="171"/>
      <c r="G128" s="8"/>
      <c r="H128" s="8"/>
      <c r="I128" s="8"/>
      <c r="J128" s="58"/>
      <c r="K128" s="8"/>
      <c r="L128" s="58"/>
      <c r="M128" s="8"/>
      <c r="N128" s="8"/>
      <c r="O128" s="58"/>
      <c r="P128" s="8"/>
    </row>
    <row r="129" spans="1:16" hidden="1" outlineLevel="1">
      <c r="A129" s="1">
        <v>1</v>
      </c>
      <c r="B129" s="11">
        <v>43641</v>
      </c>
      <c r="C129" s="160" t="s">
        <v>7046</v>
      </c>
      <c r="D129" s="1" t="s">
        <v>5140</v>
      </c>
      <c r="E129" s="1" t="s">
        <v>5157</v>
      </c>
      <c r="F129" s="170" t="s">
        <v>5297</v>
      </c>
      <c r="M129" s="2" t="s">
        <v>6452</v>
      </c>
      <c r="N129" s="2" t="s">
        <v>6089</v>
      </c>
      <c r="O129" s="18">
        <v>43669</v>
      </c>
    </row>
    <row r="130" spans="1:16" hidden="1" outlineLevel="1">
      <c r="A130" s="1">
        <v>2</v>
      </c>
      <c r="D130" s="1" t="s">
        <v>5140</v>
      </c>
      <c r="E130" s="1" t="s">
        <v>5157</v>
      </c>
      <c r="F130" s="170" t="s">
        <v>5298</v>
      </c>
      <c r="M130" s="2" t="s">
        <v>6453</v>
      </c>
      <c r="N130" s="2" t="s">
        <v>6090</v>
      </c>
      <c r="O130" s="18">
        <v>43669</v>
      </c>
    </row>
    <row r="131" spans="1:16" hidden="1" outlineLevel="1">
      <c r="A131" s="1">
        <v>3</v>
      </c>
      <c r="D131" s="1" t="s">
        <v>5140</v>
      </c>
      <c r="E131" s="1" t="s">
        <v>5157</v>
      </c>
      <c r="F131" s="170" t="s">
        <v>5299</v>
      </c>
      <c r="M131" s="2" t="s">
        <v>6454</v>
      </c>
      <c r="N131" s="2" t="s">
        <v>6090</v>
      </c>
      <c r="O131" s="18">
        <v>43669</v>
      </c>
    </row>
    <row r="132" spans="1:16" hidden="1" outlineLevel="1">
      <c r="A132" s="1">
        <v>4</v>
      </c>
      <c r="D132" s="1" t="s">
        <v>5140</v>
      </c>
      <c r="E132" s="1" t="s">
        <v>5157</v>
      </c>
      <c r="F132" s="170" t="s">
        <v>5300</v>
      </c>
      <c r="M132" s="2" t="s">
        <v>6455</v>
      </c>
      <c r="N132" s="2" t="s">
        <v>6090</v>
      </c>
      <c r="O132" s="18">
        <v>43669</v>
      </c>
    </row>
    <row r="133" spans="1:16" hidden="1" outlineLevel="1">
      <c r="A133" s="1">
        <v>5</v>
      </c>
      <c r="D133" s="1" t="s">
        <v>5140</v>
      </c>
      <c r="E133" s="1" t="s">
        <v>5157</v>
      </c>
      <c r="F133" s="170" t="s">
        <v>5301</v>
      </c>
      <c r="M133" s="2" t="s">
        <v>6456</v>
      </c>
      <c r="N133" s="2" t="s">
        <v>6089</v>
      </c>
      <c r="O133" s="18">
        <v>43672</v>
      </c>
    </row>
    <row r="134" spans="1:16" hidden="1" outlineLevel="1">
      <c r="A134" s="1">
        <v>6</v>
      </c>
      <c r="D134" s="1" t="s">
        <v>5140</v>
      </c>
      <c r="E134" s="1" t="s">
        <v>5157</v>
      </c>
      <c r="F134" s="170" t="s">
        <v>5302</v>
      </c>
    </row>
    <row r="135" spans="1:16" hidden="1" outlineLevel="1">
      <c r="A135" s="1">
        <v>7</v>
      </c>
      <c r="D135" s="1" t="s">
        <v>5140</v>
      </c>
      <c r="E135" s="1" t="s">
        <v>5157</v>
      </c>
      <c r="F135" s="170" t="s">
        <v>5303</v>
      </c>
      <c r="M135" s="2" t="s">
        <v>6457</v>
      </c>
      <c r="N135" s="2" t="s">
        <v>6091</v>
      </c>
      <c r="O135" s="18">
        <v>43662</v>
      </c>
    </row>
    <row r="136" spans="1:16" hidden="1" outlineLevel="1">
      <c r="A136" s="1">
        <v>8</v>
      </c>
      <c r="D136" s="1" t="s">
        <v>5140</v>
      </c>
      <c r="E136" s="1" t="s">
        <v>5157</v>
      </c>
      <c r="F136" s="170" t="s">
        <v>5304</v>
      </c>
      <c r="M136" s="2" t="s">
        <v>6458</v>
      </c>
      <c r="N136" s="2" t="s">
        <v>6092</v>
      </c>
      <c r="O136" s="18">
        <v>43656</v>
      </c>
    </row>
    <row r="137" spans="1:16" hidden="1" outlineLevel="1">
      <c r="A137" s="1">
        <v>9</v>
      </c>
      <c r="D137" s="1" t="s">
        <v>5140</v>
      </c>
      <c r="E137" s="1" t="s">
        <v>5157</v>
      </c>
      <c r="F137" s="170" t="s">
        <v>5305</v>
      </c>
      <c r="M137" s="2" t="s">
        <v>6459</v>
      </c>
      <c r="N137" s="2" t="s">
        <v>6093</v>
      </c>
      <c r="O137" s="18">
        <v>43654</v>
      </c>
    </row>
    <row r="138" spans="1:16" hidden="1" outlineLevel="1">
      <c r="A138" s="1">
        <v>10</v>
      </c>
      <c r="D138" s="1" t="s">
        <v>5140</v>
      </c>
      <c r="E138" s="1" t="s">
        <v>5157</v>
      </c>
      <c r="F138" s="170" t="s">
        <v>5306</v>
      </c>
      <c r="M138" s="2" t="s">
        <v>6460</v>
      </c>
      <c r="N138" s="2" t="s">
        <v>6093</v>
      </c>
      <c r="O138" s="18">
        <v>43654</v>
      </c>
    </row>
    <row r="139" spans="1:16" hidden="1" outlineLevel="1">
      <c r="A139" s="8"/>
      <c r="B139" s="58"/>
      <c r="C139" s="159"/>
      <c r="D139" s="8"/>
      <c r="E139" s="8"/>
      <c r="F139" s="171"/>
      <c r="G139" s="8"/>
      <c r="H139" s="8"/>
      <c r="I139" s="8"/>
      <c r="J139" s="58"/>
      <c r="K139" s="8"/>
      <c r="L139" s="58"/>
      <c r="M139" s="8"/>
      <c r="N139" s="8"/>
      <c r="O139" s="58"/>
      <c r="P139" s="8"/>
    </row>
    <row r="140" spans="1:16" hidden="1" outlineLevel="1">
      <c r="A140" s="1">
        <v>1</v>
      </c>
      <c r="B140" s="11">
        <v>43656</v>
      </c>
      <c r="C140" s="160" t="s">
        <v>7047</v>
      </c>
      <c r="D140" s="1" t="s">
        <v>5140</v>
      </c>
      <c r="E140" s="1" t="s">
        <v>5157</v>
      </c>
      <c r="F140" s="170" t="s">
        <v>5307</v>
      </c>
      <c r="M140" s="2" t="s">
        <v>6461</v>
      </c>
      <c r="N140" s="2" t="s">
        <v>6094</v>
      </c>
      <c r="O140" s="18">
        <v>43668</v>
      </c>
    </row>
    <row r="141" spans="1:16" hidden="1" outlineLevel="1">
      <c r="A141" s="1">
        <v>2</v>
      </c>
      <c r="D141" s="1" t="s">
        <v>5140</v>
      </c>
      <c r="E141" s="1" t="s">
        <v>5157</v>
      </c>
      <c r="F141" s="170" t="s">
        <v>5308</v>
      </c>
      <c r="M141" s="2" t="s">
        <v>6462</v>
      </c>
      <c r="N141" s="2" t="s">
        <v>6095</v>
      </c>
      <c r="O141" s="18">
        <v>43663</v>
      </c>
    </row>
    <row r="142" spans="1:16" hidden="1" outlineLevel="1">
      <c r="A142" s="1">
        <v>3</v>
      </c>
      <c r="D142" s="1" t="s">
        <v>5140</v>
      </c>
      <c r="E142" s="1" t="s">
        <v>5157</v>
      </c>
      <c r="F142" s="170" t="s">
        <v>5309</v>
      </c>
      <c r="M142" s="2" t="s">
        <v>6463</v>
      </c>
      <c r="N142" s="2" t="s">
        <v>6096</v>
      </c>
      <c r="O142" s="18">
        <v>43668</v>
      </c>
    </row>
    <row r="143" spans="1:16" hidden="1" outlineLevel="1">
      <c r="A143" s="1">
        <v>4</v>
      </c>
      <c r="D143" s="1" t="s">
        <v>5140</v>
      </c>
      <c r="E143" s="1" t="s">
        <v>5157</v>
      </c>
      <c r="F143" s="170" t="s">
        <v>5310</v>
      </c>
      <c r="M143" s="2" t="s">
        <v>6464</v>
      </c>
      <c r="N143" s="2" t="s">
        <v>6097</v>
      </c>
      <c r="O143" s="18">
        <v>43665</v>
      </c>
    </row>
    <row r="144" spans="1:16" hidden="1" outlineLevel="1">
      <c r="A144" s="1">
        <v>5</v>
      </c>
      <c r="D144" s="1" t="s">
        <v>5140</v>
      </c>
      <c r="E144" s="1" t="s">
        <v>5157</v>
      </c>
      <c r="F144" s="170" t="s">
        <v>5311</v>
      </c>
      <c r="M144" s="2" t="s">
        <v>6465</v>
      </c>
      <c r="N144" s="2" t="s">
        <v>6089</v>
      </c>
      <c r="O144" s="18">
        <v>43662</v>
      </c>
    </row>
    <row r="145" spans="1:16" hidden="1" outlineLevel="1">
      <c r="A145" s="8"/>
      <c r="B145" s="58"/>
      <c r="C145" s="159"/>
      <c r="D145" s="8"/>
      <c r="E145" s="8"/>
      <c r="F145" s="171"/>
      <c r="G145" s="8"/>
      <c r="H145" s="8"/>
      <c r="I145" s="8"/>
      <c r="J145" s="58"/>
      <c r="K145" s="8"/>
      <c r="L145" s="58"/>
      <c r="M145" s="8"/>
      <c r="N145" s="8"/>
      <c r="O145" s="58"/>
      <c r="P145" s="8"/>
    </row>
    <row r="146" spans="1:16" hidden="1" outlineLevel="1">
      <c r="A146" s="1">
        <v>1</v>
      </c>
      <c r="B146" s="11">
        <v>43662</v>
      </c>
      <c r="C146" s="160" t="s">
        <v>7048</v>
      </c>
      <c r="D146" s="1" t="s">
        <v>5140</v>
      </c>
      <c r="E146" s="1" t="s">
        <v>5157</v>
      </c>
      <c r="F146" s="170" t="s">
        <v>5312</v>
      </c>
      <c r="M146" s="2" t="s">
        <v>6466</v>
      </c>
      <c r="N146" s="2" t="s">
        <v>6098</v>
      </c>
      <c r="O146" s="18">
        <v>43679</v>
      </c>
    </row>
    <row r="147" spans="1:16" hidden="1" outlineLevel="1">
      <c r="A147" s="1">
        <v>2</v>
      </c>
      <c r="D147" s="1" t="s">
        <v>5140</v>
      </c>
      <c r="E147" s="1" t="s">
        <v>5157</v>
      </c>
      <c r="F147" s="170" t="s">
        <v>5313</v>
      </c>
      <c r="M147" s="2" t="s">
        <v>6467</v>
      </c>
      <c r="N147" s="2" t="s">
        <v>6090</v>
      </c>
      <c r="O147" s="18">
        <v>43682</v>
      </c>
    </row>
    <row r="148" spans="1:16" hidden="1" outlineLevel="1">
      <c r="A148" s="1">
        <v>3</v>
      </c>
      <c r="D148" s="1" t="s">
        <v>5140</v>
      </c>
      <c r="E148" s="1" t="s">
        <v>5157</v>
      </c>
      <c r="F148" s="170" t="s">
        <v>5314</v>
      </c>
      <c r="M148" s="2" t="s">
        <v>6468</v>
      </c>
      <c r="N148" s="2" t="s">
        <v>6099</v>
      </c>
      <c r="O148" s="18">
        <v>43685</v>
      </c>
    </row>
    <row r="149" spans="1:16" hidden="1" outlineLevel="1">
      <c r="A149" s="1">
        <v>4</v>
      </c>
      <c r="D149" s="1" t="s">
        <v>5140</v>
      </c>
      <c r="E149" s="1" t="s">
        <v>5157</v>
      </c>
      <c r="F149" s="170" t="s">
        <v>5315</v>
      </c>
      <c r="M149" s="2" t="s">
        <v>6469</v>
      </c>
      <c r="N149" s="2" t="s">
        <v>6090</v>
      </c>
      <c r="O149" s="18">
        <v>43689</v>
      </c>
    </row>
    <row r="150" spans="1:16" hidden="1" outlineLevel="1">
      <c r="A150" s="1">
        <v>5</v>
      </c>
      <c r="D150" s="1" t="s">
        <v>5140</v>
      </c>
      <c r="E150" s="1" t="s">
        <v>5157</v>
      </c>
      <c r="F150" s="170" t="s">
        <v>5316</v>
      </c>
      <c r="M150" s="2" t="s">
        <v>6470</v>
      </c>
      <c r="N150" s="2" t="s">
        <v>6100</v>
      </c>
      <c r="O150" s="18">
        <v>43691</v>
      </c>
    </row>
    <row r="151" spans="1:16" hidden="1" outlineLevel="1">
      <c r="A151" s="8"/>
      <c r="B151" s="58"/>
      <c r="C151" s="159"/>
      <c r="D151" s="8"/>
      <c r="E151" s="8"/>
      <c r="F151" s="171"/>
      <c r="G151" s="8"/>
      <c r="H151" s="8"/>
      <c r="I151" s="8"/>
      <c r="J151" s="58"/>
      <c r="K151" s="8"/>
      <c r="L151" s="58"/>
      <c r="M151" s="8"/>
      <c r="N151" s="8"/>
      <c r="O151" s="58"/>
      <c r="P151" s="8"/>
    </row>
    <row r="152" spans="1:16" hidden="1" outlineLevel="1">
      <c r="A152" s="1">
        <v>1</v>
      </c>
      <c r="B152" s="11">
        <v>43662</v>
      </c>
      <c r="C152" s="160" t="s">
        <v>7049</v>
      </c>
      <c r="D152" s="1" t="s">
        <v>5142</v>
      </c>
      <c r="E152" s="1" t="s">
        <v>5157</v>
      </c>
      <c r="F152" s="170" t="s">
        <v>5317</v>
      </c>
      <c r="M152" s="2" t="s">
        <v>6471</v>
      </c>
      <c r="N152" s="2" t="s">
        <v>6090</v>
      </c>
      <c r="O152" s="18">
        <v>43670</v>
      </c>
    </row>
    <row r="153" spans="1:16" hidden="1" outlineLevel="1">
      <c r="A153" s="1">
        <v>2</v>
      </c>
      <c r="D153" s="1" t="s">
        <v>5142</v>
      </c>
      <c r="E153" s="1" t="s">
        <v>5157</v>
      </c>
      <c r="F153" s="170" t="s">
        <v>5318</v>
      </c>
      <c r="M153" s="2" t="s">
        <v>6472</v>
      </c>
      <c r="N153" s="2" t="s">
        <v>6090</v>
      </c>
      <c r="O153" s="18">
        <v>43670</v>
      </c>
    </row>
    <row r="154" spans="1:16" hidden="1" outlineLevel="1">
      <c r="A154" s="1">
        <v>3</v>
      </c>
      <c r="D154" s="1" t="s">
        <v>5142</v>
      </c>
      <c r="E154" s="1" t="s">
        <v>5157</v>
      </c>
      <c r="F154" s="170" t="s">
        <v>5319</v>
      </c>
      <c r="M154" s="2" t="s">
        <v>6473</v>
      </c>
      <c r="N154" s="2" t="s">
        <v>6101</v>
      </c>
      <c r="O154" s="18">
        <v>43678</v>
      </c>
    </row>
    <row r="155" spans="1:16" hidden="1" outlineLevel="1">
      <c r="A155" s="1">
        <v>4</v>
      </c>
      <c r="D155" s="1" t="s">
        <v>5142</v>
      </c>
      <c r="E155" s="1" t="s">
        <v>5157</v>
      </c>
      <c r="F155" s="170" t="s">
        <v>5320</v>
      </c>
      <c r="M155" s="2" t="s">
        <v>6474</v>
      </c>
      <c r="N155" s="2" t="s">
        <v>6102</v>
      </c>
      <c r="O155" s="18">
        <v>43677</v>
      </c>
    </row>
    <row r="156" spans="1:16" hidden="1" outlineLevel="1">
      <c r="A156" s="1">
        <v>5</v>
      </c>
      <c r="D156" s="1" t="s">
        <v>5142</v>
      </c>
      <c r="E156" s="1" t="s">
        <v>5157</v>
      </c>
      <c r="F156" s="170" t="s">
        <v>5321</v>
      </c>
      <c r="M156" s="2" t="s">
        <v>6475</v>
      </c>
      <c r="N156" s="2" t="s">
        <v>6094</v>
      </c>
      <c r="O156" s="18">
        <v>43677</v>
      </c>
    </row>
    <row r="157" spans="1:16" hidden="1" outlineLevel="1">
      <c r="A157" s="1">
        <v>6</v>
      </c>
      <c r="D157" s="1" t="s">
        <v>5142</v>
      </c>
      <c r="E157" s="1" t="s">
        <v>5157</v>
      </c>
      <c r="F157" s="170" t="s">
        <v>5322</v>
      </c>
      <c r="M157" s="2" t="s">
        <v>6476</v>
      </c>
      <c r="N157" s="2" t="s">
        <v>6103</v>
      </c>
      <c r="O157" s="18">
        <v>43676</v>
      </c>
    </row>
    <row r="158" spans="1:16" hidden="1" outlineLevel="1">
      <c r="A158" s="1">
        <v>7</v>
      </c>
      <c r="D158" s="1" t="s">
        <v>5142</v>
      </c>
      <c r="E158" s="1" t="s">
        <v>5157</v>
      </c>
      <c r="F158" s="170" t="s">
        <v>5323</v>
      </c>
      <c r="M158" s="2" t="s">
        <v>6477</v>
      </c>
      <c r="N158" s="2" t="s">
        <v>6104</v>
      </c>
      <c r="O158" s="18">
        <v>43671</v>
      </c>
    </row>
    <row r="159" spans="1:16" hidden="1" outlineLevel="1">
      <c r="A159" s="1">
        <v>8</v>
      </c>
      <c r="D159" s="1" t="s">
        <v>5142</v>
      </c>
      <c r="E159" s="1" t="s">
        <v>5157</v>
      </c>
      <c r="F159" s="170" t="s">
        <v>5324</v>
      </c>
      <c r="M159" s="2" t="s">
        <v>6471</v>
      </c>
      <c r="N159" s="2" t="s">
        <v>6105</v>
      </c>
      <c r="O159" s="18">
        <v>43670</v>
      </c>
    </row>
    <row r="160" spans="1:16" hidden="1" outlineLevel="1">
      <c r="A160" s="1">
        <v>9</v>
      </c>
      <c r="D160" s="1" t="s">
        <v>5142</v>
      </c>
      <c r="E160" s="1" t="s">
        <v>5157</v>
      </c>
      <c r="F160" s="170" t="s">
        <v>5325</v>
      </c>
      <c r="M160" s="2" t="s">
        <v>6478</v>
      </c>
      <c r="N160" s="2" t="s">
        <v>6106</v>
      </c>
      <c r="O160" s="18">
        <v>43670</v>
      </c>
    </row>
    <row r="161" spans="1:16" hidden="1" outlineLevel="1">
      <c r="A161" s="1">
        <v>10</v>
      </c>
      <c r="D161" s="1" t="s">
        <v>5142</v>
      </c>
      <c r="E161" s="1" t="s">
        <v>5157</v>
      </c>
      <c r="F161" s="170" t="s">
        <v>5326</v>
      </c>
      <c r="M161" s="2" t="s">
        <v>6479</v>
      </c>
      <c r="N161" s="2" t="s">
        <v>6090</v>
      </c>
      <c r="O161" s="18">
        <v>43670</v>
      </c>
    </row>
    <row r="162" spans="1:16" hidden="1" outlineLevel="1">
      <c r="A162" s="8"/>
      <c r="B162" s="58"/>
      <c r="C162" s="159"/>
      <c r="D162" s="8"/>
      <c r="E162" s="8"/>
      <c r="F162" s="171"/>
      <c r="G162" s="8"/>
      <c r="H162" s="8"/>
      <c r="I162" s="8"/>
      <c r="J162" s="58"/>
      <c r="K162" s="8"/>
      <c r="L162" s="58"/>
      <c r="M162" s="8"/>
      <c r="N162" s="8"/>
      <c r="O162" s="58"/>
      <c r="P162" s="8"/>
    </row>
    <row r="163" spans="1:16" hidden="1" outlineLevel="1">
      <c r="A163" s="1">
        <v>1</v>
      </c>
      <c r="B163" s="11">
        <v>43677</v>
      </c>
      <c r="C163" s="160" t="s">
        <v>7050</v>
      </c>
      <c r="D163" s="1" t="s">
        <v>5143</v>
      </c>
      <c r="E163" s="1" t="s">
        <v>5157</v>
      </c>
      <c r="F163" s="170" t="s">
        <v>5327</v>
      </c>
      <c r="M163" s="2" t="s">
        <v>6480</v>
      </c>
      <c r="N163" s="2" t="s">
        <v>6107</v>
      </c>
      <c r="O163" s="18">
        <v>43691</v>
      </c>
    </row>
    <row r="164" spans="1:16" hidden="1" outlineLevel="1">
      <c r="A164" s="1">
        <v>2</v>
      </c>
      <c r="F164" s="170" t="s">
        <v>5328</v>
      </c>
      <c r="M164" s="2" t="s">
        <v>6481</v>
      </c>
      <c r="N164" s="2" t="s">
        <v>6107</v>
      </c>
      <c r="O164" s="18">
        <v>43691</v>
      </c>
    </row>
    <row r="165" spans="1:16" hidden="1" outlineLevel="1">
      <c r="A165" s="1">
        <v>3</v>
      </c>
      <c r="F165" s="170" t="s">
        <v>5329</v>
      </c>
      <c r="M165" s="2" t="s">
        <v>6482</v>
      </c>
      <c r="N165" s="2" t="s">
        <v>1936</v>
      </c>
      <c r="O165" s="18">
        <v>43697</v>
      </c>
    </row>
    <row r="166" spans="1:16" hidden="1" outlineLevel="1">
      <c r="A166" s="1">
        <v>4</v>
      </c>
      <c r="F166" s="170" t="s">
        <v>5330</v>
      </c>
      <c r="M166" s="2" t="s">
        <v>6483</v>
      </c>
      <c r="N166" s="2" t="s">
        <v>6108</v>
      </c>
      <c r="O166" s="18">
        <v>43706</v>
      </c>
    </row>
    <row r="167" spans="1:16" hidden="1" outlineLevel="1">
      <c r="A167" s="1">
        <v>5</v>
      </c>
      <c r="F167" s="170" t="s">
        <v>5331</v>
      </c>
      <c r="M167" s="2" t="s">
        <v>6484</v>
      </c>
      <c r="N167" s="2" t="s">
        <v>6109</v>
      </c>
      <c r="O167" s="18">
        <v>43706</v>
      </c>
    </row>
    <row r="168" spans="1:16" hidden="1" outlineLevel="1">
      <c r="A168" s="1">
        <v>6</v>
      </c>
      <c r="F168" s="170" t="s">
        <v>5332</v>
      </c>
      <c r="M168" s="2" t="s">
        <v>6485</v>
      </c>
      <c r="N168" s="2" t="s">
        <v>4587</v>
      </c>
      <c r="O168" s="18">
        <v>43707</v>
      </c>
    </row>
    <row r="169" spans="1:16" hidden="1" outlineLevel="1">
      <c r="A169" s="1">
        <v>7</v>
      </c>
      <c r="F169" s="170" t="s">
        <v>5333</v>
      </c>
      <c r="M169" s="2" t="s">
        <v>6486</v>
      </c>
      <c r="N169" s="2" t="s">
        <v>4587</v>
      </c>
      <c r="O169" s="18">
        <v>43713</v>
      </c>
    </row>
    <row r="170" spans="1:16" hidden="1" outlineLevel="1">
      <c r="A170" s="1">
        <v>8</v>
      </c>
      <c r="F170" s="170" t="s">
        <v>5334</v>
      </c>
      <c r="M170" s="2" t="s">
        <v>6487</v>
      </c>
      <c r="N170" s="2" t="s">
        <v>6043</v>
      </c>
      <c r="O170" s="18">
        <v>43713</v>
      </c>
    </row>
    <row r="171" spans="1:16" hidden="1" outlineLevel="1">
      <c r="A171" s="1">
        <v>9</v>
      </c>
      <c r="F171" s="170" t="s">
        <v>5335</v>
      </c>
      <c r="M171" s="2" t="s">
        <v>6488</v>
      </c>
      <c r="N171" s="2" t="s">
        <v>6110</v>
      </c>
      <c r="O171" s="18">
        <v>43714</v>
      </c>
    </row>
    <row r="172" spans="1:16" hidden="1" outlineLevel="1">
      <c r="A172" s="1">
        <v>10</v>
      </c>
      <c r="F172" s="170" t="s">
        <v>5336</v>
      </c>
      <c r="M172" s="2" t="s">
        <v>6489</v>
      </c>
      <c r="N172" s="2" t="s">
        <v>6043</v>
      </c>
      <c r="O172" s="18">
        <v>43714</v>
      </c>
    </row>
    <row r="173" spans="1:16" hidden="1" outlineLevel="1">
      <c r="A173" s="8"/>
      <c r="B173" s="58"/>
      <c r="C173" s="159"/>
      <c r="D173" s="8"/>
      <c r="E173" s="8"/>
      <c r="F173" s="171"/>
      <c r="G173" s="8"/>
      <c r="H173" s="8"/>
      <c r="I173" s="8"/>
      <c r="J173" s="58"/>
      <c r="K173" s="8"/>
      <c r="L173" s="58"/>
      <c r="M173" s="8"/>
      <c r="N173" s="8"/>
      <c r="O173" s="58"/>
      <c r="P173" s="8"/>
    </row>
    <row r="174" spans="1:16" hidden="1" outlineLevel="1">
      <c r="A174" s="1">
        <v>1</v>
      </c>
      <c r="B174" s="11">
        <v>43712</v>
      </c>
      <c r="C174" s="160" t="s">
        <v>7051</v>
      </c>
      <c r="D174" s="1" t="s">
        <v>5143</v>
      </c>
      <c r="E174" s="1" t="s">
        <v>5158</v>
      </c>
      <c r="F174" s="170" t="s">
        <v>5337</v>
      </c>
      <c r="M174" s="2" t="s">
        <v>6490</v>
      </c>
      <c r="N174" s="2" t="s">
        <v>6111</v>
      </c>
      <c r="O174" s="18">
        <v>43749</v>
      </c>
    </row>
    <row r="175" spans="1:16" hidden="1" outlineLevel="1">
      <c r="A175" s="1">
        <v>2</v>
      </c>
      <c r="F175" s="170" t="s">
        <v>5338</v>
      </c>
      <c r="M175" s="2" t="s">
        <v>6491</v>
      </c>
      <c r="N175" s="2" t="s">
        <v>1637</v>
      </c>
      <c r="O175" s="18">
        <v>43747</v>
      </c>
    </row>
    <row r="176" spans="1:16" hidden="1" outlineLevel="1">
      <c r="A176" s="1">
        <v>3</v>
      </c>
      <c r="F176" s="170" t="s">
        <v>5339</v>
      </c>
      <c r="M176" s="2" t="s">
        <v>6492</v>
      </c>
      <c r="N176" s="2" t="s">
        <v>6112</v>
      </c>
      <c r="O176" s="18">
        <v>43752</v>
      </c>
    </row>
    <row r="177" spans="1:16" hidden="1" outlineLevel="1">
      <c r="A177" s="1">
        <v>4</v>
      </c>
      <c r="F177" s="170" t="s">
        <v>5340</v>
      </c>
      <c r="M177" s="2" t="s">
        <v>6493</v>
      </c>
      <c r="N177" s="2" t="s">
        <v>6113</v>
      </c>
      <c r="O177" s="18">
        <v>43746</v>
      </c>
    </row>
    <row r="178" spans="1:16" hidden="1" outlineLevel="1">
      <c r="A178" s="1">
        <v>5</v>
      </c>
      <c r="F178" s="170" t="s">
        <v>5341</v>
      </c>
      <c r="M178" s="2" t="s">
        <v>6494</v>
      </c>
      <c r="N178" s="2" t="s">
        <v>6100</v>
      </c>
      <c r="O178" s="18">
        <v>43741</v>
      </c>
    </row>
    <row r="179" spans="1:16" hidden="1" outlineLevel="1">
      <c r="A179" s="1">
        <v>6</v>
      </c>
      <c r="F179" s="170" t="s">
        <v>5342</v>
      </c>
      <c r="M179" s="2" t="s">
        <v>6495</v>
      </c>
      <c r="N179" s="2" t="s">
        <v>6114</v>
      </c>
      <c r="O179" s="18">
        <v>43740</v>
      </c>
    </row>
    <row r="180" spans="1:16" hidden="1" outlineLevel="1">
      <c r="A180" s="1">
        <v>7</v>
      </c>
      <c r="F180" s="170" t="s">
        <v>5343</v>
      </c>
      <c r="M180" s="2" t="s">
        <v>6496</v>
      </c>
      <c r="N180" s="2" t="s">
        <v>6115</v>
      </c>
      <c r="O180" s="18">
        <v>43739</v>
      </c>
    </row>
    <row r="181" spans="1:16" hidden="1" outlineLevel="1">
      <c r="A181" s="1">
        <v>8</v>
      </c>
      <c r="F181" s="170" t="s">
        <v>5344</v>
      </c>
      <c r="M181" s="2" t="s">
        <v>6497</v>
      </c>
      <c r="N181" s="2" t="s">
        <v>6116</v>
      </c>
      <c r="O181" s="18">
        <v>43739</v>
      </c>
    </row>
    <row r="182" spans="1:16" hidden="1" outlineLevel="1">
      <c r="A182" s="1">
        <v>9</v>
      </c>
      <c r="F182" s="170" t="s">
        <v>5345</v>
      </c>
      <c r="M182" s="2" t="s">
        <v>6498</v>
      </c>
      <c r="N182" s="2" t="s">
        <v>4607</v>
      </c>
      <c r="O182" s="18">
        <v>43738</v>
      </c>
    </row>
    <row r="183" spans="1:16" hidden="1" outlineLevel="1">
      <c r="A183" s="1">
        <v>10</v>
      </c>
      <c r="F183" s="170" t="s">
        <v>5346</v>
      </c>
      <c r="M183" s="2" t="s">
        <v>6499</v>
      </c>
      <c r="N183" s="2" t="s">
        <v>4647</v>
      </c>
      <c r="O183" s="18">
        <v>43734</v>
      </c>
    </row>
    <row r="184" spans="1:16" hidden="1" outlineLevel="1">
      <c r="A184" s="1">
        <v>11</v>
      </c>
      <c r="F184" s="170" t="s">
        <v>5347</v>
      </c>
      <c r="M184" s="2" t="s">
        <v>6500</v>
      </c>
      <c r="N184" s="2" t="s">
        <v>6117</v>
      </c>
      <c r="O184" s="18">
        <v>43734</v>
      </c>
    </row>
    <row r="185" spans="1:16" hidden="1" outlineLevel="1">
      <c r="A185" s="1">
        <v>12</v>
      </c>
      <c r="F185" s="170" t="s">
        <v>5348</v>
      </c>
      <c r="M185" s="2" t="s">
        <v>6501</v>
      </c>
      <c r="N185" s="2" t="s">
        <v>6118</v>
      </c>
      <c r="O185" s="18">
        <v>43728</v>
      </c>
    </row>
    <row r="186" spans="1:16" hidden="1" outlineLevel="1">
      <c r="A186" s="1">
        <v>13</v>
      </c>
      <c r="F186" s="170" t="s">
        <v>5349</v>
      </c>
      <c r="M186" s="2" t="s">
        <v>6502</v>
      </c>
      <c r="N186" s="2" t="s">
        <v>6119</v>
      </c>
      <c r="O186" s="18">
        <v>43727</v>
      </c>
    </row>
    <row r="187" spans="1:16" hidden="1" outlineLevel="1">
      <c r="A187" s="1">
        <v>14</v>
      </c>
      <c r="F187" s="170" t="s">
        <v>5350</v>
      </c>
      <c r="M187" s="2" t="s">
        <v>6503</v>
      </c>
      <c r="N187" s="2" t="s">
        <v>4587</v>
      </c>
      <c r="O187" s="18">
        <v>43726</v>
      </c>
    </row>
    <row r="188" spans="1:16" hidden="1" outlineLevel="1">
      <c r="A188" s="1">
        <v>15</v>
      </c>
      <c r="F188" s="170" t="s">
        <v>5351</v>
      </c>
      <c r="M188" s="2" t="s">
        <v>6504</v>
      </c>
      <c r="N188" s="2" t="s">
        <v>6120</v>
      </c>
      <c r="O188" s="18">
        <v>43725</v>
      </c>
    </row>
    <row r="189" spans="1:16" hidden="1" outlineLevel="1">
      <c r="A189" s="8"/>
      <c r="B189" s="58"/>
      <c r="C189" s="159"/>
      <c r="D189" s="8"/>
      <c r="E189" s="8"/>
      <c r="F189" s="171"/>
      <c r="G189" s="8"/>
      <c r="H189" s="8"/>
      <c r="I189" s="8"/>
      <c r="J189" s="58"/>
      <c r="K189" s="8"/>
      <c r="L189" s="58"/>
      <c r="M189" s="8"/>
      <c r="N189" s="8"/>
      <c r="O189" s="58"/>
      <c r="P189" s="8"/>
    </row>
    <row r="190" spans="1:16" hidden="1" outlineLevel="1">
      <c r="A190" s="1">
        <v>1</v>
      </c>
      <c r="B190" s="11">
        <v>43749</v>
      </c>
      <c r="C190" s="160" t="s">
        <v>7052</v>
      </c>
      <c r="D190" s="1" t="s">
        <v>5144</v>
      </c>
      <c r="E190" s="1" t="s">
        <v>5157</v>
      </c>
      <c r="F190" s="170" t="s">
        <v>5352</v>
      </c>
      <c r="M190" s="2" t="s">
        <v>6505</v>
      </c>
      <c r="N190" s="2" t="s">
        <v>6121</v>
      </c>
      <c r="O190" s="18">
        <v>43752</v>
      </c>
    </row>
    <row r="191" spans="1:16" hidden="1" outlineLevel="1">
      <c r="A191" s="1">
        <v>2</v>
      </c>
      <c r="F191" s="170" t="s">
        <v>5353</v>
      </c>
      <c r="M191" s="2" t="s">
        <v>6506</v>
      </c>
      <c r="N191" s="2" t="s">
        <v>6070</v>
      </c>
      <c r="O191" s="18">
        <v>43753</v>
      </c>
    </row>
    <row r="192" spans="1:16" hidden="1" outlineLevel="1">
      <c r="A192" s="1">
        <v>3</v>
      </c>
      <c r="F192" s="170" t="s">
        <v>5354</v>
      </c>
      <c r="M192" s="2" t="s">
        <v>6507</v>
      </c>
      <c r="N192" s="2" t="s">
        <v>6053</v>
      </c>
      <c r="O192" s="18">
        <v>43760</v>
      </c>
    </row>
    <row r="193" spans="1:16" hidden="1" outlineLevel="1">
      <c r="A193" s="1">
        <v>4</v>
      </c>
      <c r="F193" s="170" t="s">
        <v>5355</v>
      </c>
      <c r="M193" s="2" t="s">
        <v>6508</v>
      </c>
      <c r="N193" s="2" t="s">
        <v>6122</v>
      </c>
      <c r="O193" s="18">
        <v>43766</v>
      </c>
    </row>
    <row r="194" spans="1:16" hidden="1" outlineLevel="1">
      <c r="A194" s="1">
        <v>5</v>
      </c>
      <c r="F194" s="170" t="s">
        <v>5356</v>
      </c>
      <c r="M194" s="2" t="s">
        <v>6509</v>
      </c>
      <c r="N194" s="2" t="s">
        <v>6123</v>
      </c>
      <c r="O194" s="18">
        <v>43768</v>
      </c>
    </row>
    <row r="195" spans="1:16" hidden="1" outlineLevel="1">
      <c r="A195" s="1">
        <v>6</v>
      </c>
      <c r="F195" s="170" t="s">
        <v>5357</v>
      </c>
      <c r="M195" s="2" t="s">
        <v>6510</v>
      </c>
      <c r="N195" s="2" t="s">
        <v>6124</v>
      </c>
      <c r="O195" s="18">
        <v>43769</v>
      </c>
    </row>
    <row r="196" spans="1:16" hidden="1" outlineLevel="1">
      <c r="A196" s="1">
        <v>7</v>
      </c>
      <c r="F196" s="170" t="s">
        <v>5358</v>
      </c>
      <c r="M196" s="2" t="s">
        <v>6511</v>
      </c>
      <c r="N196" s="2" t="s">
        <v>4600</v>
      </c>
      <c r="O196" s="18">
        <v>43774</v>
      </c>
    </row>
    <row r="197" spans="1:16" hidden="1" outlineLevel="1">
      <c r="A197" s="1">
        <v>8</v>
      </c>
      <c r="F197" s="170" t="s">
        <v>5359</v>
      </c>
      <c r="M197" s="2" t="s">
        <v>6512</v>
      </c>
      <c r="N197" s="2" t="s">
        <v>6125</v>
      </c>
      <c r="O197" s="18">
        <v>43775</v>
      </c>
    </row>
    <row r="198" spans="1:16" hidden="1" outlineLevel="1">
      <c r="A198" s="1">
        <v>9</v>
      </c>
      <c r="F198" s="170" t="s">
        <v>5360</v>
      </c>
      <c r="M198" s="2" t="s">
        <v>6513</v>
      </c>
      <c r="N198" s="2" t="s">
        <v>6126</v>
      </c>
      <c r="O198" s="18">
        <v>43777</v>
      </c>
    </row>
    <row r="199" spans="1:16" hidden="1" outlineLevel="1">
      <c r="A199" s="1">
        <v>10</v>
      </c>
      <c r="F199" s="170" t="s">
        <v>5361</v>
      </c>
      <c r="M199" s="2" t="s">
        <v>6514</v>
      </c>
      <c r="N199" s="2" t="s">
        <v>6127</v>
      </c>
      <c r="O199" s="18">
        <v>43775</v>
      </c>
    </row>
    <row r="200" spans="1:16" hidden="1" outlineLevel="1">
      <c r="A200" s="8"/>
      <c r="B200" s="58"/>
      <c r="C200" s="159"/>
      <c r="D200" s="8"/>
      <c r="E200" s="8"/>
      <c r="F200" s="171"/>
      <c r="G200" s="8"/>
      <c r="H200" s="8"/>
      <c r="I200" s="8"/>
      <c r="J200" s="58"/>
      <c r="K200" s="8"/>
      <c r="L200" s="58"/>
      <c r="M200" s="8"/>
      <c r="N200" s="8"/>
      <c r="O200" s="58"/>
      <c r="P200" s="8"/>
    </row>
    <row r="201" spans="1:16" hidden="1" outlineLevel="1">
      <c r="A201" s="1">
        <v>1</v>
      </c>
      <c r="B201" s="11">
        <v>43775</v>
      </c>
      <c r="C201" s="160" t="s">
        <v>7053</v>
      </c>
      <c r="D201" s="1" t="s">
        <v>5145</v>
      </c>
      <c r="E201" s="1" t="s">
        <v>5159</v>
      </c>
      <c r="F201" s="170" t="s">
        <v>5362</v>
      </c>
      <c r="M201" s="2" t="s">
        <v>6515</v>
      </c>
      <c r="N201" s="2" t="s">
        <v>4678</v>
      </c>
      <c r="O201" s="18">
        <v>44150</v>
      </c>
    </row>
    <row r="202" spans="1:16" hidden="1" outlineLevel="1">
      <c r="A202" s="1">
        <v>2</v>
      </c>
      <c r="F202" s="170" t="s">
        <v>5363</v>
      </c>
      <c r="M202" s="2" t="s">
        <v>6516</v>
      </c>
      <c r="N202" s="2" t="s">
        <v>6128</v>
      </c>
      <c r="O202" s="18">
        <v>44148</v>
      </c>
    </row>
    <row r="203" spans="1:16" hidden="1" outlineLevel="1">
      <c r="A203" s="1">
        <v>3</v>
      </c>
      <c r="F203" s="170" t="s">
        <v>5364</v>
      </c>
      <c r="M203" s="2" t="s">
        <v>6517</v>
      </c>
      <c r="N203" s="2" t="s">
        <v>6128</v>
      </c>
      <c r="O203" s="18">
        <v>44150</v>
      </c>
    </row>
    <row r="204" spans="1:16" hidden="1" outlineLevel="1">
      <c r="A204" s="1">
        <v>4</v>
      </c>
      <c r="F204" s="170" t="s">
        <v>5365</v>
      </c>
      <c r="M204" s="2" t="s">
        <v>6518</v>
      </c>
      <c r="N204" s="2" t="s">
        <v>6129</v>
      </c>
      <c r="O204" s="18">
        <v>44147</v>
      </c>
    </row>
    <row r="205" spans="1:16" hidden="1" outlineLevel="1">
      <c r="A205" s="1">
        <v>5</v>
      </c>
      <c r="F205" s="170" t="s">
        <v>5366</v>
      </c>
      <c r="M205" s="2" t="s">
        <v>6519</v>
      </c>
      <c r="N205" s="2" t="s">
        <v>6130</v>
      </c>
      <c r="O205" s="18">
        <v>44148</v>
      </c>
    </row>
    <row r="206" spans="1:16" hidden="1" outlineLevel="1">
      <c r="A206" s="8"/>
      <c r="B206" s="58"/>
      <c r="C206" s="159"/>
      <c r="D206" s="8"/>
      <c r="E206" s="8"/>
      <c r="F206" s="171"/>
      <c r="G206" s="8"/>
      <c r="H206" s="8"/>
      <c r="I206" s="8"/>
      <c r="J206" s="58"/>
      <c r="K206" s="8"/>
      <c r="L206" s="58"/>
      <c r="M206" s="8"/>
      <c r="N206" s="8"/>
      <c r="O206" s="58"/>
      <c r="P206" s="8"/>
    </row>
    <row r="207" spans="1:16" hidden="1" outlineLevel="1">
      <c r="A207" s="1">
        <v>1</v>
      </c>
      <c r="B207" s="11">
        <v>43781</v>
      </c>
      <c r="C207" s="160" t="s">
        <v>7054</v>
      </c>
      <c r="D207" s="1" t="s">
        <v>5145</v>
      </c>
      <c r="E207" s="1" t="s">
        <v>5160</v>
      </c>
      <c r="F207" s="170" t="s">
        <v>5367</v>
      </c>
    </row>
    <row r="208" spans="1:16" hidden="1" outlineLevel="1">
      <c r="A208" s="1">
        <v>2</v>
      </c>
      <c r="F208" s="170" t="s">
        <v>5368</v>
      </c>
      <c r="M208" s="2" t="s">
        <v>6520</v>
      </c>
      <c r="N208" s="2" t="s">
        <v>1936</v>
      </c>
      <c r="O208" s="18">
        <v>43790</v>
      </c>
    </row>
    <row r="209" spans="1:16" hidden="1" outlineLevel="1">
      <c r="A209" s="1">
        <v>3</v>
      </c>
      <c r="F209" s="170" t="s">
        <v>5369</v>
      </c>
      <c r="M209" s="2" t="s">
        <v>6521</v>
      </c>
      <c r="N209" s="2" t="s">
        <v>6131</v>
      </c>
      <c r="O209" s="18">
        <v>43789</v>
      </c>
    </row>
    <row r="210" spans="1:16" hidden="1" outlineLevel="1">
      <c r="A210" s="1">
        <v>4</v>
      </c>
      <c r="F210" s="170" t="s">
        <v>5370</v>
      </c>
      <c r="M210" s="2" t="s">
        <v>6522</v>
      </c>
      <c r="N210" s="2" t="s">
        <v>6132</v>
      </c>
      <c r="O210" s="18">
        <v>43787</v>
      </c>
    </row>
    <row r="211" spans="1:16" hidden="1" outlineLevel="1">
      <c r="A211" s="1">
        <v>5</v>
      </c>
      <c r="F211" s="170" t="s">
        <v>5371</v>
      </c>
      <c r="M211" s="2" t="s">
        <v>6523</v>
      </c>
      <c r="N211" s="2" t="s">
        <v>4675</v>
      </c>
      <c r="O211" s="18">
        <v>43787</v>
      </c>
    </row>
    <row r="212" spans="1:16" hidden="1" outlineLevel="1">
      <c r="A212" s="1">
        <v>6</v>
      </c>
      <c r="F212" s="170" t="s">
        <v>5372</v>
      </c>
      <c r="M212" s="2" t="s">
        <v>6524</v>
      </c>
      <c r="N212" s="2" t="s">
        <v>6133</v>
      </c>
      <c r="O212" s="18">
        <v>43804</v>
      </c>
    </row>
    <row r="213" spans="1:16" hidden="1" outlineLevel="1">
      <c r="A213" s="1">
        <v>7</v>
      </c>
      <c r="F213" s="170" t="s">
        <v>5373</v>
      </c>
      <c r="M213" s="2" t="s">
        <v>6525</v>
      </c>
      <c r="N213" s="2" t="s">
        <v>6134</v>
      </c>
      <c r="O213" s="18">
        <v>43789</v>
      </c>
    </row>
    <row r="214" spans="1:16" hidden="1" outlineLevel="1">
      <c r="A214" s="1">
        <v>8</v>
      </c>
      <c r="F214" s="170" t="s">
        <v>5374</v>
      </c>
      <c r="M214" s="2" t="s">
        <v>6526</v>
      </c>
      <c r="N214" s="2" t="s">
        <v>6135</v>
      </c>
      <c r="O214" s="18">
        <v>43788</v>
      </c>
    </row>
    <row r="215" spans="1:16" hidden="1" outlineLevel="1">
      <c r="A215" s="1">
        <v>9</v>
      </c>
      <c r="F215" s="170" t="s">
        <v>5375</v>
      </c>
      <c r="M215" s="2" t="s">
        <v>6527</v>
      </c>
      <c r="N215" s="2" t="s">
        <v>6128</v>
      </c>
      <c r="O215" s="18">
        <v>43791</v>
      </c>
    </row>
    <row r="216" spans="1:16" hidden="1" outlineLevel="1">
      <c r="A216" s="1">
        <v>10</v>
      </c>
      <c r="F216" s="170" t="s">
        <v>5376</v>
      </c>
      <c r="M216" s="2" t="s">
        <v>6528</v>
      </c>
      <c r="N216" s="2" t="s">
        <v>4607</v>
      </c>
      <c r="O216" s="18">
        <v>43788</v>
      </c>
    </row>
    <row r="217" spans="1:16" hidden="1" outlineLevel="1">
      <c r="A217" s="8"/>
      <c r="B217" s="58"/>
      <c r="C217" s="159"/>
      <c r="D217" s="8"/>
      <c r="E217" s="8"/>
      <c r="F217" s="171"/>
      <c r="G217" s="8"/>
      <c r="H217" s="8"/>
      <c r="I217" s="8"/>
      <c r="J217" s="58"/>
      <c r="K217" s="8"/>
      <c r="L217" s="58"/>
      <c r="M217" s="8"/>
      <c r="N217" s="8"/>
      <c r="O217" s="58"/>
      <c r="P217" s="8"/>
    </row>
    <row r="218" spans="1:16" hidden="1" outlineLevel="1">
      <c r="A218" s="1">
        <v>1</v>
      </c>
      <c r="B218" s="11">
        <v>43788</v>
      </c>
      <c r="C218" s="160" t="s">
        <v>7055</v>
      </c>
      <c r="D218" s="1" t="s">
        <v>5145</v>
      </c>
      <c r="E218" s="1" t="s">
        <v>5161</v>
      </c>
      <c r="F218" s="170" t="s">
        <v>5377</v>
      </c>
      <c r="M218" s="2" t="s">
        <v>6529</v>
      </c>
      <c r="N218" s="2" t="s">
        <v>1936</v>
      </c>
      <c r="O218" s="18">
        <v>43796</v>
      </c>
    </row>
    <row r="219" spans="1:16" hidden="1" outlineLevel="1">
      <c r="A219" s="1">
        <v>2</v>
      </c>
      <c r="F219" s="170" t="s">
        <v>5378</v>
      </c>
      <c r="M219" s="2" t="s">
        <v>6530</v>
      </c>
      <c r="N219" s="2" t="s">
        <v>4600</v>
      </c>
      <c r="O219" s="18">
        <v>43810</v>
      </c>
    </row>
    <row r="220" spans="1:16" hidden="1" outlineLevel="1">
      <c r="A220" s="1">
        <v>3</v>
      </c>
      <c r="F220" s="170" t="s">
        <v>5379</v>
      </c>
      <c r="M220" s="2" t="s">
        <v>6531</v>
      </c>
      <c r="N220" s="2" t="s">
        <v>6136</v>
      </c>
      <c r="O220" s="18">
        <v>43796</v>
      </c>
    </row>
    <row r="221" spans="1:16" hidden="1" outlineLevel="1">
      <c r="A221" s="1">
        <v>4</v>
      </c>
      <c r="F221" s="170" t="s">
        <v>5380</v>
      </c>
      <c r="M221" s="2" t="s">
        <v>6532</v>
      </c>
      <c r="N221" s="2" t="s">
        <v>6128</v>
      </c>
      <c r="O221" s="18">
        <v>43796</v>
      </c>
    </row>
    <row r="222" spans="1:16" hidden="1" outlineLevel="1">
      <c r="A222" s="1">
        <v>5</v>
      </c>
      <c r="F222" s="170">
        <v>6463</v>
      </c>
      <c r="M222" s="2" t="s">
        <v>6533</v>
      </c>
      <c r="N222" s="2" t="s">
        <v>6137</v>
      </c>
      <c r="O222" s="18">
        <v>43823</v>
      </c>
    </row>
    <row r="223" spans="1:16" hidden="1" outlineLevel="1">
      <c r="A223" s="8"/>
      <c r="B223" s="58"/>
      <c r="C223" s="159"/>
      <c r="D223" s="8"/>
      <c r="E223" s="8"/>
      <c r="F223" s="171"/>
      <c r="G223" s="8"/>
      <c r="H223" s="8"/>
      <c r="I223" s="8"/>
      <c r="J223" s="58"/>
      <c r="K223" s="8"/>
      <c r="L223" s="58"/>
      <c r="M223" s="8"/>
      <c r="N223" s="8"/>
      <c r="O223" s="58"/>
      <c r="P223" s="8"/>
    </row>
    <row r="224" spans="1:16" hidden="1" outlineLevel="1">
      <c r="A224" s="1">
        <v>1</v>
      </c>
      <c r="B224" s="11">
        <v>43795</v>
      </c>
      <c r="C224" s="160">
        <v>4368</v>
      </c>
      <c r="D224" s="1" t="s">
        <v>5146</v>
      </c>
      <c r="E224" s="1" t="s">
        <v>5162</v>
      </c>
      <c r="F224" s="170" t="s">
        <v>5381</v>
      </c>
      <c r="M224" s="2" t="s">
        <v>6534</v>
      </c>
      <c r="N224" s="2" t="s">
        <v>3121</v>
      </c>
      <c r="O224" s="18">
        <v>43798</v>
      </c>
    </row>
    <row r="225" spans="1:15" hidden="1" outlineLevel="1">
      <c r="A225" s="1">
        <v>2</v>
      </c>
      <c r="F225" s="170" t="s">
        <v>5382</v>
      </c>
      <c r="M225" s="2" t="s">
        <v>6535</v>
      </c>
      <c r="N225" s="2" t="s">
        <v>6138</v>
      </c>
      <c r="O225" s="18">
        <v>43811</v>
      </c>
    </row>
    <row r="226" spans="1:15" hidden="1" outlineLevel="1">
      <c r="A226" s="1">
        <v>3</v>
      </c>
      <c r="F226" s="170" t="s">
        <v>5383</v>
      </c>
      <c r="M226" s="2" t="s">
        <v>6536</v>
      </c>
      <c r="N226" s="2" t="s">
        <v>6138</v>
      </c>
      <c r="O226" s="18" t="s">
        <v>6798</v>
      </c>
    </row>
    <row r="227" spans="1:15" hidden="1" outlineLevel="1">
      <c r="A227" s="1">
        <v>4</v>
      </c>
      <c r="F227" s="170" t="s">
        <v>5384</v>
      </c>
      <c r="M227" s="2" t="s">
        <v>6537</v>
      </c>
      <c r="N227" s="2" t="s">
        <v>6139</v>
      </c>
      <c r="O227" s="18">
        <v>43803</v>
      </c>
    </row>
    <row r="228" spans="1:15" hidden="1" outlineLevel="1">
      <c r="A228" s="1">
        <v>5</v>
      </c>
      <c r="F228" s="170" t="s">
        <v>5385</v>
      </c>
      <c r="M228" s="2" t="s">
        <v>6538</v>
      </c>
      <c r="N228" s="2" t="s">
        <v>6139</v>
      </c>
      <c r="O228" s="18">
        <v>43802</v>
      </c>
    </row>
    <row r="229" spans="1:15" hidden="1" outlineLevel="1">
      <c r="A229" s="1">
        <v>6</v>
      </c>
      <c r="F229" s="170" t="s">
        <v>5386</v>
      </c>
      <c r="M229" s="2" t="s">
        <v>6539</v>
      </c>
      <c r="N229" s="2" t="s">
        <v>6140</v>
      </c>
      <c r="O229" s="18">
        <v>43803</v>
      </c>
    </row>
    <row r="230" spans="1:15" hidden="1" outlineLevel="1">
      <c r="A230" s="1">
        <v>7</v>
      </c>
      <c r="F230" s="170" t="s">
        <v>5387</v>
      </c>
      <c r="M230" s="2" t="s">
        <v>6540</v>
      </c>
      <c r="N230" s="2" t="s">
        <v>6141</v>
      </c>
      <c r="O230" s="18">
        <v>43804</v>
      </c>
    </row>
    <row r="231" spans="1:15" hidden="1" outlineLevel="1">
      <c r="A231" s="1">
        <v>8</v>
      </c>
      <c r="F231" s="170" t="s">
        <v>5388</v>
      </c>
      <c r="M231" s="2" t="s">
        <v>6541</v>
      </c>
      <c r="N231" s="2" t="s">
        <v>6141</v>
      </c>
      <c r="O231" s="18">
        <v>43804</v>
      </c>
    </row>
    <row r="232" spans="1:15" hidden="1" outlineLevel="1">
      <c r="A232" s="1">
        <v>9</v>
      </c>
      <c r="F232" s="170" t="s">
        <v>5389</v>
      </c>
      <c r="M232" s="2" t="s">
        <v>6542</v>
      </c>
      <c r="N232" s="2" t="s">
        <v>6141</v>
      </c>
      <c r="O232" s="18">
        <v>43804</v>
      </c>
    </row>
    <row r="233" spans="1:15" hidden="1" outlineLevel="1">
      <c r="A233" s="1">
        <v>10</v>
      </c>
      <c r="F233" s="170" t="s">
        <v>5390</v>
      </c>
      <c r="N233" s="2" t="s">
        <v>6142</v>
      </c>
    </row>
    <row r="234" spans="1:15" hidden="1" outlineLevel="1">
      <c r="A234" s="1">
        <v>11</v>
      </c>
      <c r="F234" s="170" t="s">
        <v>5391</v>
      </c>
      <c r="M234" s="2" t="s">
        <v>6543</v>
      </c>
      <c r="N234" s="2" t="s">
        <v>6141</v>
      </c>
      <c r="O234" s="18">
        <v>43804</v>
      </c>
    </row>
    <row r="235" spans="1:15" hidden="1" outlineLevel="1">
      <c r="A235" s="1">
        <v>12</v>
      </c>
      <c r="F235" s="170" t="s">
        <v>5392</v>
      </c>
      <c r="M235" s="2" t="s">
        <v>6544</v>
      </c>
      <c r="N235" s="2" t="s">
        <v>6137</v>
      </c>
      <c r="O235" s="18">
        <v>43809</v>
      </c>
    </row>
    <row r="236" spans="1:15" hidden="1" outlineLevel="1">
      <c r="A236" s="1">
        <v>13</v>
      </c>
      <c r="F236" s="170" t="s">
        <v>5393</v>
      </c>
      <c r="M236" s="2" t="s">
        <v>6545</v>
      </c>
      <c r="N236" s="2" t="s">
        <v>4697</v>
      </c>
      <c r="O236" s="18">
        <v>43810</v>
      </c>
    </row>
    <row r="237" spans="1:15" hidden="1" outlineLevel="1">
      <c r="A237" s="1">
        <v>14</v>
      </c>
      <c r="F237" s="170" t="s">
        <v>5394</v>
      </c>
      <c r="M237" s="2" t="s">
        <v>6546</v>
      </c>
      <c r="N237" s="2" t="s">
        <v>6143</v>
      </c>
      <c r="O237" s="18">
        <v>43810</v>
      </c>
    </row>
    <row r="238" spans="1:15" hidden="1" outlineLevel="1">
      <c r="A238" s="1">
        <v>15</v>
      </c>
      <c r="F238" s="170" t="s">
        <v>5395</v>
      </c>
      <c r="M238" s="2" t="s">
        <v>6547</v>
      </c>
      <c r="N238" s="2" t="s">
        <v>6139</v>
      </c>
      <c r="O238" s="18">
        <v>43811</v>
      </c>
    </row>
    <row r="239" spans="1:15" hidden="1" outlineLevel="1">
      <c r="A239" s="1">
        <v>16</v>
      </c>
      <c r="F239" s="170" t="s">
        <v>5396</v>
      </c>
      <c r="M239" s="2" t="s">
        <v>6548</v>
      </c>
      <c r="N239" s="2" t="s">
        <v>6144</v>
      </c>
      <c r="O239" s="18">
        <v>43811</v>
      </c>
    </row>
    <row r="240" spans="1:15" hidden="1" outlineLevel="1">
      <c r="A240" s="1">
        <v>17</v>
      </c>
      <c r="F240" s="170" t="s">
        <v>5397</v>
      </c>
      <c r="M240" s="2" t="s">
        <v>6549</v>
      </c>
      <c r="N240" s="2" t="s">
        <v>6137</v>
      </c>
      <c r="O240" s="18">
        <v>43812</v>
      </c>
    </row>
    <row r="241" spans="1:16" hidden="1" outlineLevel="1">
      <c r="A241" s="1">
        <v>18</v>
      </c>
      <c r="F241" s="170" t="s">
        <v>5398</v>
      </c>
      <c r="M241" s="2" t="s">
        <v>6550</v>
      </c>
      <c r="N241" s="2" t="s">
        <v>6145</v>
      </c>
      <c r="O241" s="18">
        <v>43815</v>
      </c>
    </row>
    <row r="242" spans="1:16" hidden="1" outlineLevel="1">
      <c r="A242" s="1">
        <v>19</v>
      </c>
      <c r="F242" s="170" t="s">
        <v>5399</v>
      </c>
      <c r="M242" s="2" t="s">
        <v>6551</v>
      </c>
      <c r="N242" s="2" t="s">
        <v>1257</v>
      </c>
      <c r="O242" s="18">
        <v>43819</v>
      </c>
    </row>
    <row r="243" spans="1:16" hidden="1" outlineLevel="1">
      <c r="A243" s="1">
        <v>20</v>
      </c>
      <c r="F243" s="170" t="s">
        <v>5400</v>
      </c>
      <c r="M243" s="2" t="s">
        <v>6552</v>
      </c>
      <c r="N243" s="2" t="s">
        <v>1257</v>
      </c>
      <c r="O243" s="18">
        <v>43819</v>
      </c>
    </row>
    <row r="244" spans="1:16" hidden="1" outlineLevel="1">
      <c r="A244" s="1">
        <v>21</v>
      </c>
      <c r="F244" s="170" t="s">
        <v>5401</v>
      </c>
      <c r="M244" s="2" t="s">
        <v>6553</v>
      </c>
      <c r="N244" s="2" t="s">
        <v>6146</v>
      </c>
      <c r="O244" s="18">
        <v>43825</v>
      </c>
    </row>
    <row r="245" spans="1:16" hidden="1" outlineLevel="1">
      <c r="A245" s="1">
        <v>22</v>
      </c>
      <c r="F245" s="170" t="s">
        <v>5402</v>
      </c>
      <c r="M245" s="2" t="s">
        <v>6554</v>
      </c>
      <c r="N245" s="2" t="s">
        <v>6137</v>
      </c>
      <c r="O245" s="18">
        <v>43825</v>
      </c>
    </row>
    <row r="246" spans="1:16" hidden="1" outlineLevel="1">
      <c r="A246" s="1">
        <v>23</v>
      </c>
      <c r="F246" s="170" t="s">
        <v>5403</v>
      </c>
      <c r="M246" s="2" t="s">
        <v>6555</v>
      </c>
      <c r="N246" s="2" t="s">
        <v>6146</v>
      </c>
      <c r="O246" s="18">
        <v>43825</v>
      </c>
    </row>
    <row r="247" spans="1:16" hidden="1" outlineLevel="1">
      <c r="A247" s="1">
        <v>24</v>
      </c>
      <c r="F247" s="170" t="s">
        <v>5404</v>
      </c>
      <c r="M247" s="2" t="s">
        <v>6556</v>
      </c>
      <c r="N247" s="2" t="s">
        <v>6147</v>
      </c>
      <c r="O247" s="18">
        <v>43829</v>
      </c>
    </row>
    <row r="248" spans="1:16" hidden="1" outlineLevel="1">
      <c r="A248" s="1">
        <v>25</v>
      </c>
      <c r="F248" s="170" t="s">
        <v>5405</v>
      </c>
      <c r="M248" s="2" t="s">
        <v>6557</v>
      </c>
      <c r="N248" s="2" t="s">
        <v>4786</v>
      </c>
      <c r="O248" s="18">
        <v>43829</v>
      </c>
    </row>
    <row r="249" spans="1:16" hidden="1" outlineLevel="1">
      <c r="A249" s="1">
        <v>26</v>
      </c>
      <c r="F249" s="170" t="s">
        <v>5406</v>
      </c>
      <c r="M249" s="2" t="s">
        <v>6558</v>
      </c>
      <c r="N249" s="2" t="s">
        <v>6148</v>
      </c>
      <c r="O249" s="18">
        <v>43844</v>
      </c>
    </row>
    <row r="250" spans="1:16" hidden="1" outlineLevel="1">
      <c r="A250" s="1">
        <v>27</v>
      </c>
      <c r="F250" s="170" t="s">
        <v>5407</v>
      </c>
      <c r="M250" s="2" t="s">
        <v>6559</v>
      </c>
      <c r="N250" s="2" t="s">
        <v>6044</v>
      </c>
      <c r="O250" s="18">
        <v>43847</v>
      </c>
    </row>
    <row r="251" spans="1:16" hidden="1" outlineLevel="1">
      <c r="A251" s="1">
        <v>28</v>
      </c>
      <c r="F251" s="170" t="s">
        <v>5408</v>
      </c>
      <c r="N251" s="2" t="s">
        <v>836</v>
      </c>
    </row>
    <row r="252" spans="1:16" hidden="1" outlineLevel="1">
      <c r="A252" s="1">
        <v>29</v>
      </c>
      <c r="F252" s="170" t="s">
        <v>5409</v>
      </c>
      <c r="N252" s="2" t="s">
        <v>836</v>
      </c>
    </row>
    <row r="253" spans="1:16" hidden="1" outlineLevel="1">
      <c r="A253" s="1">
        <v>30</v>
      </c>
      <c r="F253" s="170" t="s">
        <v>5410</v>
      </c>
      <c r="M253" s="2" t="s">
        <v>6560</v>
      </c>
      <c r="N253" s="2" t="s">
        <v>6149</v>
      </c>
      <c r="O253" s="18">
        <v>43822</v>
      </c>
    </row>
    <row r="254" spans="1:16" hidden="1" outlineLevel="1">
      <c r="A254" s="8"/>
      <c r="B254" s="58"/>
      <c r="C254" s="159"/>
      <c r="D254" s="8"/>
      <c r="E254" s="8"/>
      <c r="F254" s="171"/>
      <c r="G254" s="8"/>
      <c r="H254" s="8"/>
      <c r="I254" s="8"/>
      <c r="J254" s="58"/>
      <c r="K254" s="8"/>
      <c r="L254" s="58"/>
      <c r="M254" s="8"/>
      <c r="N254" s="8"/>
      <c r="O254" s="58"/>
      <c r="P254" s="8"/>
    </row>
    <row r="255" spans="1:16" hidden="1" outlineLevel="1">
      <c r="A255" s="1">
        <v>1</v>
      </c>
      <c r="B255" s="11">
        <v>43824</v>
      </c>
      <c r="C255" s="160">
        <v>4927</v>
      </c>
      <c r="D255" s="1" t="s">
        <v>5146</v>
      </c>
      <c r="E255" s="1" t="s">
        <v>5163</v>
      </c>
      <c r="F255" s="170" t="s">
        <v>5411</v>
      </c>
      <c r="N255" s="2" t="s">
        <v>836</v>
      </c>
    </row>
    <row r="256" spans="1:16" hidden="1" outlineLevel="1">
      <c r="A256" s="1">
        <v>2</v>
      </c>
      <c r="F256" s="170" t="s">
        <v>5412</v>
      </c>
      <c r="M256" s="2" t="s">
        <v>6561</v>
      </c>
      <c r="N256" s="2" t="s">
        <v>6150</v>
      </c>
      <c r="O256" s="18">
        <v>43868</v>
      </c>
    </row>
    <row r="257" spans="1:16" hidden="1" outlineLevel="1">
      <c r="A257" s="1">
        <v>3</v>
      </c>
      <c r="F257" s="170" t="s">
        <v>5413</v>
      </c>
      <c r="M257" s="2" t="s">
        <v>6562</v>
      </c>
      <c r="N257" s="2" t="s">
        <v>6151</v>
      </c>
      <c r="O257" s="18">
        <v>43868</v>
      </c>
    </row>
    <row r="258" spans="1:16" hidden="1" outlineLevel="1">
      <c r="A258" s="1">
        <v>4</v>
      </c>
      <c r="F258" s="170" t="s">
        <v>5414</v>
      </c>
      <c r="M258" s="2" t="s">
        <v>6563</v>
      </c>
      <c r="N258" s="2" t="s">
        <v>6152</v>
      </c>
      <c r="O258" s="18">
        <v>43871</v>
      </c>
    </row>
    <row r="259" spans="1:16" hidden="1" outlineLevel="1">
      <c r="A259" s="1">
        <v>5</v>
      </c>
      <c r="F259" s="170" t="s">
        <v>5415</v>
      </c>
      <c r="M259" s="2" t="s">
        <v>6564</v>
      </c>
      <c r="N259" s="2" t="s">
        <v>6152</v>
      </c>
      <c r="O259" s="18">
        <v>43871</v>
      </c>
    </row>
    <row r="260" spans="1:16" hidden="1" outlineLevel="1">
      <c r="A260" s="1">
        <v>6</v>
      </c>
      <c r="F260" s="170" t="s">
        <v>5416</v>
      </c>
      <c r="M260" s="2" t="s">
        <v>6565</v>
      </c>
      <c r="N260" s="2" t="s">
        <v>6152</v>
      </c>
      <c r="O260" s="18">
        <v>43871</v>
      </c>
    </row>
    <row r="261" spans="1:16" hidden="1" outlineLevel="1">
      <c r="A261" s="1">
        <v>7</v>
      </c>
      <c r="F261" s="170" t="s">
        <v>5417</v>
      </c>
      <c r="M261" s="2" t="s">
        <v>6566</v>
      </c>
      <c r="N261" s="2" t="s">
        <v>6152</v>
      </c>
      <c r="O261" s="18">
        <v>43871</v>
      </c>
    </row>
    <row r="262" spans="1:16" hidden="1" outlineLevel="1">
      <c r="A262" s="1">
        <v>8</v>
      </c>
      <c r="F262" s="170" t="s">
        <v>5418</v>
      </c>
      <c r="M262" s="2" t="s">
        <v>6567</v>
      </c>
      <c r="N262" s="2" t="s">
        <v>6073</v>
      </c>
      <c r="O262" s="18">
        <v>43873</v>
      </c>
    </row>
    <row r="263" spans="1:16" hidden="1" outlineLevel="1">
      <c r="A263" s="1">
        <v>9</v>
      </c>
      <c r="F263" s="170" t="s">
        <v>5419</v>
      </c>
      <c r="M263" s="2" t="s">
        <v>6568</v>
      </c>
      <c r="N263" s="2" t="s">
        <v>6153</v>
      </c>
      <c r="O263" s="18">
        <v>43880</v>
      </c>
    </row>
    <row r="264" spans="1:16" hidden="1" outlineLevel="1">
      <c r="A264" s="1">
        <v>10</v>
      </c>
      <c r="F264" s="170" t="s">
        <v>5420</v>
      </c>
      <c r="M264" s="2" t="s">
        <v>6569</v>
      </c>
      <c r="N264" s="2" t="s">
        <v>6154</v>
      </c>
      <c r="O264" s="18">
        <v>43880</v>
      </c>
    </row>
    <row r="265" spans="1:16" hidden="1" outlineLevel="1">
      <c r="A265" s="1">
        <v>11</v>
      </c>
      <c r="F265" s="170" t="s">
        <v>5421</v>
      </c>
      <c r="N265" s="2" t="s">
        <v>836</v>
      </c>
    </row>
    <row r="266" spans="1:16" collapsed="1">
      <c r="A266" s="8">
        <v>2020</v>
      </c>
      <c r="B266" s="58"/>
      <c r="C266" s="159"/>
      <c r="D266" s="8"/>
      <c r="E266" s="8"/>
      <c r="F266" s="171"/>
      <c r="G266" s="8"/>
      <c r="H266" s="8"/>
      <c r="I266" s="8"/>
      <c r="J266" s="58"/>
      <c r="K266" s="8"/>
      <c r="L266" s="58"/>
      <c r="M266" s="8"/>
      <c r="N266" s="8"/>
      <c r="O266" s="58"/>
      <c r="P266" s="8"/>
    </row>
    <row r="267" spans="1:16" hidden="1" outlineLevel="1">
      <c r="A267" s="1">
        <v>1</v>
      </c>
      <c r="B267" s="11">
        <v>43871</v>
      </c>
      <c r="C267" s="160">
        <v>504</v>
      </c>
      <c r="D267" s="1" t="s">
        <v>5146</v>
      </c>
      <c r="E267" s="1" t="s">
        <v>5164</v>
      </c>
      <c r="F267" s="170" t="s">
        <v>5422</v>
      </c>
      <c r="M267" s="2" t="s">
        <v>6570</v>
      </c>
      <c r="N267" s="2" t="s">
        <v>6087</v>
      </c>
      <c r="O267" s="18">
        <v>43880</v>
      </c>
    </row>
    <row r="268" spans="1:16" hidden="1" outlineLevel="1">
      <c r="A268" s="1">
        <v>2</v>
      </c>
      <c r="F268" s="170" t="s">
        <v>5423</v>
      </c>
      <c r="N268" s="2" t="s">
        <v>6155</v>
      </c>
    </row>
    <row r="269" spans="1:16" hidden="1" outlineLevel="1">
      <c r="A269" s="1">
        <v>3</v>
      </c>
      <c r="F269" s="170" t="s">
        <v>5424</v>
      </c>
      <c r="N269" s="2" t="s">
        <v>836</v>
      </c>
    </row>
    <row r="270" spans="1:16" hidden="1" outlineLevel="1">
      <c r="A270" s="1">
        <v>4</v>
      </c>
      <c r="F270" s="170" t="s">
        <v>5425</v>
      </c>
      <c r="M270" s="2" t="s">
        <v>6571</v>
      </c>
      <c r="N270" s="2" t="s">
        <v>6156</v>
      </c>
      <c r="O270" s="18">
        <v>43888</v>
      </c>
    </row>
    <row r="271" spans="1:16" hidden="1" outlineLevel="1">
      <c r="A271" s="1">
        <v>5</v>
      </c>
      <c r="F271" s="170" t="s">
        <v>5426</v>
      </c>
      <c r="M271" s="2" t="s">
        <v>6572</v>
      </c>
      <c r="N271" s="2" t="s">
        <v>6156</v>
      </c>
      <c r="O271" s="18">
        <v>43888</v>
      </c>
    </row>
    <row r="272" spans="1:16" hidden="1" outlineLevel="1">
      <c r="A272" s="1">
        <v>6</v>
      </c>
      <c r="F272" s="170" t="s">
        <v>5427</v>
      </c>
      <c r="M272" s="2" t="s">
        <v>6573</v>
      </c>
      <c r="N272" s="2" t="s">
        <v>6156</v>
      </c>
      <c r="O272" s="18">
        <v>43888</v>
      </c>
    </row>
    <row r="273" spans="1:16" hidden="1" outlineLevel="1">
      <c r="A273" s="1">
        <v>7</v>
      </c>
      <c r="F273" s="170" t="s">
        <v>5428</v>
      </c>
      <c r="N273" s="2" t="s">
        <v>836</v>
      </c>
    </row>
    <row r="274" spans="1:16" hidden="1" outlineLevel="1">
      <c r="A274" s="1">
        <v>8</v>
      </c>
      <c r="F274" s="170" t="s">
        <v>5429</v>
      </c>
      <c r="M274" s="2" t="s">
        <v>6574</v>
      </c>
      <c r="N274" s="2" t="s">
        <v>6157</v>
      </c>
      <c r="O274" s="18">
        <v>43881</v>
      </c>
    </row>
    <row r="275" spans="1:16" hidden="1" outlineLevel="1">
      <c r="A275" s="1">
        <v>9</v>
      </c>
      <c r="F275" s="170" t="s">
        <v>5430</v>
      </c>
      <c r="M275" s="2" t="s">
        <v>6575</v>
      </c>
      <c r="N275" s="2" t="s">
        <v>6158</v>
      </c>
      <c r="O275" s="18">
        <v>43893</v>
      </c>
    </row>
    <row r="276" spans="1:16" hidden="1" outlineLevel="1">
      <c r="A276" s="1">
        <v>10</v>
      </c>
      <c r="F276" s="170" t="s">
        <v>5431</v>
      </c>
      <c r="N276" s="2" t="s">
        <v>836</v>
      </c>
    </row>
    <row r="277" spans="1:16" hidden="1" outlineLevel="1">
      <c r="A277" s="1">
        <v>11</v>
      </c>
      <c r="F277" s="170" t="s">
        <v>5432</v>
      </c>
      <c r="M277" s="2" t="s">
        <v>6576</v>
      </c>
      <c r="N277" s="2" t="s">
        <v>6159</v>
      </c>
      <c r="O277" s="18">
        <v>43892</v>
      </c>
    </row>
    <row r="278" spans="1:16" hidden="1" outlineLevel="1">
      <c r="A278" s="1">
        <v>12</v>
      </c>
      <c r="F278" s="170" t="s">
        <v>5433</v>
      </c>
      <c r="M278" s="2" t="s">
        <v>6577</v>
      </c>
      <c r="N278" s="2" t="s">
        <v>6160</v>
      </c>
      <c r="O278" s="18">
        <v>43908</v>
      </c>
    </row>
    <row r="279" spans="1:16" hidden="1" outlineLevel="1">
      <c r="A279" s="1">
        <v>13</v>
      </c>
      <c r="F279" s="170" t="s">
        <v>5434</v>
      </c>
      <c r="M279" s="2" t="s">
        <v>6578</v>
      </c>
      <c r="N279" s="2" t="s">
        <v>6160</v>
      </c>
      <c r="O279" s="18">
        <v>43908</v>
      </c>
    </row>
    <row r="280" spans="1:16" hidden="1" outlineLevel="1">
      <c r="A280" s="1">
        <v>14</v>
      </c>
      <c r="F280" s="170" t="s">
        <v>5435</v>
      </c>
      <c r="M280" s="2" t="s">
        <v>6579</v>
      </c>
      <c r="N280" s="2" t="s">
        <v>6160</v>
      </c>
      <c r="O280" s="18">
        <v>43908</v>
      </c>
    </row>
    <row r="281" spans="1:16" hidden="1" outlineLevel="1">
      <c r="A281" s="1">
        <v>15</v>
      </c>
      <c r="F281" s="170" t="s">
        <v>5436</v>
      </c>
      <c r="M281" s="2" t="s">
        <v>6580</v>
      </c>
      <c r="N281" s="2" t="s">
        <v>6160</v>
      </c>
      <c r="O281" s="18">
        <v>43908</v>
      </c>
    </row>
    <row r="282" spans="1:16" hidden="1" outlineLevel="1">
      <c r="A282" s="1">
        <v>16</v>
      </c>
      <c r="F282" s="170" t="s">
        <v>5437</v>
      </c>
      <c r="M282" s="2" t="s">
        <v>6581</v>
      </c>
      <c r="N282" s="2" t="s">
        <v>6160</v>
      </c>
      <c r="O282" s="18">
        <v>43908</v>
      </c>
    </row>
    <row r="283" spans="1:16" hidden="1" outlineLevel="1">
      <c r="A283" s="1">
        <v>17</v>
      </c>
      <c r="F283" s="170" t="s">
        <v>5438</v>
      </c>
      <c r="N283" s="2" t="s">
        <v>6155</v>
      </c>
    </row>
    <row r="284" spans="1:16" hidden="1" outlineLevel="1">
      <c r="A284" s="1">
        <v>18</v>
      </c>
      <c r="F284" s="170" t="s">
        <v>5439</v>
      </c>
      <c r="N284" s="2" t="s">
        <v>6155</v>
      </c>
    </row>
    <row r="285" spans="1:16" hidden="1" outlineLevel="1">
      <c r="A285" s="1">
        <v>19</v>
      </c>
      <c r="F285" s="170" t="s">
        <v>5440</v>
      </c>
      <c r="N285" s="2" t="s">
        <v>6161</v>
      </c>
    </row>
    <row r="286" spans="1:16" hidden="1" outlineLevel="1">
      <c r="A286" s="8"/>
      <c r="B286" s="58"/>
      <c r="C286" s="159"/>
      <c r="D286" s="8"/>
      <c r="E286" s="8"/>
      <c r="F286" s="171"/>
      <c r="G286" s="8"/>
      <c r="H286" s="8"/>
      <c r="I286" s="8"/>
      <c r="J286" s="58"/>
      <c r="K286" s="8"/>
      <c r="L286" s="58"/>
      <c r="M286" s="8"/>
      <c r="N286" s="8"/>
      <c r="O286" s="58"/>
      <c r="P286" s="8"/>
    </row>
    <row r="287" spans="1:16" hidden="1" outlineLevel="1">
      <c r="A287" s="1">
        <v>1</v>
      </c>
      <c r="B287" s="11">
        <v>43902</v>
      </c>
      <c r="C287" s="160">
        <v>951</v>
      </c>
      <c r="D287" s="1" t="s">
        <v>5146</v>
      </c>
      <c r="E287" s="1" t="s">
        <v>5164</v>
      </c>
      <c r="F287" s="170" t="s">
        <v>5441</v>
      </c>
      <c r="N287" s="2" t="s">
        <v>6155</v>
      </c>
    </row>
    <row r="288" spans="1:16" hidden="1" outlineLevel="1">
      <c r="A288" s="1">
        <v>2</v>
      </c>
      <c r="F288" s="170" t="s">
        <v>5442</v>
      </c>
      <c r="M288" s="2" t="s">
        <v>6582</v>
      </c>
      <c r="N288" s="2" t="s">
        <v>6155</v>
      </c>
      <c r="O288" s="18">
        <v>43938</v>
      </c>
    </row>
    <row r="289" spans="1:15" hidden="1" outlineLevel="1">
      <c r="A289" s="1">
        <v>3</v>
      </c>
      <c r="F289" s="170" t="s">
        <v>5443</v>
      </c>
      <c r="M289" s="2" t="s">
        <v>6583</v>
      </c>
      <c r="N289" s="2" t="s">
        <v>6155</v>
      </c>
      <c r="O289" s="18">
        <v>43931</v>
      </c>
    </row>
    <row r="290" spans="1:15" hidden="1" outlineLevel="1">
      <c r="A290" s="1">
        <v>4</v>
      </c>
      <c r="F290" s="170" t="s">
        <v>5444</v>
      </c>
      <c r="M290" s="2" t="s">
        <v>6584</v>
      </c>
      <c r="N290" s="2" t="s">
        <v>6155</v>
      </c>
      <c r="O290" s="18">
        <v>43931</v>
      </c>
    </row>
    <row r="291" spans="1:15" hidden="1" outlineLevel="1">
      <c r="A291" s="1">
        <v>5</v>
      </c>
      <c r="F291" s="170" t="s">
        <v>5445</v>
      </c>
      <c r="M291" s="2" t="s">
        <v>6585</v>
      </c>
      <c r="N291" s="2" t="s">
        <v>6155</v>
      </c>
      <c r="O291" s="18">
        <v>43931</v>
      </c>
    </row>
    <row r="292" spans="1:15" hidden="1" outlineLevel="1">
      <c r="A292" s="1">
        <v>6</v>
      </c>
      <c r="F292" s="170" t="s">
        <v>5446</v>
      </c>
      <c r="M292" s="2" t="s">
        <v>6586</v>
      </c>
      <c r="N292" s="2" t="s">
        <v>6155</v>
      </c>
      <c r="O292" s="18">
        <v>43931</v>
      </c>
    </row>
    <row r="293" spans="1:15" hidden="1" outlineLevel="1">
      <c r="A293" s="1">
        <v>7</v>
      </c>
      <c r="F293" s="170" t="s">
        <v>5447</v>
      </c>
      <c r="M293" s="2" t="s">
        <v>6587</v>
      </c>
      <c r="N293" s="2" t="s">
        <v>6155</v>
      </c>
      <c r="O293" s="18">
        <v>43931</v>
      </c>
    </row>
    <row r="294" spans="1:15" hidden="1" outlineLevel="1">
      <c r="A294" s="1">
        <v>8</v>
      </c>
      <c r="F294" s="170" t="s">
        <v>5448</v>
      </c>
      <c r="M294" s="2" t="s">
        <v>6588</v>
      </c>
      <c r="N294" s="2" t="s">
        <v>6155</v>
      </c>
      <c r="O294" s="18">
        <v>43931</v>
      </c>
    </row>
    <row r="295" spans="1:15" hidden="1" outlineLevel="1">
      <c r="A295" s="1">
        <v>9</v>
      </c>
      <c r="F295" s="170" t="s">
        <v>5449</v>
      </c>
      <c r="M295" s="2" t="s">
        <v>6589</v>
      </c>
      <c r="N295" s="2" t="s">
        <v>6155</v>
      </c>
      <c r="O295" s="18">
        <v>43931</v>
      </c>
    </row>
    <row r="296" spans="1:15" hidden="1" outlineLevel="1">
      <c r="A296" s="1">
        <v>10</v>
      </c>
      <c r="F296" s="170" t="s">
        <v>5450</v>
      </c>
      <c r="M296" s="2" t="s">
        <v>6590</v>
      </c>
      <c r="N296" s="2" t="s">
        <v>6155</v>
      </c>
      <c r="O296" s="18">
        <v>43929</v>
      </c>
    </row>
    <row r="297" spans="1:15" hidden="1" outlineLevel="1">
      <c r="A297" s="1">
        <v>11</v>
      </c>
      <c r="F297" s="170" t="s">
        <v>5451</v>
      </c>
      <c r="M297" s="2" t="s">
        <v>6591</v>
      </c>
      <c r="N297" s="2" t="s">
        <v>6155</v>
      </c>
      <c r="O297" s="18">
        <v>43929</v>
      </c>
    </row>
    <row r="298" spans="1:15" hidden="1" outlineLevel="1">
      <c r="A298" s="1">
        <v>12</v>
      </c>
      <c r="F298" s="170" t="s">
        <v>5452</v>
      </c>
      <c r="M298" s="2" t="s">
        <v>6592</v>
      </c>
      <c r="N298" s="2" t="s">
        <v>6155</v>
      </c>
      <c r="O298" s="18">
        <v>43930</v>
      </c>
    </row>
    <row r="299" spans="1:15" hidden="1" outlineLevel="1">
      <c r="A299" s="1">
        <v>13</v>
      </c>
      <c r="F299" s="170" t="s">
        <v>5453</v>
      </c>
      <c r="M299" s="2" t="s">
        <v>6593</v>
      </c>
      <c r="N299" s="2" t="s">
        <v>6155</v>
      </c>
      <c r="O299" s="18">
        <v>43928</v>
      </c>
    </row>
    <row r="300" spans="1:15" hidden="1" outlineLevel="1">
      <c r="A300" s="1">
        <v>14</v>
      </c>
      <c r="F300" s="170" t="s">
        <v>5454</v>
      </c>
      <c r="M300" s="2" t="s">
        <v>6594</v>
      </c>
      <c r="N300" s="2" t="s">
        <v>6155</v>
      </c>
      <c r="O300" s="18">
        <v>43928</v>
      </c>
    </row>
    <row r="301" spans="1:15" hidden="1" outlineLevel="1">
      <c r="A301" s="1">
        <v>15</v>
      </c>
      <c r="F301" s="170" t="s">
        <v>5455</v>
      </c>
    </row>
    <row r="302" spans="1:15" hidden="1" outlineLevel="1">
      <c r="A302" s="1">
        <v>16</v>
      </c>
      <c r="F302" s="170" t="s">
        <v>5456</v>
      </c>
      <c r="M302" s="2" t="s">
        <v>6595</v>
      </c>
      <c r="N302" s="2" t="s">
        <v>6155</v>
      </c>
      <c r="O302" s="18">
        <v>43928</v>
      </c>
    </row>
    <row r="303" spans="1:15" hidden="1" outlineLevel="1">
      <c r="A303" s="1">
        <v>17</v>
      </c>
      <c r="F303" s="170" t="s">
        <v>5457</v>
      </c>
      <c r="M303" s="2" t="s">
        <v>6596</v>
      </c>
      <c r="N303" s="2" t="s">
        <v>6155</v>
      </c>
      <c r="O303" s="18">
        <v>43928</v>
      </c>
    </row>
    <row r="304" spans="1:15" hidden="1" outlineLevel="1">
      <c r="A304" s="1">
        <v>18</v>
      </c>
      <c r="F304" s="170" t="s">
        <v>5458</v>
      </c>
      <c r="M304" s="2" t="s">
        <v>6597</v>
      </c>
      <c r="N304" s="2" t="s">
        <v>6155</v>
      </c>
      <c r="O304" s="18">
        <v>43928</v>
      </c>
    </row>
    <row r="305" spans="1:15" hidden="1" outlineLevel="1">
      <c r="A305" s="1">
        <v>19</v>
      </c>
      <c r="F305" s="170" t="s">
        <v>5459</v>
      </c>
      <c r="M305" s="2" t="s">
        <v>6598</v>
      </c>
      <c r="N305" s="2" t="s">
        <v>6155</v>
      </c>
      <c r="O305" s="18">
        <v>43928</v>
      </c>
    </row>
    <row r="306" spans="1:15" hidden="1" outlineLevel="1">
      <c r="A306" s="1">
        <v>20</v>
      </c>
      <c r="F306" s="170" t="s">
        <v>5460</v>
      </c>
      <c r="M306" s="2" t="s">
        <v>6599</v>
      </c>
      <c r="N306" s="2" t="s">
        <v>6155</v>
      </c>
      <c r="O306" s="18">
        <v>43929</v>
      </c>
    </row>
    <row r="307" spans="1:15" hidden="1" outlineLevel="1">
      <c r="A307" s="1">
        <v>21</v>
      </c>
      <c r="F307" s="170" t="s">
        <v>5461</v>
      </c>
      <c r="M307" s="2" t="s">
        <v>6600</v>
      </c>
      <c r="N307" s="2" t="s">
        <v>6162</v>
      </c>
      <c r="O307" s="18">
        <v>43930</v>
      </c>
    </row>
    <row r="308" spans="1:15" hidden="1" outlineLevel="1">
      <c r="A308" s="1">
        <v>22</v>
      </c>
      <c r="F308" s="170" t="s">
        <v>5462</v>
      </c>
      <c r="M308" s="2" t="s">
        <v>6601</v>
      </c>
      <c r="N308" s="2" t="s">
        <v>6163</v>
      </c>
      <c r="O308" s="18">
        <v>43937</v>
      </c>
    </row>
    <row r="309" spans="1:15" hidden="1" outlineLevel="1">
      <c r="A309" s="1">
        <v>23</v>
      </c>
      <c r="F309" s="170" t="s">
        <v>5463</v>
      </c>
      <c r="M309" s="2" t="s">
        <v>6602</v>
      </c>
      <c r="N309" s="2" t="s">
        <v>6164</v>
      </c>
      <c r="O309" s="18">
        <v>43937</v>
      </c>
    </row>
    <row r="310" spans="1:15" hidden="1" outlineLevel="1">
      <c r="A310" s="1">
        <v>24</v>
      </c>
      <c r="F310" s="170" t="s">
        <v>5464</v>
      </c>
      <c r="M310" s="2" t="s">
        <v>6603</v>
      </c>
      <c r="N310" s="2" t="s">
        <v>6165</v>
      </c>
      <c r="O310" s="18">
        <v>43937</v>
      </c>
    </row>
    <row r="311" spans="1:15" hidden="1" outlineLevel="1">
      <c r="A311" s="1">
        <v>25</v>
      </c>
      <c r="F311" s="170" t="s">
        <v>5465</v>
      </c>
      <c r="M311" s="2" t="s">
        <v>6604</v>
      </c>
      <c r="N311" s="2" t="s">
        <v>6166</v>
      </c>
      <c r="O311" s="18">
        <v>43917</v>
      </c>
    </row>
    <row r="312" spans="1:15" hidden="1" outlineLevel="1">
      <c r="A312" s="1">
        <v>26</v>
      </c>
      <c r="F312" s="170" t="s">
        <v>5466</v>
      </c>
      <c r="M312" s="2" t="s">
        <v>6605</v>
      </c>
      <c r="N312" s="2" t="s">
        <v>6167</v>
      </c>
      <c r="O312" s="18">
        <v>43915</v>
      </c>
    </row>
    <row r="313" spans="1:15" hidden="1" outlineLevel="1">
      <c r="A313" s="1">
        <v>27</v>
      </c>
      <c r="F313" s="170" t="s">
        <v>5467</v>
      </c>
      <c r="M313" s="2" t="s">
        <v>6606</v>
      </c>
      <c r="N313" s="2" t="s">
        <v>6168</v>
      </c>
      <c r="O313" s="18">
        <v>43913</v>
      </c>
    </row>
    <row r="314" spans="1:15" hidden="1" outlineLevel="1">
      <c r="A314" s="1">
        <v>28</v>
      </c>
      <c r="F314" s="170" t="s">
        <v>5468</v>
      </c>
      <c r="M314" s="2" t="s">
        <v>6607</v>
      </c>
      <c r="N314" s="2" t="s">
        <v>6169</v>
      </c>
      <c r="O314" s="18">
        <v>43913</v>
      </c>
    </row>
    <row r="315" spans="1:15" hidden="1" outlineLevel="1">
      <c r="A315" s="1">
        <v>29</v>
      </c>
      <c r="F315" s="170" t="s">
        <v>5469</v>
      </c>
      <c r="M315" s="2" t="s">
        <v>6608</v>
      </c>
      <c r="N315" s="2" t="s">
        <v>6170</v>
      </c>
      <c r="O315" s="18">
        <v>43910</v>
      </c>
    </row>
    <row r="316" spans="1:15" hidden="1" outlineLevel="1">
      <c r="A316" s="1">
        <v>30</v>
      </c>
      <c r="F316" s="170" t="s">
        <v>5470</v>
      </c>
      <c r="M316" s="2" t="s">
        <v>6609</v>
      </c>
      <c r="N316" s="2" t="s">
        <v>1936</v>
      </c>
      <c r="O316" s="18">
        <v>43908</v>
      </c>
    </row>
    <row r="317" spans="1:15" hidden="1" outlineLevel="1">
      <c r="A317" s="1">
        <v>31</v>
      </c>
      <c r="F317" s="170" t="s">
        <v>5471</v>
      </c>
      <c r="M317" s="2" t="s">
        <v>6610</v>
      </c>
      <c r="N317" s="2" t="s">
        <v>6100</v>
      </c>
      <c r="O317" s="18">
        <v>43907</v>
      </c>
    </row>
    <row r="318" spans="1:15" hidden="1" outlineLevel="1">
      <c r="A318" s="1">
        <v>32</v>
      </c>
      <c r="F318" s="170" t="s">
        <v>5472</v>
      </c>
      <c r="M318" s="2" t="s">
        <v>6611</v>
      </c>
      <c r="N318" s="2" t="s">
        <v>1936</v>
      </c>
      <c r="O318" s="18">
        <v>43907</v>
      </c>
    </row>
    <row r="319" spans="1:15" hidden="1" outlineLevel="1">
      <c r="A319" s="1">
        <v>33</v>
      </c>
      <c r="F319" s="170" t="s">
        <v>5473</v>
      </c>
      <c r="M319" s="2" t="s">
        <v>6612</v>
      </c>
      <c r="N319" s="2" t="s">
        <v>6155</v>
      </c>
      <c r="O319" s="18">
        <v>43944</v>
      </c>
    </row>
    <row r="320" spans="1:15" hidden="1" outlineLevel="1">
      <c r="A320" s="1">
        <v>34</v>
      </c>
      <c r="F320" s="170" t="s">
        <v>5474</v>
      </c>
      <c r="N320" s="2" t="s">
        <v>6155</v>
      </c>
    </row>
    <row r="321" spans="1:16" hidden="1" outlineLevel="1">
      <c r="A321" s="1">
        <v>35</v>
      </c>
      <c r="F321" s="170" t="s">
        <v>5475</v>
      </c>
      <c r="M321" s="2" t="s">
        <v>6613</v>
      </c>
      <c r="N321" s="2" t="s">
        <v>6155</v>
      </c>
      <c r="O321" s="18">
        <v>43977</v>
      </c>
    </row>
    <row r="322" spans="1:16" hidden="1" outlineLevel="1">
      <c r="A322" s="1">
        <v>36</v>
      </c>
      <c r="F322" s="170" t="s">
        <v>5476</v>
      </c>
    </row>
    <row r="323" spans="1:16" hidden="1" outlineLevel="1">
      <c r="A323" s="1">
        <v>37</v>
      </c>
      <c r="F323" s="170" t="s">
        <v>5477</v>
      </c>
      <c r="M323" s="2" t="s">
        <v>6614</v>
      </c>
      <c r="N323" s="2" t="s">
        <v>6155</v>
      </c>
      <c r="O323" s="18">
        <v>43936</v>
      </c>
    </row>
    <row r="324" spans="1:16" hidden="1" outlineLevel="1">
      <c r="A324" s="1">
        <v>38</v>
      </c>
      <c r="F324" s="170" t="s">
        <v>5478</v>
      </c>
      <c r="M324" s="2" t="s">
        <v>6615</v>
      </c>
      <c r="N324" s="2" t="s">
        <v>6155</v>
      </c>
      <c r="O324" s="18">
        <v>43936</v>
      </c>
    </row>
    <row r="325" spans="1:16" hidden="1" outlineLevel="1">
      <c r="A325" s="1">
        <v>39</v>
      </c>
      <c r="F325" s="170" t="s">
        <v>5479</v>
      </c>
      <c r="M325" s="2" t="s">
        <v>6616</v>
      </c>
      <c r="N325" s="2" t="s">
        <v>6155</v>
      </c>
      <c r="O325" s="18">
        <v>43938</v>
      </c>
    </row>
    <row r="326" spans="1:16" hidden="1" outlineLevel="1">
      <c r="A326" s="1">
        <v>40</v>
      </c>
      <c r="F326" s="170" t="s">
        <v>5480</v>
      </c>
      <c r="M326" s="2" t="s">
        <v>6617</v>
      </c>
      <c r="N326" s="2" t="s">
        <v>6155</v>
      </c>
      <c r="O326" s="18">
        <v>43938</v>
      </c>
    </row>
    <row r="327" spans="1:16" hidden="1" outlineLevel="1">
      <c r="A327" s="1">
        <v>41</v>
      </c>
      <c r="F327" s="170" t="s">
        <v>5481</v>
      </c>
    </row>
    <row r="328" spans="1:16" hidden="1" outlineLevel="1">
      <c r="A328" s="8"/>
      <c r="B328" s="58"/>
      <c r="C328" s="159"/>
      <c r="D328" s="8"/>
      <c r="E328" s="8"/>
      <c r="F328" s="171"/>
      <c r="G328" s="8"/>
      <c r="H328" s="8"/>
      <c r="I328" s="8"/>
      <c r="J328" s="58"/>
      <c r="K328" s="8"/>
      <c r="L328" s="58"/>
      <c r="M328" s="8"/>
      <c r="N328" s="8"/>
      <c r="O328" s="58"/>
      <c r="P328" s="8"/>
    </row>
    <row r="329" spans="1:16" hidden="1" outlineLevel="1">
      <c r="A329" s="1">
        <v>1</v>
      </c>
      <c r="B329" s="11">
        <v>43913</v>
      </c>
      <c r="C329" s="160">
        <v>1088</v>
      </c>
      <c r="D329" s="1" t="s">
        <v>5146</v>
      </c>
      <c r="E329" s="1" t="s">
        <v>5165</v>
      </c>
      <c r="F329" s="170" t="s">
        <v>5482</v>
      </c>
      <c r="M329" s="2" t="s">
        <v>6618</v>
      </c>
      <c r="N329" s="2" t="s">
        <v>6171</v>
      </c>
      <c r="O329" s="18">
        <v>43927</v>
      </c>
    </row>
    <row r="330" spans="1:16" hidden="1" outlineLevel="1">
      <c r="A330" s="1">
        <v>2</v>
      </c>
      <c r="F330" s="170" t="s">
        <v>5483</v>
      </c>
      <c r="M330" s="2" t="s">
        <v>6619</v>
      </c>
      <c r="N330" s="2" t="s">
        <v>1936</v>
      </c>
      <c r="O330" s="18">
        <v>43938</v>
      </c>
    </row>
    <row r="331" spans="1:16" hidden="1" outlineLevel="1">
      <c r="A331" s="1">
        <v>3</v>
      </c>
      <c r="F331" s="170" t="s">
        <v>5484</v>
      </c>
      <c r="M331" s="2" t="s">
        <v>6616</v>
      </c>
      <c r="N331" s="2" t="s">
        <v>6172</v>
      </c>
      <c r="O331" s="18">
        <v>43938</v>
      </c>
    </row>
    <row r="332" spans="1:16" hidden="1" outlineLevel="1">
      <c r="A332" s="1">
        <v>4</v>
      </c>
      <c r="F332" s="170" t="s">
        <v>5485</v>
      </c>
      <c r="M332" s="2" t="s">
        <v>6620</v>
      </c>
      <c r="N332" s="2" t="s">
        <v>6163</v>
      </c>
      <c r="O332" s="18">
        <v>43938</v>
      </c>
    </row>
    <row r="333" spans="1:16" hidden="1" outlineLevel="1">
      <c r="A333" s="1">
        <v>5</v>
      </c>
      <c r="F333" s="170" t="s">
        <v>5486</v>
      </c>
      <c r="M333" s="2" t="s">
        <v>6621</v>
      </c>
      <c r="N333" s="2" t="s">
        <v>6065</v>
      </c>
      <c r="O333" s="18">
        <v>43942</v>
      </c>
    </row>
    <row r="334" spans="1:16" hidden="1" outlineLevel="1">
      <c r="A334" s="1">
        <v>6</v>
      </c>
      <c r="F334" s="170" t="s">
        <v>5487</v>
      </c>
      <c r="M334" s="2" t="s">
        <v>6622</v>
      </c>
      <c r="N334" s="2" t="s">
        <v>6173</v>
      </c>
      <c r="O334" s="18">
        <v>43944</v>
      </c>
    </row>
    <row r="335" spans="1:16" hidden="1" outlineLevel="1">
      <c r="A335" s="1">
        <v>7</v>
      </c>
      <c r="F335" s="170" t="s">
        <v>5488</v>
      </c>
      <c r="M335" s="2" t="s">
        <v>6623</v>
      </c>
      <c r="N335" s="2" t="s">
        <v>6174</v>
      </c>
      <c r="O335" s="18">
        <v>43945</v>
      </c>
    </row>
    <row r="336" spans="1:16" hidden="1" outlineLevel="1">
      <c r="A336" s="1">
        <v>8</v>
      </c>
      <c r="F336" s="170" t="s">
        <v>5489</v>
      </c>
      <c r="M336" s="2" t="s">
        <v>6624</v>
      </c>
      <c r="N336" s="2" t="s">
        <v>6175</v>
      </c>
      <c r="O336" s="18">
        <v>43949</v>
      </c>
    </row>
    <row r="337" spans="1:16" hidden="1" outlineLevel="1">
      <c r="A337" s="1">
        <v>9</v>
      </c>
      <c r="F337" s="170" t="s">
        <v>5490</v>
      </c>
      <c r="M337" s="2" t="s">
        <v>6625</v>
      </c>
      <c r="N337" s="2" t="s">
        <v>6175</v>
      </c>
      <c r="O337" s="18">
        <v>43949</v>
      </c>
    </row>
    <row r="338" spans="1:16" hidden="1" outlineLevel="1">
      <c r="A338" s="1">
        <v>10</v>
      </c>
      <c r="F338" s="170" t="s">
        <v>5491</v>
      </c>
      <c r="M338" s="2" t="s">
        <v>6626</v>
      </c>
      <c r="N338" s="2" t="s">
        <v>6176</v>
      </c>
      <c r="O338" s="18">
        <v>43948</v>
      </c>
    </row>
    <row r="339" spans="1:16" hidden="1" outlineLevel="1">
      <c r="A339" s="1">
        <v>11</v>
      </c>
      <c r="F339" s="170" t="s">
        <v>5492</v>
      </c>
      <c r="M339" s="2" t="s">
        <v>6627</v>
      </c>
      <c r="N339" s="2" t="s">
        <v>6043</v>
      </c>
      <c r="O339" s="18">
        <v>43950</v>
      </c>
    </row>
    <row r="340" spans="1:16" hidden="1" outlineLevel="1">
      <c r="A340" s="1">
        <v>12</v>
      </c>
      <c r="F340" s="170" t="s">
        <v>5493</v>
      </c>
      <c r="M340" s="2" t="s">
        <v>6628</v>
      </c>
      <c r="N340" s="2" t="s">
        <v>6177</v>
      </c>
      <c r="O340" s="18">
        <v>43950</v>
      </c>
    </row>
    <row r="341" spans="1:16" hidden="1" outlineLevel="1">
      <c r="A341" s="1">
        <v>13</v>
      </c>
      <c r="F341" s="170" t="s">
        <v>5494</v>
      </c>
      <c r="M341" s="2" t="s">
        <v>6629</v>
      </c>
      <c r="N341" s="2" t="s">
        <v>6177</v>
      </c>
      <c r="O341" s="18">
        <v>43950</v>
      </c>
    </row>
    <row r="342" spans="1:16" hidden="1" outlineLevel="1">
      <c r="A342" s="1">
        <v>14</v>
      </c>
      <c r="F342" s="170" t="s">
        <v>5495</v>
      </c>
      <c r="M342" s="2" t="s">
        <v>6630</v>
      </c>
      <c r="N342" s="2" t="s">
        <v>4611</v>
      </c>
      <c r="O342" s="18">
        <v>43957</v>
      </c>
    </row>
    <row r="343" spans="1:16" hidden="1" outlineLevel="1">
      <c r="A343" s="1">
        <v>15</v>
      </c>
      <c r="F343" s="170" t="s">
        <v>5496</v>
      </c>
      <c r="M343" s="2" t="s">
        <v>6631</v>
      </c>
      <c r="N343" s="2" t="s">
        <v>6178</v>
      </c>
      <c r="O343" s="18">
        <v>43957</v>
      </c>
    </row>
    <row r="344" spans="1:16" hidden="1" outlineLevel="1">
      <c r="A344" s="8"/>
      <c r="B344" s="58"/>
      <c r="C344" s="159"/>
      <c r="D344" s="8"/>
      <c r="E344" s="8"/>
      <c r="F344" s="171"/>
      <c r="G344" s="8"/>
      <c r="H344" s="8"/>
      <c r="I344" s="8"/>
      <c r="J344" s="58"/>
      <c r="K344" s="8"/>
      <c r="L344" s="58"/>
      <c r="M344" s="8"/>
      <c r="N344" s="8"/>
      <c r="O344" s="58"/>
      <c r="P344" s="8"/>
    </row>
    <row r="345" spans="1:16" hidden="1" outlineLevel="1">
      <c r="A345" s="1">
        <v>1</v>
      </c>
      <c r="B345" s="11">
        <v>43955</v>
      </c>
      <c r="C345" s="160">
        <v>243548</v>
      </c>
      <c r="D345" s="1" t="s">
        <v>5147</v>
      </c>
      <c r="E345" s="1" t="s">
        <v>5166</v>
      </c>
      <c r="F345" s="170" t="s">
        <v>5497</v>
      </c>
      <c r="M345" s="2" t="s">
        <v>6632</v>
      </c>
      <c r="N345" s="2" t="s">
        <v>2372</v>
      </c>
      <c r="O345" s="18">
        <v>43958</v>
      </c>
    </row>
    <row r="346" spans="1:16" hidden="1" outlineLevel="1">
      <c r="A346" s="1">
        <v>2</v>
      </c>
      <c r="F346" s="170" t="s">
        <v>5498</v>
      </c>
      <c r="M346" s="2" t="s">
        <v>6633</v>
      </c>
      <c r="N346" s="2" t="s">
        <v>6179</v>
      </c>
      <c r="O346" s="18">
        <v>43958</v>
      </c>
    </row>
    <row r="347" spans="1:16" hidden="1" outlineLevel="1">
      <c r="A347" s="1">
        <v>3</v>
      </c>
      <c r="F347" s="170" t="s">
        <v>5499</v>
      </c>
      <c r="M347" s="2" t="s">
        <v>6634</v>
      </c>
      <c r="N347" s="2" t="s">
        <v>6179</v>
      </c>
      <c r="O347" s="18">
        <v>43959</v>
      </c>
    </row>
    <row r="348" spans="1:16" hidden="1" outlineLevel="1">
      <c r="A348" s="1">
        <v>4</v>
      </c>
      <c r="F348" s="170" t="s">
        <v>5500</v>
      </c>
      <c r="M348" s="2" t="s">
        <v>6635</v>
      </c>
      <c r="N348" s="2" t="s">
        <v>6180</v>
      </c>
      <c r="O348" s="18">
        <v>43963</v>
      </c>
    </row>
    <row r="349" spans="1:16" hidden="1" outlineLevel="1">
      <c r="A349" s="1">
        <v>5</v>
      </c>
      <c r="F349" s="170" t="s">
        <v>5501</v>
      </c>
    </row>
    <row r="350" spans="1:16" hidden="1" outlineLevel="1">
      <c r="A350" s="1">
        <v>6</v>
      </c>
      <c r="F350" s="170" t="s">
        <v>5502</v>
      </c>
      <c r="M350" s="2" t="s">
        <v>6636</v>
      </c>
      <c r="N350" s="2" t="s">
        <v>428</v>
      </c>
      <c r="O350" s="18">
        <v>43966</v>
      </c>
    </row>
    <row r="351" spans="1:16" hidden="1" outlineLevel="1">
      <c r="A351" s="1">
        <v>7</v>
      </c>
      <c r="F351" s="170" t="s">
        <v>5503</v>
      </c>
      <c r="M351" s="2" t="s">
        <v>6637</v>
      </c>
      <c r="N351" s="2" t="s">
        <v>6181</v>
      </c>
      <c r="O351" s="18">
        <v>43966</v>
      </c>
    </row>
    <row r="352" spans="1:16" hidden="1" outlineLevel="1">
      <c r="A352" s="1">
        <v>8</v>
      </c>
      <c r="F352" s="170" t="s">
        <v>5504</v>
      </c>
    </row>
    <row r="353" spans="1:16" hidden="1" outlineLevel="1">
      <c r="A353" s="1">
        <v>9</v>
      </c>
      <c r="F353" s="170" t="s">
        <v>5505</v>
      </c>
      <c r="M353" s="2" t="s">
        <v>6638</v>
      </c>
      <c r="N353" s="2" t="s">
        <v>6182</v>
      </c>
      <c r="O353" s="18">
        <v>43969</v>
      </c>
    </row>
    <row r="354" spans="1:16" hidden="1" outlineLevel="1">
      <c r="A354" s="1">
        <v>10</v>
      </c>
      <c r="F354" s="170" t="s">
        <v>5506</v>
      </c>
    </row>
    <row r="355" spans="1:16" hidden="1" outlineLevel="1">
      <c r="A355" s="8"/>
      <c r="B355" s="58"/>
      <c r="C355" s="159"/>
      <c r="D355" s="8"/>
      <c r="E355" s="8"/>
      <c r="F355" s="171"/>
      <c r="G355" s="8"/>
      <c r="H355" s="8"/>
      <c r="I355" s="8"/>
      <c r="J355" s="58"/>
      <c r="K355" s="8"/>
      <c r="L355" s="58"/>
      <c r="M355" s="8"/>
      <c r="N355" s="8"/>
      <c r="O355" s="58"/>
      <c r="P355" s="8"/>
    </row>
    <row r="356" spans="1:16" hidden="1" outlineLevel="1">
      <c r="A356" s="1">
        <v>1</v>
      </c>
      <c r="B356" s="11">
        <v>43966</v>
      </c>
      <c r="C356" s="160">
        <v>266367</v>
      </c>
      <c r="D356" s="1" t="s">
        <v>402</v>
      </c>
      <c r="E356" s="1" t="s">
        <v>5167</v>
      </c>
      <c r="F356" s="170" t="s">
        <v>5507</v>
      </c>
    </row>
    <row r="357" spans="1:16" hidden="1" outlineLevel="1">
      <c r="A357" s="1">
        <v>2</v>
      </c>
      <c r="F357" s="170" t="s">
        <v>5508</v>
      </c>
      <c r="M357" s="2" t="s">
        <v>6639</v>
      </c>
      <c r="N357" s="2" t="s">
        <v>6183</v>
      </c>
      <c r="O357" s="18">
        <v>43980</v>
      </c>
    </row>
    <row r="358" spans="1:16" hidden="1" outlineLevel="1">
      <c r="A358" s="1">
        <v>3</v>
      </c>
      <c r="F358" s="170" t="s">
        <v>5509</v>
      </c>
      <c r="M358" s="2" t="s">
        <v>6640</v>
      </c>
      <c r="N358" s="2" t="s">
        <v>6181</v>
      </c>
      <c r="O358" s="18">
        <v>43979</v>
      </c>
    </row>
    <row r="359" spans="1:16" hidden="1" outlineLevel="1">
      <c r="A359" s="1">
        <v>4</v>
      </c>
      <c r="F359" s="170" t="s">
        <v>5510</v>
      </c>
      <c r="M359" s="2" t="s">
        <v>6641</v>
      </c>
      <c r="N359" s="2" t="s">
        <v>6184</v>
      </c>
      <c r="O359" s="18">
        <v>43976</v>
      </c>
    </row>
    <row r="360" spans="1:16" hidden="1" outlineLevel="1">
      <c r="A360" s="1">
        <v>5</v>
      </c>
      <c r="F360" s="170" t="s">
        <v>5511</v>
      </c>
      <c r="M360" s="2" t="s">
        <v>6642</v>
      </c>
      <c r="N360" s="2" t="s">
        <v>6146</v>
      </c>
      <c r="O360" s="18">
        <v>43973</v>
      </c>
    </row>
    <row r="361" spans="1:16" hidden="1" outlineLevel="1">
      <c r="A361" s="1">
        <v>6</v>
      </c>
      <c r="F361" s="170" t="s">
        <v>5512</v>
      </c>
      <c r="M361" s="2" t="s">
        <v>6643</v>
      </c>
      <c r="N361" s="2" t="s">
        <v>6185</v>
      </c>
      <c r="O361" s="18">
        <v>43973</v>
      </c>
    </row>
    <row r="362" spans="1:16" hidden="1" outlineLevel="1">
      <c r="A362" s="1">
        <v>7</v>
      </c>
      <c r="F362" s="170" t="s">
        <v>5513</v>
      </c>
      <c r="M362" s="2" t="s">
        <v>6644</v>
      </c>
      <c r="N362" s="2" t="s">
        <v>6186</v>
      </c>
      <c r="O362" s="18">
        <v>43973</v>
      </c>
    </row>
    <row r="363" spans="1:16" hidden="1" outlineLevel="1">
      <c r="A363" s="1">
        <v>8</v>
      </c>
      <c r="F363" s="170" t="s">
        <v>5514</v>
      </c>
      <c r="M363" s="2" t="s">
        <v>6645</v>
      </c>
      <c r="N363" s="2" t="s">
        <v>6186</v>
      </c>
      <c r="O363" s="18">
        <v>43971</v>
      </c>
    </row>
    <row r="364" spans="1:16" hidden="1" outlineLevel="1">
      <c r="A364" s="1">
        <v>9</v>
      </c>
      <c r="F364" s="170" t="s">
        <v>5515</v>
      </c>
      <c r="M364" s="2" t="s">
        <v>6646</v>
      </c>
      <c r="N364" s="2" t="s">
        <v>6187</v>
      </c>
      <c r="O364" s="18">
        <v>43970</v>
      </c>
    </row>
    <row r="365" spans="1:16" hidden="1" outlineLevel="1">
      <c r="A365" s="1">
        <v>10</v>
      </c>
      <c r="F365" s="170" t="s">
        <v>5516</v>
      </c>
      <c r="M365" s="2" t="s">
        <v>6647</v>
      </c>
      <c r="N365" s="2" t="s">
        <v>6187</v>
      </c>
      <c r="O365" s="18">
        <v>43969</v>
      </c>
    </row>
    <row r="366" spans="1:16" hidden="1" outlineLevel="1">
      <c r="A366" s="8"/>
      <c r="B366" s="58"/>
      <c r="C366" s="159"/>
      <c r="D366" s="8"/>
      <c r="E366" s="8"/>
      <c r="F366" s="171"/>
      <c r="G366" s="8"/>
      <c r="H366" s="8"/>
      <c r="I366" s="8"/>
      <c r="J366" s="58"/>
      <c r="K366" s="8"/>
      <c r="L366" s="58"/>
      <c r="M366" s="8"/>
      <c r="N366" s="8"/>
      <c r="O366" s="58"/>
      <c r="P366" s="8"/>
    </row>
    <row r="367" spans="1:16" hidden="1" outlineLevel="1">
      <c r="A367" s="1">
        <v>1</v>
      </c>
      <c r="B367" s="11">
        <v>43976</v>
      </c>
      <c r="C367" s="160">
        <v>1787</v>
      </c>
      <c r="D367" s="1" t="s">
        <v>5148</v>
      </c>
      <c r="E367" s="1" t="s">
        <v>5168</v>
      </c>
      <c r="F367" s="170" t="s">
        <v>5517</v>
      </c>
    </row>
    <row r="368" spans="1:16" hidden="1" outlineLevel="1">
      <c r="A368" s="1">
        <v>2</v>
      </c>
      <c r="F368" s="170" t="s">
        <v>5518</v>
      </c>
      <c r="M368" s="2" t="s">
        <v>6648</v>
      </c>
      <c r="N368" s="2" t="s">
        <v>6188</v>
      </c>
      <c r="O368" s="18">
        <v>44000</v>
      </c>
    </row>
    <row r="369" spans="1:16" hidden="1" outlineLevel="1">
      <c r="A369" s="1">
        <v>3</v>
      </c>
      <c r="F369" s="170" t="s">
        <v>5519</v>
      </c>
      <c r="M369" s="2" t="s">
        <v>6649</v>
      </c>
      <c r="N369" s="2" t="s">
        <v>6189</v>
      </c>
      <c r="O369" s="18">
        <v>44000</v>
      </c>
    </row>
    <row r="370" spans="1:16" hidden="1" outlineLevel="1">
      <c r="A370" s="1">
        <v>4</v>
      </c>
      <c r="F370" s="170" t="s">
        <v>5520</v>
      </c>
      <c r="M370" s="2" t="s">
        <v>6650</v>
      </c>
      <c r="N370" s="2" t="s">
        <v>6190</v>
      </c>
      <c r="O370" s="18">
        <v>43986</v>
      </c>
    </row>
    <row r="371" spans="1:16" hidden="1" outlineLevel="1">
      <c r="A371" s="1">
        <v>5</v>
      </c>
      <c r="F371" s="170" t="s">
        <v>5521</v>
      </c>
      <c r="M371" s="2" t="s">
        <v>6651</v>
      </c>
      <c r="N371" s="2" t="s">
        <v>6191</v>
      </c>
      <c r="O371" s="18">
        <v>43987</v>
      </c>
    </row>
    <row r="372" spans="1:16" hidden="1" outlineLevel="1">
      <c r="A372" s="1">
        <v>6</v>
      </c>
      <c r="F372" s="170" t="s">
        <v>5522</v>
      </c>
      <c r="M372" s="2" t="s">
        <v>6652</v>
      </c>
      <c r="N372" s="2" t="s">
        <v>6192</v>
      </c>
      <c r="O372" s="18">
        <v>43987</v>
      </c>
    </row>
    <row r="373" spans="1:16" hidden="1" outlineLevel="1">
      <c r="A373" s="1">
        <v>7</v>
      </c>
      <c r="F373" s="170" t="s">
        <v>5523</v>
      </c>
      <c r="M373" s="2" t="s">
        <v>6653</v>
      </c>
      <c r="N373" s="2" t="s">
        <v>6190</v>
      </c>
      <c r="O373" s="18">
        <v>43985</v>
      </c>
    </row>
    <row r="374" spans="1:16" hidden="1" outlineLevel="1">
      <c r="A374" s="1">
        <v>8</v>
      </c>
      <c r="F374" s="170" t="s">
        <v>5524</v>
      </c>
      <c r="M374" s="2" t="s">
        <v>6654</v>
      </c>
      <c r="N374" s="2" t="s">
        <v>6190</v>
      </c>
      <c r="O374" s="18">
        <v>43985</v>
      </c>
    </row>
    <row r="375" spans="1:16" hidden="1" outlineLevel="1">
      <c r="A375" s="1">
        <v>9</v>
      </c>
      <c r="F375" s="170" t="s">
        <v>5525</v>
      </c>
      <c r="M375" s="2" t="s">
        <v>6655</v>
      </c>
      <c r="N375" s="2" t="s">
        <v>6193</v>
      </c>
      <c r="O375" s="18">
        <v>43986</v>
      </c>
    </row>
    <row r="376" spans="1:16" hidden="1" outlineLevel="1">
      <c r="A376" s="1">
        <v>10</v>
      </c>
      <c r="F376" s="170" t="s">
        <v>5526</v>
      </c>
      <c r="M376" s="2" t="s">
        <v>6656</v>
      </c>
      <c r="N376" s="2" t="s">
        <v>6100</v>
      </c>
      <c r="O376" s="18">
        <v>43986</v>
      </c>
    </row>
    <row r="377" spans="1:16" hidden="1" outlineLevel="1">
      <c r="A377" s="8"/>
      <c r="B377" s="58"/>
      <c r="C377" s="159"/>
      <c r="D377" s="8"/>
      <c r="E377" s="8"/>
      <c r="F377" s="171"/>
      <c r="G377" s="8"/>
      <c r="H377" s="8"/>
      <c r="I377" s="8"/>
      <c r="J377" s="58"/>
      <c r="K377" s="8"/>
      <c r="L377" s="58"/>
      <c r="M377" s="8"/>
      <c r="N377" s="8"/>
      <c r="O377" s="58"/>
      <c r="P377" s="8"/>
    </row>
    <row r="378" spans="1:16" hidden="1" outlineLevel="1">
      <c r="A378" s="1">
        <v>1</v>
      </c>
      <c r="B378" s="11">
        <v>43994</v>
      </c>
      <c r="C378" s="160">
        <v>338536</v>
      </c>
      <c r="D378" s="1" t="s">
        <v>402</v>
      </c>
      <c r="E378" s="1" t="s">
        <v>5169</v>
      </c>
      <c r="F378" s="170" t="s">
        <v>5527</v>
      </c>
      <c r="M378" s="2" t="s">
        <v>6657</v>
      </c>
      <c r="N378" s="2" t="s">
        <v>6194</v>
      </c>
      <c r="O378" s="18">
        <v>44001</v>
      </c>
    </row>
    <row r="379" spans="1:16" hidden="1" outlineLevel="1">
      <c r="A379" s="1">
        <v>2</v>
      </c>
      <c r="F379" s="170" t="s">
        <v>5528</v>
      </c>
      <c r="M379" s="2" t="s">
        <v>6658</v>
      </c>
      <c r="N379" s="2" t="s">
        <v>6195</v>
      </c>
    </row>
    <row r="380" spans="1:16" hidden="1" outlineLevel="1">
      <c r="A380" s="1">
        <v>3</v>
      </c>
      <c r="F380" s="170" t="s">
        <v>5529</v>
      </c>
      <c r="M380" s="2" t="s">
        <v>6659</v>
      </c>
      <c r="N380" s="2" t="s">
        <v>6195</v>
      </c>
      <c r="O380" s="18">
        <v>44001</v>
      </c>
    </row>
    <row r="381" spans="1:16" hidden="1" outlineLevel="1">
      <c r="A381" s="1">
        <v>4</v>
      </c>
      <c r="F381" s="170" t="s">
        <v>5530</v>
      </c>
    </row>
    <row r="382" spans="1:16" hidden="1" outlineLevel="1">
      <c r="A382" s="1">
        <v>5</v>
      </c>
      <c r="F382" s="170" t="s">
        <v>5531</v>
      </c>
    </row>
    <row r="383" spans="1:16" hidden="1" outlineLevel="1">
      <c r="A383" s="1">
        <v>6</v>
      </c>
      <c r="F383" s="170" t="s">
        <v>5532</v>
      </c>
      <c r="M383" s="2" t="s">
        <v>6660</v>
      </c>
      <c r="N383" s="2" t="s">
        <v>6196</v>
      </c>
      <c r="O383" s="18">
        <v>44019</v>
      </c>
    </row>
    <row r="384" spans="1:16" hidden="1" outlineLevel="1">
      <c r="A384" s="1">
        <v>7</v>
      </c>
      <c r="F384" s="170" t="s">
        <v>5533</v>
      </c>
      <c r="M384" s="2" t="s">
        <v>6661</v>
      </c>
      <c r="N384" s="2" t="s">
        <v>6197</v>
      </c>
      <c r="O384" s="18">
        <v>44018</v>
      </c>
    </row>
    <row r="385" spans="1:16" hidden="1" outlineLevel="1">
      <c r="A385" s="1">
        <v>8</v>
      </c>
      <c r="F385" s="170" t="s">
        <v>5534</v>
      </c>
      <c r="M385" s="2" t="s">
        <v>6662</v>
      </c>
      <c r="N385" s="2" t="s">
        <v>6198</v>
      </c>
      <c r="O385" s="18">
        <v>44005</v>
      </c>
    </row>
    <row r="386" spans="1:16" hidden="1" outlineLevel="1">
      <c r="A386" s="1">
        <v>9</v>
      </c>
      <c r="F386" s="170" t="s">
        <v>5535</v>
      </c>
      <c r="M386" s="2" t="s">
        <v>6663</v>
      </c>
      <c r="N386" s="2" t="s">
        <v>1936</v>
      </c>
      <c r="O386" s="18">
        <v>44015</v>
      </c>
    </row>
    <row r="387" spans="1:16" hidden="1" outlineLevel="1">
      <c r="A387" s="1">
        <v>10</v>
      </c>
      <c r="F387" s="170" t="s">
        <v>5536</v>
      </c>
      <c r="M387" s="2" t="s">
        <v>6664</v>
      </c>
      <c r="N387" s="2" t="s">
        <v>6146</v>
      </c>
      <c r="O387" s="18">
        <v>44011</v>
      </c>
    </row>
    <row r="388" spans="1:16" hidden="1" outlineLevel="1">
      <c r="A388" s="8"/>
      <c r="B388" s="58"/>
      <c r="C388" s="159"/>
      <c r="D388" s="8"/>
      <c r="E388" s="8"/>
      <c r="F388" s="171"/>
      <c r="G388" s="8"/>
      <c r="H388" s="8"/>
      <c r="I388" s="8"/>
      <c r="J388" s="58"/>
      <c r="K388" s="8"/>
      <c r="L388" s="58"/>
      <c r="M388" s="8"/>
      <c r="N388" s="8"/>
      <c r="O388" s="58"/>
      <c r="P388" s="8"/>
    </row>
    <row r="389" spans="1:16" hidden="1" outlineLevel="1">
      <c r="A389" s="1">
        <v>1</v>
      </c>
      <c r="B389" s="11">
        <v>44000</v>
      </c>
      <c r="C389" s="160">
        <v>2106</v>
      </c>
      <c r="D389" s="1" t="s">
        <v>5149</v>
      </c>
      <c r="E389" s="1" t="s">
        <v>5168</v>
      </c>
      <c r="F389" s="170" t="s">
        <v>5537</v>
      </c>
      <c r="M389" s="2" t="s">
        <v>6665</v>
      </c>
      <c r="N389" s="2" t="s">
        <v>6146</v>
      </c>
      <c r="O389" s="18">
        <v>44036</v>
      </c>
    </row>
    <row r="390" spans="1:16" hidden="1" outlineLevel="1">
      <c r="A390" s="1">
        <v>2</v>
      </c>
      <c r="F390" s="170" t="s">
        <v>5538</v>
      </c>
    </row>
    <row r="391" spans="1:16" hidden="1" outlineLevel="1">
      <c r="A391" s="1">
        <v>3</v>
      </c>
      <c r="F391" s="170" t="s">
        <v>5539</v>
      </c>
      <c r="M391" s="2" t="s">
        <v>6666</v>
      </c>
      <c r="N391" s="2" t="s">
        <v>6199</v>
      </c>
      <c r="O391" s="18">
        <v>44036</v>
      </c>
    </row>
    <row r="392" spans="1:16" hidden="1" outlineLevel="1">
      <c r="A392" s="1">
        <v>4</v>
      </c>
      <c r="F392" s="170" t="s">
        <v>5540</v>
      </c>
      <c r="M392" s="2" t="s">
        <v>6667</v>
      </c>
      <c r="N392" s="2" t="s">
        <v>293</v>
      </c>
      <c r="O392" s="18">
        <v>44039</v>
      </c>
    </row>
    <row r="393" spans="1:16" hidden="1" outlineLevel="1">
      <c r="A393" s="1">
        <v>5</v>
      </c>
      <c r="F393" s="170" t="s">
        <v>5541</v>
      </c>
      <c r="M393" s="2" t="s">
        <v>6668</v>
      </c>
      <c r="N393" s="2" t="s">
        <v>4616</v>
      </c>
      <c r="O393" s="18">
        <v>44041</v>
      </c>
    </row>
    <row r="394" spans="1:16" hidden="1" outlineLevel="1">
      <c r="A394" s="1">
        <v>6</v>
      </c>
      <c r="F394" s="170" t="s">
        <v>5542</v>
      </c>
      <c r="M394" s="2" t="s">
        <v>6669</v>
      </c>
      <c r="N394" s="2" t="s">
        <v>6146</v>
      </c>
      <c r="O394" s="18">
        <v>44043</v>
      </c>
    </row>
    <row r="395" spans="1:16" hidden="1" outlineLevel="1">
      <c r="A395" s="1">
        <v>7</v>
      </c>
      <c r="F395" s="170" t="s">
        <v>5543</v>
      </c>
      <c r="M395" s="2" t="s">
        <v>6670</v>
      </c>
      <c r="N395" s="2" t="s">
        <v>4600</v>
      </c>
      <c r="O395" s="18">
        <v>44046</v>
      </c>
    </row>
    <row r="396" spans="1:16" hidden="1" outlineLevel="1">
      <c r="A396" s="1">
        <v>8</v>
      </c>
      <c r="F396" s="170" t="s">
        <v>5544</v>
      </c>
      <c r="M396" s="2" t="s">
        <v>6671</v>
      </c>
      <c r="N396" s="2" t="s">
        <v>6200</v>
      </c>
      <c r="O396" s="18">
        <v>44047</v>
      </c>
    </row>
    <row r="397" spans="1:16" hidden="1" outlineLevel="1">
      <c r="A397" s="1">
        <v>9</v>
      </c>
      <c r="F397" s="170" t="s">
        <v>5545</v>
      </c>
      <c r="M397" s="2" t="s">
        <v>6672</v>
      </c>
      <c r="N397" s="2" t="s">
        <v>6201</v>
      </c>
      <c r="O397" s="18">
        <v>44047</v>
      </c>
    </row>
    <row r="398" spans="1:16" hidden="1" outlineLevel="1">
      <c r="A398" s="1">
        <v>10</v>
      </c>
      <c r="F398" s="170" t="s">
        <v>5546</v>
      </c>
      <c r="M398" s="2" t="s">
        <v>6673</v>
      </c>
      <c r="N398" s="2" t="s">
        <v>6100</v>
      </c>
      <c r="O398" s="18">
        <v>44046</v>
      </c>
    </row>
    <row r="399" spans="1:16" hidden="1" outlineLevel="1">
      <c r="A399" s="1">
        <v>11</v>
      </c>
      <c r="F399" s="170" t="s">
        <v>5547</v>
      </c>
      <c r="M399" s="2" t="s">
        <v>6674</v>
      </c>
      <c r="N399" s="2" t="s">
        <v>6146</v>
      </c>
      <c r="O399" s="18">
        <v>44029</v>
      </c>
    </row>
    <row r="400" spans="1:16" hidden="1" outlineLevel="1">
      <c r="A400" s="1">
        <v>12</v>
      </c>
      <c r="F400" s="170" t="s">
        <v>5548</v>
      </c>
      <c r="M400" s="2" t="s">
        <v>6675</v>
      </c>
      <c r="N400" s="2" t="s">
        <v>4628</v>
      </c>
      <c r="O400" s="18">
        <v>44027</v>
      </c>
    </row>
    <row r="401" spans="1:16" hidden="1" outlineLevel="1">
      <c r="A401" s="1">
        <v>13</v>
      </c>
      <c r="F401" s="170" t="s">
        <v>5549</v>
      </c>
      <c r="M401" s="2" t="s">
        <v>6676</v>
      </c>
      <c r="N401" s="2" t="s">
        <v>6202</v>
      </c>
      <c r="O401" s="18">
        <v>44027</v>
      </c>
    </row>
    <row r="402" spans="1:16" hidden="1" outlineLevel="1">
      <c r="A402" s="1">
        <v>14</v>
      </c>
      <c r="F402" s="170" t="s">
        <v>5550</v>
      </c>
      <c r="M402" s="2" t="s">
        <v>6677</v>
      </c>
      <c r="N402" s="2" t="s">
        <v>6203</v>
      </c>
      <c r="O402" s="18">
        <v>44026</v>
      </c>
    </row>
    <row r="403" spans="1:16" hidden="1" outlineLevel="1">
      <c r="A403" s="1">
        <v>15</v>
      </c>
      <c r="F403" s="170" t="s">
        <v>5551</v>
      </c>
    </row>
    <row r="404" spans="1:16" hidden="1" outlineLevel="1">
      <c r="A404" s="8"/>
      <c r="B404" s="58"/>
      <c r="C404" s="159"/>
      <c r="D404" s="8"/>
      <c r="E404" s="8"/>
      <c r="F404" s="171"/>
      <c r="G404" s="8"/>
      <c r="H404" s="8"/>
      <c r="I404" s="8"/>
      <c r="J404" s="58"/>
      <c r="K404" s="8"/>
      <c r="L404" s="58"/>
      <c r="M404" s="8"/>
      <c r="N404" s="8"/>
      <c r="O404" s="58"/>
      <c r="P404" s="8"/>
    </row>
    <row r="405" spans="1:16" hidden="1" outlineLevel="1">
      <c r="A405" s="1">
        <v>1</v>
      </c>
      <c r="B405" s="11">
        <v>44040</v>
      </c>
      <c r="C405" s="160">
        <v>490735</v>
      </c>
      <c r="D405" s="1" t="s">
        <v>402</v>
      </c>
      <c r="E405" s="1" t="s">
        <v>5166</v>
      </c>
      <c r="F405" s="170" t="s">
        <v>5552</v>
      </c>
      <c r="M405" s="2" t="s">
        <v>6678</v>
      </c>
      <c r="N405" s="2" t="s">
        <v>6204</v>
      </c>
      <c r="O405" s="18">
        <v>44047</v>
      </c>
    </row>
    <row r="406" spans="1:16" hidden="1" outlineLevel="1">
      <c r="A406" s="1">
        <v>2</v>
      </c>
      <c r="F406" s="170" t="s">
        <v>5553</v>
      </c>
      <c r="M406" s="2" t="s">
        <v>6679</v>
      </c>
      <c r="N406" s="2" t="s">
        <v>6205</v>
      </c>
      <c r="O406" s="18">
        <v>44056</v>
      </c>
    </row>
    <row r="407" spans="1:16" hidden="1" outlineLevel="1">
      <c r="A407" s="1">
        <v>3</v>
      </c>
      <c r="F407" s="170" t="s">
        <v>5554</v>
      </c>
      <c r="M407" s="2" t="s">
        <v>6680</v>
      </c>
      <c r="N407" s="2" t="s">
        <v>1057</v>
      </c>
      <c r="O407" s="18">
        <v>44055</v>
      </c>
    </row>
    <row r="408" spans="1:16" hidden="1" outlineLevel="1">
      <c r="A408" s="1">
        <v>4</v>
      </c>
      <c r="F408" s="170" t="s">
        <v>5555</v>
      </c>
      <c r="M408" s="2" t="s">
        <v>6681</v>
      </c>
      <c r="N408" s="2" t="s">
        <v>6206</v>
      </c>
      <c r="O408" s="18">
        <v>44055</v>
      </c>
    </row>
    <row r="409" spans="1:16" hidden="1" outlineLevel="1">
      <c r="A409" s="1">
        <v>5</v>
      </c>
      <c r="F409" s="170" t="s">
        <v>5556</v>
      </c>
      <c r="M409" s="2" t="s">
        <v>6682</v>
      </c>
      <c r="N409" s="2" t="s">
        <v>6207</v>
      </c>
      <c r="O409" s="18">
        <v>44054</v>
      </c>
    </row>
    <row r="410" spans="1:16" hidden="1" outlineLevel="1">
      <c r="A410" s="1">
        <v>6</v>
      </c>
      <c r="F410" s="170" t="s">
        <v>5557</v>
      </c>
      <c r="M410" s="2" t="s">
        <v>6683</v>
      </c>
      <c r="N410" s="2" t="s">
        <v>6208</v>
      </c>
      <c r="O410" s="18">
        <v>44054</v>
      </c>
    </row>
    <row r="411" spans="1:16" hidden="1" outlineLevel="1">
      <c r="A411" s="1">
        <v>7</v>
      </c>
      <c r="F411" s="170" t="s">
        <v>5558</v>
      </c>
      <c r="M411" s="2" t="s">
        <v>6684</v>
      </c>
      <c r="N411" s="2" t="s">
        <v>1057</v>
      </c>
      <c r="O411" s="18">
        <v>44054</v>
      </c>
    </row>
    <row r="412" spans="1:16" hidden="1" outlineLevel="1">
      <c r="A412" s="1">
        <v>8</v>
      </c>
      <c r="F412" s="170" t="s">
        <v>5559</v>
      </c>
      <c r="M412" s="2" t="s">
        <v>6685</v>
      </c>
      <c r="N412" s="2" t="s">
        <v>1057</v>
      </c>
      <c r="O412" s="18">
        <v>44054</v>
      </c>
    </row>
    <row r="413" spans="1:16" hidden="1" outlineLevel="1">
      <c r="A413" s="1">
        <v>9</v>
      </c>
      <c r="F413" s="170" t="s">
        <v>5560</v>
      </c>
      <c r="M413" s="2" t="s">
        <v>6686</v>
      </c>
      <c r="N413" s="2" t="s">
        <v>6209</v>
      </c>
      <c r="O413" s="18">
        <v>44048</v>
      </c>
    </row>
    <row r="414" spans="1:16" hidden="1" outlineLevel="1">
      <c r="A414" s="1">
        <v>10</v>
      </c>
      <c r="F414" s="170" t="s">
        <v>5561</v>
      </c>
      <c r="M414" s="2" t="s">
        <v>6687</v>
      </c>
      <c r="N414" s="2" t="s">
        <v>1057</v>
      </c>
      <c r="O414" s="18">
        <v>44054</v>
      </c>
    </row>
    <row r="415" spans="1:16" hidden="1" outlineLevel="1">
      <c r="A415" s="1">
        <v>11</v>
      </c>
      <c r="F415" s="170" t="s">
        <v>5562</v>
      </c>
      <c r="M415" s="2" t="s">
        <v>6688</v>
      </c>
      <c r="N415" s="2" t="s">
        <v>1057</v>
      </c>
      <c r="O415" s="18">
        <v>44054</v>
      </c>
    </row>
    <row r="416" spans="1:16" hidden="1" outlineLevel="1">
      <c r="A416" s="1">
        <v>12</v>
      </c>
      <c r="F416" s="170" t="s">
        <v>5563</v>
      </c>
      <c r="M416" s="2" t="s">
        <v>6689</v>
      </c>
      <c r="N416" s="2" t="s">
        <v>4601</v>
      </c>
      <c r="O416" s="18">
        <v>44054</v>
      </c>
    </row>
    <row r="417" spans="1:16" hidden="1" outlineLevel="1">
      <c r="A417" s="1">
        <v>13</v>
      </c>
      <c r="F417" s="170" t="s">
        <v>5564</v>
      </c>
      <c r="M417" s="2" t="s">
        <v>6690</v>
      </c>
      <c r="N417" s="2" t="s">
        <v>6210</v>
      </c>
      <c r="O417" s="18">
        <v>44049</v>
      </c>
    </row>
    <row r="418" spans="1:16" hidden="1" outlineLevel="1">
      <c r="A418" s="1">
        <v>14</v>
      </c>
      <c r="F418" s="170" t="s">
        <v>5565</v>
      </c>
      <c r="M418" s="2" t="s">
        <v>6691</v>
      </c>
      <c r="N418" s="2" t="s">
        <v>6181</v>
      </c>
      <c r="O418" s="18">
        <v>44056</v>
      </c>
    </row>
    <row r="419" spans="1:16" hidden="1" outlineLevel="1">
      <c r="A419" s="1">
        <v>15</v>
      </c>
      <c r="F419" s="170" t="s">
        <v>5566</v>
      </c>
      <c r="M419" s="2" t="s">
        <v>6692</v>
      </c>
      <c r="N419" s="2" t="s">
        <v>6211</v>
      </c>
      <c r="O419" s="18">
        <v>44047</v>
      </c>
    </row>
    <row r="420" spans="1:16" hidden="1" outlineLevel="1">
      <c r="A420" s="8"/>
      <c r="B420" s="58"/>
      <c r="C420" s="159"/>
      <c r="D420" s="8"/>
      <c r="E420" s="8"/>
      <c r="F420" s="171"/>
      <c r="G420" s="8"/>
      <c r="H420" s="8"/>
      <c r="I420" s="8"/>
      <c r="J420" s="58"/>
      <c r="K420" s="8"/>
      <c r="L420" s="58"/>
      <c r="M420" s="8"/>
      <c r="N420" s="8"/>
      <c r="O420" s="58"/>
      <c r="P420" s="8"/>
    </row>
    <row r="421" spans="1:16" hidden="1" outlineLevel="1">
      <c r="A421" s="1">
        <v>1</v>
      </c>
      <c r="B421" s="11">
        <v>44054</v>
      </c>
      <c r="C421" s="160">
        <v>535457</v>
      </c>
      <c r="D421" s="1" t="s">
        <v>402</v>
      </c>
      <c r="E421" s="1" t="s">
        <v>5166</v>
      </c>
      <c r="F421" s="170" t="s">
        <v>5567</v>
      </c>
      <c r="M421" s="2" t="s">
        <v>6693</v>
      </c>
      <c r="N421" s="2" t="s">
        <v>6146</v>
      </c>
      <c r="O421" s="18">
        <v>44057</v>
      </c>
    </row>
    <row r="422" spans="1:16" hidden="1" outlineLevel="1">
      <c r="A422" s="1">
        <v>2</v>
      </c>
      <c r="F422" s="170" t="s">
        <v>5568</v>
      </c>
      <c r="N422" s="2" t="s">
        <v>6212</v>
      </c>
    </row>
    <row r="423" spans="1:16" hidden="1" outlineLevel="1">
      <c r="A423" s="1">
        <v>3</v>
      </c>
      <c r="F423" s="170" t="s">
        <v>5569</v>
      </c>
      <c r="N423" s="2" t="s">
        <v>6213</v>
      </c>
    </row>
    <row r="424" spans="1:16" hidden="1" outlineLevel="1">
      <c r="A424" s="1">
        <v>4</v>
      </c>
      <c r="F424" s="170" t="s">
        <v>5570</v>
      </c>
      <c r="N424" s="2" t="s">
        <v>6214</v>
      </c>
    </row>
    <row r="425" spans="1:16" hidden="1" outlineLevel="1">
      <c r="A425" s="1">
        <v>5</v>
      </c>
      <c r="F425" s="170" t="s">
        <v>5571</v>
      </c>
      <c r="N425" s="2" t="s">
        <v>4587</v>
      </c>
    </row>
    <row r="426" spans="1:16" hidden="1" outlineLevel="1">
      <c r="A426" s="1">
        <v>6</v>
      </c>
      <c r="F426" s="170" t="s">
        <v>5572</v>
      </c>
      <c r="N426" s="2" t="s">
        <v>6215</v>
      </c>
    </row>
    <row r="427" spans="1:16" hidden="1" outlineLevel="1">
      <c r="A427" s="1">
        <v>7</v>
      </c>
      <c r="F427" s="170" t="s">
        <v>5573</v>
      </c>
      <c r="N427" s="2" t="s">
        <v>6215</v>
      </c>
    </row>
    <row r="428" spans="1:16" hidden="1" outlineLevel="1">
      <c r="A428" s="1">
        <v>8</v>
      </c>
      <c r="F428" s="170" t="s">
        <v>5574</v>
      </c>
      <c r="N428" s="2" t="s">
        <v>4647</v>
      </c>
    </row>
    <row r="429" spans="1:16" hidden="1" outlineLevel="1">
      <c r="A429" s="1">
        <v>9</v>
      </c>
      <c r="F429" s="170" t="s">
        <v>5575</v>
      </c>
      <c r="N429" s="2" t="s">
        <v>4647</v>
      </c>
    </row>
    <row r="430" spans="1:16" hidden="1" outlineLevel="1">
      <c r="A430" s="1">
        <v>10</v>
      </c>
      <c r="F430" s="170" t="s">
        <v>5576</v>
      </c>
      <c r="N430" s="2" t="s">
        <v>4647</v>
      </c>
    </row>
    <row r="431" spans="1:16" hidden="1" outlineLevel="1">
      <c r="A431" s="1">
        <v>11</v>
      </c>
      <c r="F431" s="170" t="s">
        <v>5577</v>
      </c>
      <c r="N431" s="2" t="s">
        <v>6216</v>
      </c>
    </row>
    <row r="432" spans="1:16" hidden="1" outlineLevel="1">
      <c r="A432" s="1">
        <v>12</v>
      </c>
      <c r="F432" s="170" t="s">
        <v>5578</v>
      </c>
    </row>
    <row r="433" spans="1:16" hidden="1" outlineLevel="1">
      <c r="A433" s="1">
        <v>13</v>
      </c>
      <c r="F433" s="170" t="s">
        <v>5579</v>
      </c>
      <c r="M433" s="2" t="s">
        <v>6694</v>
      </c>
      <c r="N433" s="2" t="s">
        <v>6146</v>
      </c>
      <c r="O433" s="18">
        <v>44057</v>
      </c>
    </row>
    <row r="434" spans="1:16" hidden="1" outlineLevel="1">
      <c r="A434" s="1">
        <v>14</v>
      </c>
      <c r="F434" s="170" t="s">
        <v>5580</v>
      </c>
      <c r="N434" s="2" t="s">
        <v>6217</v>
      </c>
    </row>
    <row r="435" spans="1:16" hidden="1" outlineLevel="1">
      <c r="A435" s="1">
        <v>15</v>
      </c>
      <c r="F435" s="170" t="s">
        <v>5581</v>
      </c>
      <c r="N435" s="2" t="s">
        <v>6218</v>
      </c>
    </row>
    <row r="436" spans="1:16" hidden="1" outlineLevel="1">
      <c r="A436" s="8"/>
      <c r="B436" s="58"/>
      <c r="C436" s="159"/>
      <c r="D436" s="8"/>
      <c r="E436" s="8"/>
      <c r="F436" s="171"/>
      <c r="G436" s="8"/>
      <c r="H436" s="8"/>
      <c r="I436" s="8"/>
      <c r="J436" s="58"/>
      <c r="K436" s="8"/>
      <c r="L436" s="58"/>
      <c r="M436" s="8"/>
      <c r="N436" s="8"/>
      <c r="O436" s="58"/>
      <c r="P436" s="8"/>
    </row>
    <row r="437" spans="1:16" hidden="1" outlineLevel="1">
      <c r="A437" s="1">
        <v>1</v>
      </c>
      <c r="B437" s="11">
        <v>44054</v>
      </c>
      <c r="C437" s="160">
        <v>535367</v>
      </c>
      <c r="D437" s="1" t="s">
        <v>402</v>
      </c>
      <c r="E437" s="1" t="s">
        <v>5166</v>
      </c>
      <c r="F437" s="170" t="s">
        <v>5582</v>
      </c>
      <c r="N437" s="2" t="s">
        <v>6125</v>
      </c>
    </row>
    <row r="438" spans="1:16" hidden="1" outlineLevel="1">
      <c r="A438" s="1">
        <v>2</v>
      </c>
      <c r="F438" s="170" t="s">
        <v>5583</v>
      </c>
      <c r="N438" s="2" t="s">
        <v>6219</v>
      </c>
    </row>
    <row r="439" spans="1:16" hidden="1" outlineLevel="1">
      <c r="A439" s="1">
        <v>3</v>
      </c>
      <c r="F439" s="170" t="s">
        <v>5584</v>
      </c>
      <c r="N439" s="2" t="s">
        <v>6220</v>
      </c>
    </row>
    <row r="440" spans="1:16" hidden="1" outlineLevel="1">
      <c r="A440" s="1">
        <v>4</v>
      </c>
      <c r="F440" s="170" t="s">
        <v>5585</v>
      </c>
      <c r="N440" s="2" t="s">
        <v>6221</v>
      </c>
    </row>
    <row r="441" spans="1:16" hidden="1" outlineLevel="1">
      <c r="A441" s="1">
        <v>5</v>
      </c>
      <c r="F441" s="170" t="s">
        <v>5586</v>
      </c>
      <c r="N441" s="2" t="s">
        <v>6222</v>
      </c>
    </row>
    <row r="442" spans="1:16" hidden="1" outlineLevel="1">
      <c r="A442" s="1">
        <v>6</v>
      </c>
      <c r="F442" s="170" t="s">
        <v>5587</v>
      </c>
      <c r="N442" s="2" t="s">
        <v>1257</v>
      </c>
    </row>
    <row r="443" spans="1:16" hidden="1" outlineLevel="1">
      <c r="A443" s="1">
        <v>7</v>
      </c>
      <c r="F443" s="170" t="s">
        <v>5588</v>
      </c>
      <c r="N443" s="2" t="s">
        <v>6223</v>
      </c>
    </row>
    <row r="444" spans="1:16" hidden="1" outlineLevel="1">
      <c r="A444" s="1">
        <v>8</v>
      </c>
      <c r="F444" s="170" t="s">
        <v>5589</v>
      </c>
      <c r="N444" s="2" t="s">
        <v>6224</v>
      </c>
    </row>
    <row r="445" spans="1:16" hidden="1" outlineLevel="1">
      <c r="A445" s="1">
        <v>9</v>
      </c>
      <c r="F445" s="170" t="s">
        <v>5590</v>
      </c>
      <c r="N445" s="2" t="s">
        <v>6224</v>
      </c>
    </row>
    <row r="446" spans="1:16" hidden="1" outlineLevel="1">
      <c r="A446" s="1">
        <v>10</v>
      </c>
      <c r="F446" s="170" t="s">
        <v>5591</v>
      </c>
      <c r="N446" s="2" t="s">
        <v>6224</v>
      </c>
    </row>
    <row r="447" spans="1:16" hidden="1" outlineLevel="1">
      <c r="A447" s="1">
        <v>11</v>
      </c>
      <c r="F447" s="170" t="s">
        <v>5592</v>
      </c>
      <c r="N447" s="2" t="s">
        <v>6225</v>
      </c>
    </row>
    <row r="448" spans="1:16" hidden="1" outlineLevel="1">
      <c r="A448" s="1">
        <v>12</v>
      </c>
      <c r="F448" s="170" t="s">
        <v>5593</v>
      </c>
      <c r="N448" s="2" t="s">
        <v>6225</v>
      </c>
    </row>
    <row r="449" spans="1:16" hidden="1" outlineLevel="1">
      <c r="A449" s="1">
        <v>13</v>
      </c>
      <c r="F449" s="170" t="s">
        <v>5594</v>
      </c>
      <c r="N449" s="2" t="s">
        <v>6226</v>
      </c>
    </row>
    <row r="450" spans="1:16" hidden="1" outlineLevel="1">
      <c r="A450" s="1">
        <v>14</v>
      </c>
      <c r="F450" s="170" t="s">
        <v>5595</v>
      </c>
      <c r="N450" s="2" t="s">
        <v>4697</v>
      </c>
    </row>
    <row r="451" spans="1:16" hidden="1" outlineLevel="1">
      <c r="A451" s="1">
        <v>15</v>
      </c>
      <c r="F451" s="170" t="s">
        <v>5596</v>
      </c>
      <c r="N451" s="2" t="s">
        <v>6227</v>
      </c>
    </row>
    <row r="452" spans="1:16" hidden="1" outlineLevel="1">
      <c r="A452" s="8"/>
      <c r="B452" s="58"/>
      <c r="C452" s="159"/>
      <c r="D452" s="8"/>
      <c r="E452" s="8"/>
      <c r="F452" s="171"/>
      <c r="G452" s="8"/>
      <c r="H452" s="8"/>
      <c r="I452" s="8"/>
      <c r="J452" s="58"/>
      <c r="K452" s="8"/>
      <c r="L452" s="58"/>
      <c r="M452" s="8"/>
      <c r="N452" s="8"/>
      <c r="O452" s="58"/>
      <c r="P452" s="8"/>
    </row>
    <row r="453" spans="1:16" hidden="1" outlineLevel="1">
      <c r="A453" s="1">
        <v>1</v>
      </c>
      <c r="B453" s="11">
        <v>44068</v>
      </c>
      <c r="C453" s="160">
        <v>583315</v>
      </c>
      <c r="D453" s="1" t="s">
        <v>402</v>
      </c>
      <c r="E453" s="1" t="s">
        <v>5166</v>
      </c>
      <c r="F453" s="170" t="s">
        <v>5597</v>
      </c>
      <c r="N453" s="2" t="s">
        <v>6228</v>
      </c>
    </row>
    <row r="454" spans="1:16" hidden="1" outlineLevel="1">
      <c r="A454" s="1">
        <v>2</v>
      </c>
      <c r="F454" s="170" t="s">
        <v>5598</v>
      </c>
      <c r="N454" s="2" t="s">
        <v>6229</v>
      </c>
    </row>
    <row r="455" spans="1:16" hidden="1" outlineLevel="1">
      <c r="A455" s="1">
        <v>3</v>
      </c>
      <c r="F455" s="170" t="s">
        <v>5599</v>
      </c>
      <c r="N455" s="2" t="s">
        <v>6230</v>
      </c>
    </row>
    <row r="456" spans="1:16" hidden="1" outlineLevel="1">
      <c r="A456" s="1">
        <v>4</v>
      </c>
      <c r="F456" s="170" t="s">
        <v>5600</v>
      </c>
      <c r="N456" s="2" t="s">
        <v>6225</v>
      </c>
    </row>
    <row r="457" spans="1:16" hidden="1" outlineLevel="1">
      <c r="A457" s="1">
        <v>5</v>
      </c>
      <c r="F457" s="170" t="s">
        <v>5601</v>
      </c>
      <c r="N457" s="2" t="s">
        <v>1230</v>
      </c>
    </row>
    <row r="458" spans="1:16" hidden="1" outlineLevel="1">
      <c r="A458" s="1">
        <v>6</v>
      </c>
      <c r="F458" s="170" t="s">
        <v>5602</v>
      </c>
      <c r="N458" s="2" t="s">
        <v>6043</v>
      </c>
    </row>
    <row r="459" spans="1:16" hidden="1" outlineLevel="1">
      <c r="A459" s="1">
        <v>7</v>
      </c>
      <c r="F459" s="170" t="s">
        <v>5603</v>
      </c>
      <c r="N459" s="2" t="s">
        <v>6231</v>
      </c>
    </row>
    <row r="460" spans="1:16" hidden="1" outlineLevel="1">
      <c r="A460" s="1">
        <v>8</v>
      </c>
      <c r="F460" s="170" t="s">
        <v>5604</v>
      </c>
      <c r="N460" s="2" t="s">
        <v>6232</v>
      </c>
    </row>
    <row r="461" spans="1:16" hidden="1" outlineLevel="1">
      <c r="A461" s="1">
        <v>9</v>
      </c>
      <c r="F461" s="170" t="s">
        <v>5605</v>
      </c>
      <c r="N461" s="2" t="s">
        <v>6233</v>
      </c>
    </row>
    <row r="462" spans="1:16" hidden="1" outlineLevel="1">
      <c r="A462" s="1">
        <v>10</v>
      </c>
      <c r="F462" s="170" t="s">
        <v>5606</v>
      </c>
      <c r="N462" s="2" t="s">
        <v>6234</v>
      </c>
    </row>
    <row r="463" spans="1:16" hidden="1" outlineLevel="1">
      <c r="A463" s="1">
        <v>11</v>
      </c>
      <c r="F463" s="170" t="s">
        <v>5607</v>
      </c>
      <c r="N463" s="2" t="s">
        <v>4697</v>
      </c>
    </row>
    <row r="464" spans="1:16" hidden="1" outlineLevel="1">
      <c r="A464" s="1">
        <v>12</v>
      </c>
      <c r="F464" s="170" t="s">
        <v>5608</v>
      </c>
      <c r="N464" s="2" t="s">
        <v>4818</v>
      </c>
    </row>
    <row r="465" spans="1:16" hidden="1" outlineLevel="1">
      <c r="A465" s="1">
        <v>13</v>
      </c>
      <c r="F465" s="170" t="s">
        <v>5609</v>
      </c>
      <c r="N465" s="2" t="s">
        <v>6235</v>
      </c>
    </row>
    <row r="466" spans="1:16" hidden="1" outlineLevel="1">
      <c r="A466" s="1">
        <v>14</v>
      </c>
      <c r="F466" s="170" t="s">
        <v>5610</v>
      </c>
      <c r="N466" s="2" t="s">
        <v>4616</v>
      </c>
    </row>
    <row r="467" spans="1:16" hidden="1" outlineLevel="1">
      <c r="A467" s="1">
        <v>15</v>
      </c>
      <c r="F467" s="170" t="s">
        <v>5611</v>
      </c>
      <c r="N467" s="2" t="s">
        <v>6228</v>
      </c>
    </row>
    <row r="468" spans="1:16" hidden="1" outlineLevel="1">
      <c r="A468" s="8"/>
      <c r="B468" s="58"/>
      <c r="C468" s="159"/>
      <c r="D468" s="8"/>
      <c r="E468" s="8"/>
      <c r="F468" s="171"/>
      <c r="G468" s="8"/>
      <c r="H468" s="8"/>
      <c r="I468" s="8"/>
      <c r="J468" s="58"/>
      <c r="K468" s="8"/>
      <c r="L468" s="58"/>
      <c r="M468" s="8"/>
      <c r="N468" s="8"/>
      <c r="O468" s="58"/>
      <c r="P468" s="8"/>
    </row>
    <row r="469" spans="1:16" hidden="1" outlineLevel="1">
      <c r="A469" s="1">
        <v>1</v>
      </c>
      <c r="B469" s="11">
        <v>44094</v>
      </c>
      <c r="C469" s="160">
        <v>662768</v>
      </c>
      <c r="D469" s="1" t="s">
        <v>402</v>
      </c>
      <c r="E469" s="1" t="s">
        <v>5170</v>
      </c>
      <c r="F469" s="170" t="s">
        <v>5612</v>
      </c>
      <c r="N469" s="2" t="s">
        <v>6236</v>
      </c>
    </row>
    <row r="470" spans="1:16" hidden="1" outlineLevel="1">
      <c r="A470" s="1">
        <v>2</v>
      </c>
      <c r="F470" s="170" t="s">
        <v>5613</v>
      </c>
      <c r="N470" s="2" t="s">
        <v>6237</v>
      </c>
    </row>
    <row r="471" spans="1:16" hidden="1" outlineLevel="1">
      <c r="A471" s="1">
        <v>3</v>
      </c>
      <c r="F471" s="170" t="s">
        <v>5614</v>
      </c>
      <c r="N471" s="2" t="s">
        <v>4804</v>
      </c>
    </row>
    <row r="472" spans="1:16" hidden="1" outlineLevel="1">
      <c r="A472" s="1">
        <v>4</v>
      </c>
      <c r="F472" s="170" t="s">
        <v>5615</v>
      </c>
      <c r="N472" s="2" t="s">
        <v>6238</v>
      </c>
    </row>
    <row r="473" spans="1:16" hidden="1" outlineLevel="1">
      <c r="A473" s="1">
        <v>5</v>
      </c>
      <c r="F473" s="170" t="s">
        <v>5616</v>
      </c>
      <c r="N473" s="2" t="s">
        <v>6239</v>
      </c>
    </row>
    <row r="474" spans="1:16" hidden="1" outlineLevel="1">
      <c r="A474" s="1">
        <v>6</v>
      </c>
      <c r="F474" s="170" t="s">
        <v>5617</v>
      </c>
      <c r="N474" s="2" t="s">
        <v>6240</v>
      </c>
    </row>
    <row r="475" spans="1:16" hidden="1" outlineLevel="1">
      <c r="A475" s="1">
        <v>7</v>
      </c>
      <c r="F475" s="170" t="s">
        <v>5618</v>
      </c>
      <c r="N475" s="2" t="s">
        <v>6241</v>
      </c>
    </row>
    <row r="476" spans="1:16" hidden="1" outlineLevel="1">
      <c r="A476" s="1">
        <v>8</v>
      </c>
      <c r="F476" s="170" t="s">
        <v>5619</v>
      </c>
      <c r="N476" s="2" t="s">
        <v>6242</v>
      </c>
    </row>
    <row r="477" spans="1:16" hidden="1" outlineLevel="1">
      <c r="A477" s="1">
        <v>9</v>
      </c>
      <c r="F477" s="170" t="s">
        <v>5620</v>
      </c>
      <c r="N477" s="2" t="s">
        <v>6243</v>
      </c>
    </row>
    <row r="478" spans="1:16" hidden="1" outlineLevel="1">
      <c r="A478" s="1">
        <v>10</v>
      </c>
      <c r="F478" s="170" t="s">
        <v>5621</v>
      </c>
      <c r="N478" s="2" t="s">
        <v>6244</v>
      </c>
    </row>
    <row r="479" spans="1:16" hidden="1" outlineLevel="1">
      <c r="A479" s="1">
        <v>11</v>
      </c>
      <c r="F479" s="170" t="s">
        <v>5622</v>
      </c>
      <c r="N479" s="2" t="s">
        <v>6181</v>
      </c>
    </row>
    <row r="480" spans="1:16" hidden="1" outlineLevel="1">
      <c r="A480" s="1">
        <v>12</v>
      </c>
      <c r="F480" s="170" t="s">
        <v>5623</v>
      </c>
      <c r="N480" s="2" t="s">
        <v>6181</v>
      </c>
    </row>
    <row r="481" spans="1:16" hidden="1" outlineLevel="1">
      <c r="A481" s="1">
        <v>13</v>
      </c>
      <c r="F481" s="170" t="s">
        <v>5624</v>
      </c>
      <c r="N481" s="2" t="s">
        <v>6245</v>
      </c>
    </row>
    <row r="482" spans="1:16" hidden="1" outlineLevel="1">
      <c r="A482" s="1">
        <v>14</v>
      </c>
      <c r="F482" s="170" t="s">
        <v>5625</v>
      </c>
      <c r="N482" s="2" t="s">
        <v>6246</v>
      </c>
    </row>
    <row r="483" spans="1:16" hidden="1" outlineLevel="1">
      <c r="A483" s="1">
        <v>15</v>
      </c>
      <c r="F483" s="170" t="s">
        <v>5626</v>
      </c>
      <c r="N483" s="2" t="s">
        <v>6181</v>
      </c>
    </row>
    <row r="484" spans="1:16" hidden="1" outlineLevel="1">
      <c r="A484" s="1">
        <v>16</v>
      </c>
      <c r="F484" s="170" t="s">
        <v>5627</v>
      </c>
      <c r="N484" s="2" t="s">
        <v>6181</v>
      </c>
    </row>
    <row r="485" spans="1:16" hidden="1" outlineLevel="1">
      <c r="A485" s="1">
        <v>17</v>
      </c>
      <c r="F485" s="170" t="s">
        <v>5628</v>
      </c>
      <c r="N485" s="2" t="s">
        <v>4616</v>
      </c>
    </row>
    <row r="486" spans="1:16" hidden="1" outlineLevel="1">
      <c r="A486" s="1">
        <v>18</v>
      </c>
      <c r="F486" s="170" t="s">
        <v>5629</v>
      </c>
      <c r="N486" s="2" t="s">
        <v>6146</v>
      </c>
    </row>
    <row r="487" spans="1:16" hidden="1" outlineLevel="1">
      <c r="A487" s="1">
        <v>19</v>
      </c>
      <c r="F487" s="170" t="s">
        <v>5630</v>
      </c>
      <c r="N487" s="2" t="s">
        <v>6228</v>
      </c>
    </row>
    <row r="488" spans="1:16" hidden="1" outlineLevel="1">
      <c r="A488" s="1">
        <v>20</v>
      </c>
      <c r="F488" s="170" t="s">
        <v>5631</v>
      </c>
    </row>
    <row r="489" spans="1:16" hidden="1" outlineLevel="1">
      <c r="A489" s="8"/>
      <c r="B489" s="58"/>
      <c r="C489" s="159"/>
      <c r="D489" s="8"/>
      <c r="E489" s="8"/>
      <c r="F489" s="171"/>
      <c r="G489" s="8"/>
      <c r="H489" s="8"/>
      <c r="I489" s="8"/>
      <c r="J489" s="58"/>
      <c r="K489" s="8"/>
      <c r="L489" s="58"/>
      <c r="M489" s="8"/>
      <c r="N489" s="8"/>
      <c r="O489" s="58"/>
      <c r="P489" s="8"/>
    </row>
    <row r="490" spans="1:16" hidden="1" outlineLevel="1">
      <c r="A490" s="1">
        <v>1</v>
      </c>
      <c r="B490" s="11">
        <v>44119</v>
      </c>
      <c r="C490" s="160">
        <v>748765</v>
      </c>
      <c r="D490" s="1" t="s">
        <v>402</v>
      </c>
      <c r="E490" s="1" t="s">
        <v>5170</v>
      </c>
      <c r="F490" s="170" t="s">
        <v>5632</v>
      </c>
    </row>
    <row r="491" spans="1:16" hidden="1" outlineLevel="1">
      <c r="A491" s="1">
        <v>2</v>
      </c>
      <c r="F491" s="170" t="s">
        <v>5633</v>
      </c>
      <c r="N491" s="2" t="s">
        <v>6247</v>
      </c>
    </row>
    <row r="492" spans="1:16" hidden="1" outlineLevel="1">
      <c r="A492" s="1">
        <v>3</v>
      </c>
      <c r="F492" s="170" t="s">
        <v>5634</v>
      </c>
      <c r="N492" s="2" t="s">
        <v>6248</v>
      </c>
    </row>
    <row r="493" spans="1:16" hidden="1" outlineLevel="1">
      <c r="A493" s="1">
        <v>4</v>
      </c>
      <c r="F493" s="170" t="s">
        <v>5635</v>
      </c>
      <c r="N493" s="2" t="s">
        <v>4763</v>
      </c>
    </row>
    <row r="494" spans="1:16" hidden="1" outlineLevel="1">
      <c r="A494" s="1">
        <v>5</v>
      </c>
      <c r="F494" s="170" t="s">
        <v>5636</v>
      </c>
      <c r="N494" s="2" t="s">
        <v>6249</v>
      </c>
    </row>
    <row r="495" spans="1:16" hidden="1" outlineLevel="1">
      <c r="A495" s="1">
        <v>6</v>
      </c>
      <c r="F495" s="170" t="s">
        <v>5637</v>
      </c>
      <c r="N495" s="2" t="s">
        <v>6250</v>
      </c>
    </row>
    <row r="496" spans="1:16" hidden="1" outlineLevel="1">
      <c r="A496" s="1">
        <v>7</v>
      </c>
      <c r="F496" s="170" t="s">
        <v>5638</v>
      </c>
      <c r="N496" s="2" t="s">
        <v>6251</v>
      </c>
    </row>
    <row r="497" spans="1:16" hidden="1" outlineLevel="1">
      <c r="A497" s="1">
        <v>8</v>
      </c>
      <c r="F497" s="170" t="s">
        <v>5639</v>
      </c>
    </row>
    <row r="498" spans="1:16" hidden="1" outlineLevel="1">
      <c r="A498" s="1">
        <v>9</v>
      </c>
      <c r="F498" s="170" t="s">
        <v>5640</v>
      </c>
    </row>
    <row r="499" spans="1:16" hidden="1" outlineLevel="1">
      <c r="A499" s="1">
        <v>10</v>
      </c>
      <c r="F499" s="170" t="s">
        <v>5641</v>
      </c>
      <c r="N499" s="2" t="s">
        <v>6252</v>
      </c>
    </row>
    <row r="500" spans="1:16" hidden="1" outlineLevel="1">
      <c r="A500" s="1">
        <v>11</v>
      </c>
      <c r="F500" s="170" t="s">
        <v>5642</v>
      </c>
      <c r="N500" s="2" t="s">
        <v>6252</v>
      </c>
    </row>
    <row r="501" spans="1:16" hidden="1" outlineLevel="1">
      <c r="A501" s="1">
        <v>12</v>
      </c>
      <c r="F501" s="170" t="s">
        <v>5643</v>
      </c>
      <c r="N501" s="2" t="s">
        <v>6253</v>
      </c>
    </row>
    <row r="502" spans="1:16" hidden="1" outlineLevel="1">
      <c r="A502" s="1">
        <v>13</v>
      </c>
      <c r="F502" s="170" t="s">
        <v>5644</v>
      </c>
      <c r="N502" s="2" t="s">
        <v>4814</v>
      </c>
    </row>
    <row r="503" spans="1:16" hidden="1" outlineLevel="1">
      <c r="A503" s="1">
        <v>14</v>
      </c>
      <c r="F503" s="170" t="s">
        <v>5645</v>
      </c>
      <c r="N503" s="2" t="s">
        <v>6254</v>
      </c>
    </row>
    <row r="504" spans="1:16" hidden="1" outlineLevel="1">
      <c r="A504" s="1">
        <v>15</v>
      </c>
      <c r="F504" s="170" t="s">
        <v>5646</v>
      </c>
      <c r="N504" s="2" t="s">
        <v>6252</v>
      </c>
    </row>
    <row r="505" spans="1:16" hidden="1" outlineLevel="1">
      <c r="A505" s="8"/>
      <c r="B505" s="58"/>
      <c r="C505" s="159"/>
      <c r="D505" s="8"/>
      <c r="E505" s="8"/>
      <c r="F505" s="171"/>
      <c r="G505" s="8"/>
      <c r="H505" s="8"/>
      <c r="I505" s="8"/>
      <c r="J505" s="58"/>
      <c r="K505" s="8"/>
      <c r="L505" s="58"/>
      <c r="M505" s="8"/>
      <c r="N505" s="8"/>
      <c r="O505" s="58"/>
      <c r="P505" s="8"/>
    </row>
    <row r="506" spans="1:16" hidden="1" outlineLevel="1">
      <c r="A506" s="1">
        <v>1</v>
      </c>
      <c r="B506" s="11">
        <v>44152</v>
      </c>
      <c r="C506" s="160">
        <v>866307</v>
      </c>
      <c r="D506" s="1" t="s">
        <v>402</v>
      </c>
      <c r="E506" s="1" t="s">
        <v>5171</v>
      </c>
      <c r="F506" s="170" t="s">
        <v>5647</v>
      </c>
      <c r="N506" s="2" t="s">
        <v>6255</v>
      </c>
    </row>
    <row r="507" spans="1:16" hidden="1" outlineLevel="1">
      <c r="A507" s="1">
        <v>2</v>
      </c>
      <c r="F507" s="170" t="s">
        <v>5648</v>
      </c>
      <c r="N507" s="2" t="s">
        <v>6256</v>
      </c>
    </row>
    <row r="508" spans="1:16" hidden="1" outlineLevel="1">
      <c r="A508" s="1">
        <v>3</v>
      </c>
      <c r="F508" s="170" t="s">
        <v>5649</v>
      </c>
      <c r="N508" s="2" t="s">
        <v>6257</v>
      </c>
    </row>
    <row r="509" spans="1:16" hidden="1" outlineLevel="1">
      <c r="A509" s="1">
        <v>4</v>
      </c>
      <c r="F509" s="170" t="s">
        <v>5650</v>
      </c>
      <c r="N509" s="2" t="s">
        <v>6258</v>
      </c>
    </row>
    <row r="510" spans="1:16" hidden="1" outlineLevel="1">
      <c r="A510" s="1">
        <v>5</v>
      </c>
      <c r="F510" s="170" t="s">
        <v>5651</v>
      </c>
      <c r="N510" s="2" t="s">
        <v>6259</v>
      </c>
    </row>
    <row r="511" spans="1:16" hidden="1" outlineLevel="1">
      <c r="A511" s="1">
        <v>6</v>
      </c>
      <c r="F511" s="170" t="s">
        <v>5652</v>
      </c>
      <c r="N511" s="2" t="s">
        <v>6260</v>
      </c>
    </row>
    <row r="512" spans="1:16" hidden="1" outlineLevel="1">
      <c r="A512" s="1">
        <v>7</v>
      </c>
      <c r="F512" s="170" t="s">
        <v>5653</v>
      </c>
      <c r="N512" s="2" t="s">
        <v>1551</v>
      </c>
    </row>
    <row r="513" spans="1:16" hidden="1" outlineLevel="1">
      <c r="A513" s="1">
        <v>8</v>
      </c>
      <c r="F513" s="170" t="s">
        <v>5654</v>
      </c>
      <c r="N513" s="2" t="s">
        <v>6261</v>
      </c>
    </row>
    <row r="514" spans="1:16" hidden="1" outlineLevel="1">
      <c r="A514" s="1">
        <v>9</v>
      </c>
      <c r="F514" s="170" t="s">
        <v>5655</v>
      </c>
      <c r="N514" s="2" t="s">
        <v>1936</v>
      </c>
    </row>
    <row r="515" spans="1:16" hidden="1" outlineLevel="1">
      <c r="A515" s="1">
        <v>10</v>
      </c>
      <c r="F515" s="170" t="s">
        <v>5656</v>
      </c>
      <c r="N515" s="2" t="s">
        <v>6259</v>
      </c>
    </row>
    <row r="516" spans="1:16" hidden="1" outlineLevel="1">
      <c r="A516" s="1">
        <v>11</v>
      </c>
      <c r="F516" s="170" t="s">
        <v>5657</v>
      </c>
      <c r="N516" s="2" t="s">
        <v>6262</v>
      </c>
    </row>
    <row r="517" spans="1:16" hidden="1" outlineLevel="1">
      <c r="A517" s="1">
        <v>12</v>
      </c>
      <c r="F517" s="170" t="s">
        <v>5658</v>
      </c>
      <c r="N517" s="2" t="s">
        <v>4763</v>
      </c>
    </row>
    <row r="518" spans="1:16" hidden="1" outlineLevel="1">
      <c r="A518" s="1">
        <v>13</v>
      </c>
      <c r="F518" s="170" t="s">
        <v>5659</v>
      </c>
      <c r="N518" s="2" t="s">
        <v>6263</v>
      </c>
    </row>
    <row r="519" spans="1:16" hidden="1" outlineLevel="1">
      <c r="A519" s="1">
        <v>14</v>
      </c>
      <c r="F519" s="170" t="s">
        <v>5660</v>
      </c>
      <c r="N519" s="2" t="s">
        <v>6264</v>
      </c>
    </row>
    <row r="520" spans="1:16" hidden="1" outlineLevel="1">
      <c r="A520" s="1">
        <v>15</v>
      </c>
      <c r="F520" s="170" t="s">
        <v>5661</v>
      </c>
    </row>
    <row r="521" spans="1:16" hidden="1" outlineLevel="1">
      <c r="A521" s="8"/>
      <c r="B521" s="58"/>
      <c r="C521" s="159"/>
      <c r="D521" s="8"/>
      <c r="E521" s="8"/>
      <c r="F521" s="171"/>
      <c r="G521" s="8"/>
      <c r="H521" s="8"/>
      <c r="I521" s="8"/>
      <c r="J521" s="58"/>
      <c r="K521" s="8"/>
      <c r="L521" s="58"/>
      <c r="M521" s="8"/>
      <c r="N521" s="8"/>
      <c r="O521" s="58"/>
      <c r="P521" s="8"/>
    </row>
    <row r="522" spans="1:16" hidden="1" outlineLevel="1">
      <c r="A522" s="1">
        <v>1</v>
      </c>
      <c r="B522" s="11">
        <v>44172</v>
      </c>
      <c r="C522" s="160">
        <v>939841</v>
      </c>
      <c r="D522" s="1" t="s">
        <v>402</v>
      </c>
      <c r="E522" s="1" t="s">
        <v>5172</v>
      </c>
      <c r="F522" s="170" t="s">
        <v>5662</v>
      </c>
      <c r="N522" s="2" t="s">
        <v>6265</v>
      </c>
    </row>
    <row r="523" spans="1:16" hidden="1" outlineLevel="1">
      <c r="A523" s="1">
        <v>2</v>
      </c>
      <c r="F523" s="170" t="s">
        <v>5662</v>
      </c>
    </row>
    <row r="524" spans="1:16" hidden="1" outlineLevel="1">
      <c r="A524" s="1">
        <v>3</v>
      </c>
      <c r="F524" s="170" t="s">
        <v>5663</v>
      </c>
      <c r="N524" s="2" t="s">
        <v>6266</v>
      </c>
    </row>
    <row r="525" spans="1:16" hidden="1" outlineLevel="1">
      <c r="A525" s="1">
        <v>4</v>
      </c>
      <c r="F525" s="170" t="s">
        <v>5664</v>
      </c>
      <c r="N525" s="2" t="s">
        <v>6267</v>
      </c>
    </row>
    <row r="526" spans="1:16" hidden="1" outlineLevel="1">
      <c r="A526" s="1">
        <v>5</v>
      </c>
      <c r="F526" s="170" t="s">
        <v>5665</v>
      </c>
    </row>
    <row r="527" spans="1:16" hidden="1" outlineLevel="1">
      <c r="A527" s="1">
        <v>6</v>
      </c>
      <c r="F527" s="170" t="s">
        <v>5666</v>
      </c>
    </row>
    <row r="528" spans="1:16" hidden="1" outlineLevel="1">
      <c r="A528" s="1">
        <v>7</v>
      </c>
      <c r="F528" s="170" t="s">
        <v>5667</v>
      </c>
    </row>
    <row r="529" spans="1:16" hidden="1" outlineLevel="1">
      <c r="A529" s="1">
        <v>8</v>
      </c>
      <c r="F529" s="170" t="s">
        <v>5668</v>
      </c>
    </row>
    <row r="530" spans="1:16" hidden="1" outlineLevel="1">
      <c r="A530" s="1">
        <v>9</v>
      </c>
      <c r="F530" s="170" t="s">
        <v>5669</v>
      </c>
    </row>
    <row r="531" spans="1:16" hidden="1" outlineLevel="1">
      <c r="A531" s="1">
        <v>10</v>
      </c>
      <c r="F531" s="170" t="s">
        <v>5670</v>
      </c>
    </row>
    <row r="532" spans="1:16" hidden="1" outlineLevel="1">
      <c r="A532" s="1">
        <v>11</v>
      </c>
      <c r="F532" s="170" t="s">
        <v>5671</v>
      </c>
      <c r="N532" s="2" t="s">
        <v>6268</v>
      </c>
    </row>
    <row r="533" spans="1:16" hidden="1" outlineLevel="1">
      <c r="A533" s="1">
        <v>12</v>
      </c>
      <c r="F533" s="170" t="s">
        <v>5672</v>
      </c>
      <c r="N533" s="2" t="s">
        <v>6269</v>
      </c>
    </row>
    <row r="534" spans="1:16" hidden="1" outlineLevel="1">
      <c r="A534" s="1">
        <v>13</v>
      </c>
      <c r="F534" s="170" t="s">
        <v>5673</v>
      </c>
      <c r="N534" s="2" t="s">
        <v>6270</v>
      </c>
    </row>
    <row r="535" spans="1:16" hidden="1" outlineLevel="1">
      <c r="A535" s="1">
        <v>14</v>
      </c>
      <c r="F535" s="170" t="s">
        <v>5674</v>
      </c>
      <c r="N535" s="2" t="s">
        <v>6271</v>
      </c>
    </row>
    <row r="536" spans="1:16" hidden="1" outlineLevel="1">
      <c r="A536" s="1">
        <v>15</v>
      </c>
      <c r="F536" s="170" t="s">
        <v>5675</v>
      </c>
    </row>
    <row r="537" spans="1:16" collapsed="1">
      <c r="A537" s="8">
        <v>2021</v>
      </c>
      <c r="B537" s="58"/>
      <c r="C537" s="159"/>
      <c r="D537" s="8"/>
      <c r="E537" s="8"/>
      <c r="F537" s="171"/>
      <c r="G537" s="8"/>
      <c r="H537" s="8"/>
      <c r="I537" s="8"/>
      <c r="J537" s="58"/>
      <c r="K537" s="8"/>
      <c r="L537" s="58"/>
      <c r="M537" s="8"/>
      <c r="N537" s="8"/>
      <c r="O537" s="58"/>
      <c r="P537" s="8"/>
    </row>
    <row r="538" spans="1:16" hidden="1" outlineLevel="1">
      <c r="A538" s="1">
        <v>1</v>
      </c>
      <c r="B538" s="11">
        <v>44211</v>
      </c>
      <c r="C538" s="160">
        <v>37049</v>
      </c>
      <c r="D538" s="1" t="s">
        <v>402</v>
      </c>
      <c r="E538" s="1" t="s">
        <v>5173</v>
      </c>
      <c r="F538" s="170" t="s">
        <v>5676</v>
      </c>
    </row>
    <row r="539" spans="1:16" hidden="1" outlineLevel="1">
      <c r="A539" s="1">
        <v>2</v>
      </c>
      <c r="F539" s="170" t="s">
        <v>5677</v>
      </c>
    </row>
    <row r="540" spans="1:16" hidden="1" outlineLevel="1">
      <c r="A540" s="1">
        <v>3</v>
      </c>
      <c r="F540" s="170" t="s">
        <v>5678</v>
      </c>
    </row>
    <row r="541" spans="1:16" hidden="1" outlineLevel="1">
      <c r="A541" s="1">
        <v>4</v>
      </c>
      <c r="F541" s="170" t="s">
        <v>5679</v>
      </c>
    </row>
    <row r="542" spans="1:16" hidden="1" outlineLevel="1">
      <c r="A542" s="1">
        <v>5</v>
      </c>
      <c r="F542" s="170" t="s">
        <v>5680</v>
      </c>
    </row>
    <row r="543" spans="1:16" hidden="1" outlineLevel="1">
      <c r="A543" s="1">
        <v>6</v>
      </c>
      <c r="F543" s="170" t="s">
        <v>5681</v>
      </c>
    </row>
    <row r="544" spans="1:16" hidden="1" outlineLevel="1">
      <c r="A544" s="1">
        <v>7</v>
      </c>
      <c r="F544" s="170" t="s">
        <v>5682</v>
      </c>
    </row>
    <row r="545" spans="1:16" hidden="1" outlineLevel="1">
      <c r="A545" s="1">
        <v>8</v>
      </c>
      <c r="F545" s="170" t="s">
        <v>5683</v>
      </c>
    </row>
    <row r="546" spans="1:16" hidden="1" outlineLevel="1">
      <c r="A546" s="1">
        <v>9</v>
      </c>
      <c r="F546" s="170" t="s">
        <v>5684</v>
      </c>
    </row>
    <row r="547" spans="1:16" hidden="1" outlineLevel="1">
      <c r="A547" s="1">
        <v>10</v>
      </c>
      <c r="F547" s="170" t="s">
        <v>5685</v>
      </c>
    </row>
    <row r="548" spans="1:16" hidden="1" outlineLevel="1">
      <c r="A548" s="1">
        <v>11</v>
      </c>
      <c r="F548" s="170" t="s">
        <v>5686</v>
      </c>
    </row>
    <row r="549" spans="1:16" hidden="1" outlineLevel="1">
      <c r="A549" s="1">
        <v>12</v>
      </c>
      <c r="F549" s="170" t="s">
        <v>5687</v>
      </c>
    </row>
    <row r="550" spans="1:16" hidden="1" outlineLevel="1">
      <c r="A550" s="1">
        <v>13</v>
      </c>
      <c r="F550" s="170" t="s">
        <v>5688</v>
      </c>
    </row>
    <row r="551" spans="1:16" hidden="1" outlineLevel="1">
      <c r="A551" s="1">
        <v>14</v>
      </c>
      <c r="F551" s="170" t="s">
        <v>5689</v>
      </c>
    </row>
    <row r="552" spans="1:16" hidden="1" outlineLevel="1">
      <c r="A552" s="1">
        <v>15</v>
      </c>
      <c r="F552" s="170" t="s">
        <v>5690</v>
      </c>
    </row>
    <row r="553" spans="1:16" hidden="1" outlineLevel="1">
      <c r="A553" s="8"/>
      <c r="B553" s="58"/>
      <c r="C553" s="159"/>
      <c r="D553" s="8"/>
      <c r="E553" s="8"/>
      <c r="F553" s="171"/>
      <c r="G553" s="8"/>
      <c r="H553" s="8"/>
      <c r="I553" s="8"/>
      <c r="J553" s="58"/>
      <c r="K553" s="8"/>
      <c r="L553" s="58"/>
      <c r="M553" s="8"/>
      <c r="N553" s="8"/>
      <c r="O553" s="58"/>
      <c r="P553" s="8"/>
    </row>
    <row r="554" spans="1:16" hidden="1" outlineLevel="1">
      <c r="A554" s="1">
        <v>1</v>
      </c>
      <c r="B554" s="11">
        <v>44221</v>
      </c>
      <c r="C554" s="160">
        <v>71358</v>
      </c>
      <c r="D554" s="1" t="s">
        <v>402</v>
      </c>
      <c r="E554" s="1" t="s">
        <v>5173</v>
      </c>
      <c r="F554" s="170" t="s">
        <v>5691</v>
      </c>
    </row>
    <row r="555" spans="1:16" hidden="1" outlineLevel="1">
      <c r="A555" s="1">
        <v>2</v>
      </c>
      <c r="F555" s="170" t="s">
        <v>5692</v>
      </c>
    </row>
    <row r="556" spans="1:16" hidden="1" outlineLevel="1">
      <c r="A556" s="1">
        <v>3</v>
      </c>
      <c r="F556" s="170" t="s">
        <v>5693</v>
      </c>
    </row>
    <row r="557" spans="1:16" hidden="1" outlineLevel="1">
      <c r="A557" s="1">
        <v>4</v>
      </c>
      <c r="F557" s="170" t="s">
        <v>5694</v>
      </c>
    </row>
    <row r="558" spans="1:16" hidden="1" outlineLevel="1">
      <c r="A558" s="1">
        <v>5</v>
      </c>
      <c r="F558" s="170" t="s">
        <v>5695</v>
      </c>
    </row>
    <row r="559" spans="1:16" hidden="1" outlineLevel="1">
      <c r="A559" s="1">
        <v>6</v>
      </c>
      <c r="F559" s="170" t="s">
        <v>5696</v>
      </c>
    </row>
    <row r="560" spans="1:16" hidden="1" outlineLevel="1">
      <c r="A560" s="1">
        <v>7</v>
      </c>
      <c r="F560" s="170" t="s">
        <v>5697</v>
      </c>
    </row>
    <row r="561" spans="1:16" hidden="1" outlineLevel="1">
      <c r="A561" s="1">
        <v>8</v>
      </c>
      <c r="F561" s="170" t="s">
        <v>5698</v>
      </c>
    </row>
    <row r="562" spans="1:16" hidden="1" outlineLevel="1">
      <c r="A562" s="1">
        <v>9</v>
      </c>
      <c r="F562" s="170" t="s">
        <v>5699</v>
      </c>
    </row>
    <row r="563" spans="1:16" hidden="1" outlineLevel="1">
      <c r="A563" s="1">
        <v>10</v>
      </c>
      <c r="F563" s="170" t="s">
        <v>5700</v>
      </c>
    </row>
    <row r="564" spans="1:16" hidden="1" outlineLevel="1">
      <c r="A564" s="1">
        <v>11</v>
      </c>
      <c r="F564" s="170" t="s">
        <v>5701</v>
      </c>
    </row>
    <row r="565" spans="1:16" hidden="1" outlineLevel="1">
      <c r="A565" s="1">
        <v>12</v>
      </c>
      <c r="F565" s="170" t="s">
        <v>5702</v>
      </c>
    </row>
    <row r="566" spans="1:16" hidden="1" outlineLevel="1">
      <c r="A566" s="1">
        <v>13</v>
      </c>
      <c r="F566" s="170" t="s">
        <v>5703</v>
      </c>
    </row>
    <row r="567" spans="1:16" hidden="1" outlineLevel="1">
      <c r="A567" s="1">
        <v>14</v>
      </c>
      <c r="F567" s="170" t="s">
        <v>5704</v>
      </c>
    </row>
    <row r="568" spans="1:16" hidden="1" outlineLevel="1">
      <c r="A568" s="1">
        <v>15</v>
      </c>
      <c r="F568" s="170" t="s">
        <v>5704</v>
      </c>
    </row>
    <row r="569" spans="1:16" hidden="1" outlineLevel="1">
      <c r="A569" s="8"/>
      <c r="B569" s="58"/>
      <c r="C569" s="159"/>
      <c r="D569" s="8"/>
      <c r="E569" s="8"/>
      <c r="F569" s="171"/>
      <c r="G569" s="8"/>
      <c r="H569" s="8"/>
      <c r="I569" s="8"/>
      <c r="J569" s="58"/>
      <c r="K569" s="8"/>
      <c r="L569" s="58"/>
      <c r="M569" s="8"/>
      <c r="N569" s="8"/>
      <c r="O569" s="58"/>
      <c r="P569" s="8"/>
    </row>
    <row r="570" spans="1:16" hidden="1" outlineLevel="1">
      <c r="A570" s="1">
        <v>1</v>
      </c>
      <c r="B570" s="11">
        <v>44242</v>
      </c>
      <c r="C570" s="160">
        <v>159973</v>
      </c>
      <c r="D570" s="1" t="s">
        <v>402</v>
      </c>
      <c r="E570" s="1" t="s">
        <v>5173</v>
      </c>
      <c r="F570" s="170" t="s">
        <v>5705</v>
      </c>
    </row>
    <row r="571" spans="1:16" hidden="1" outlineLevel="1">
      <c r="A571" s="1">
        <v>2</v>
      </c>
      <c r="F571" s="170" t="s">
        <v>5706</v>
      </c>
    </row>
    <row r="572" spans="1:16" hidden="1" outlineLevel="1">
      <c r="A572" s="1">
        <v>3</v>
      </c>
      <c r="F572" s="170" t="s">
        <v>5707</v>
      </c>
    </row>
    <row r="573" spans="1:16" hidden="1" outlineLevel="1">
      <c r="A573" s="1">
        <v>4</v>
      </c>
      <c r="F573" s="170" t="s">
        <v>5708</v>
      </c>
    </row>
    <row r="574" spans="1:16" hidden="1" outlineLevel="1">
      <c r="A574" s="1">
        <v>5</v>
      </c>
      <c r="F574" s="170" t="s">
        <v>5709</v>
      </c>
    </row>
    <row r="575" spans="1:16" hidden="1" outlineLevel="1">
      <c r="A575" s="1">
        <v>6</v>
      </c>
      <c r="F575" s="170" t="s">
        <v>5710</v>
      </c>
    </row>
    <row r="576" spans="1:16" hidden="1" outlineLevel="1">
      <c r="A576" s="1">
        <v>7</v>
      </c>
      <c r="F576" s="170" t="s">
        <v>5711</v>
      </c>
    </row>
    <row r="577" spans="1:16" hidden="1" outlineLevel="1">
      <c r="A577" s="1">
        <v>8</v>
      </c>
      <c r="F577" s="170" t="s">
        <v>5712</v>
      </c>
    </row>
    <row r="578" spans="1:16" hidden="1" outlineLevel="1">
      <c r="A578" s="1">
        <v>9</v>
      </c>
      <c r="F578" s="170" t="s">
        <v>5713</v>
      </c>
    </row>
    <row r="579" spans="1:16" hidden="1" outlineLevel="1">
      <c r="A579" s="1">
        <v>10</v>
      </c>
      <c r="F579" s="170" t="s">
        <v>5714</v>
      </c>
    </row>
    <row r="580" spans="1:16" hidden="1" outlineLevel="1">
      <c r="A580" s="1">
        <v>11</v>
      </c>
      <c r="F580" s="170" t="s">
        <v>5715</v>
      </c>
    </row>
    <row r="581" spans="1:16" hidden="1" outlineLevel="1">
      <c r="A581" s="1">
        <v>12</v>
      </c>
      <c r="F581" s="170" t="s">
        <v>5716</v>
      </c>
    </row>
    <row r="582" spans="1:16" hidden="1" outlineLevel="1">
      <c r="A582" s="1">
        <v>13</v>
      </c>
      <c r="F582" s="170" t="s">
        <v>5717</v>
      </c>
    </row>
    <row r="583" spans="1:16" hidden="1" outlineLevel="1">
      <c r="A583" s="1">
        <v>14</v>
      </c>
      <c r="F583" s="170" t="s">
        <v>5718</v>
      </c>
    </row>
    <row r="584" spans="1:16" hidden="1" outlineLevel="1">
      <c r="A584" s="1">
        <v>15</v>
      </c>
      <c r="F584" s="170" t="s">
        <v>5719</v>
      </c>
    </row>
    <row r="585" spans="1:16" hidden="1" outlineLevel="1">
      <c r="A585" s="8"/>
      <c r="B585" s="58"/>
      <c r="C585" s="159"/>
      <c r="D585" s="8"/>
      <c r="E585" s="8"/>
      <c r="F585" s="171"/>
      <c r="G585" s="8"/>
      <c r="H585" s="8"/>
      <c r="I585" s="8"/>
      <c r="J585" s="58"/>
      <c r="K585" s="8"/>
      <c r="L585" s="58"/>
      <c r="M585" s="8"/>
      <c r="N585" s="8"/>
      <c r="O585" s="58"/>
      <c r="P585" s="8"/>
    </row>
    <row r="586" spans="1:16" hidden="1" outlineLevel="1">
      <c r="A586" s="1">
        <v>1</v>
      </c>
      <c r="B586" s="11">
        <v>44259</v>
      </c>
      <c r="C586" s="160">
        <v>233916</v>
      </c>
      <c r="D586" s="1" t="s">
        <v>402</v>
      </c>
      <c r="E586" s="1" t="s">
        <v>5174</v>
      </c>
      <c r="F586" s="170" t="s">
        <v>5720</v>
      </c>
    </row>
    <row r="587" spans="1:16" hidden="1" outlineLevel="1">
      <c r="A587" s="1">
        <v>2</v>
      </c>
      <c r="F587" s="170" t="s">
        <v>5721</v>
      </c>
    </row>
    <row r="588" spans="1:16" hidden="1" outlineLevel="1">
      <c r="A588" s="1">
        <v>3</v>
      </c>
      <c r="F588" s="170" t="s">
        <v>5722</v>
      </c>
    </row>
    <row r="589" spans="1:16" hidden="1" outlineLevel="1">
      <c r="A589" s="1">
        <v>4</v>
      </c>
      <c r="F589" s="170" t="s">
        <v>5723</v>
      </c>
    </row>
    <row r="590" spans="1:16" hidden="1" outlineLevel="1">
      <c r="A590" s="1">
        <v>5</v>
      </c>
      <c r="F590" s="170" t="s">
        <v>5724</v>
      </c>
    </row>
    <row r="591" spans="1:16" hidden="1" outlineLevel="1">
      <c r="A591" s="1">
        <v>6</v>
      </c>
      <c r="F591" s="170" t="s">
        <v>5725</v>
      </c>
    </row>
    <row r="592" spans="1:16" hidden="1" outlineLevel="1">
      <c r="A592" s="1">
        <v>7</v>
      </c>
      <c r="F592" s="170" t="s">
        <v>5726</v>
      </c>
    </row>
    <row r="593" spans="1:16" hidden="1" outlineLevel="1">
      <c r="A593" s="1">
        <v>8</v>
      </c>
      <c r="F593" s="170" t="s">
        <v>5727</v>
      </c>
    </row>
    <row r="594" spans="1:16" hidden="1" outlineLevel="1">
      <c r="A594" s="1">
        <v>9</v>
      </c>
      <c r="F594" s="170" t="s">
        <v>5728</v>
      </c>
    </row>
    <row r="595" spans="1:16" hidden="1" outlineLevel="1">
      <c r="A595" s="1">
        <v>10</v>
      </c>
      <c r="F595" s="170" t="s">
        <v>5729</v>
      </c>
    </row>
    <row r="596" spans="1:16" hidden="1" outlineLevel="1">
      <c r="A596" s="1">
        <v>11</v>
      </c>
      <c r="F596" s="170" t="s">
        <v>5730</v>
      </c>
    </row>
    <row r="597" spans="1:16" hidden="1" outlineLevel="1">
      <c r="A597" s="1">
        <v>12</v>
      </c>
      <c r="F597" s="170" t="s">
        <v>5731</v>
      </c>
    </row>
    <row r="598" spans="1:16" hidden="1" outlineLevel="1">
      <c r="A598" s="1">
        <v>13</v>
      </c>
      <c r="F598" s="170" t="s">
        <v>5732</v>
      </c>
    </row>
    <row r="599" spans="1:16" hidden="1" outlineLevel="1">
      <c r="A599" s="1">
        <v>14</v>
      </c>
      <c r="F599" s="170" t="s">
        <v>5733</v>
      </c>
    </row>
    <row r="600" spans="1:16" hidden="1" outlineLevel="1">
      <c r="A600" s="1">
        <v>15</v>
      </c>
      <c r="F600" s="170" t="s">
        <v>5734</v>
      </c>
    </row>
    <row r="601" spans="1:16" hidden="1" outlineLevel="1">
      <c r="A601" s="8"/>
      <c r="B601" s="58"/>
      <c r="C601" s="159"/>
      <c r="D601" s="8"/>
      <c r="E601" s="8"/>
      <c r="F601" s="171"/>
      <c r="G601" s="8"/>
      <c r="H601" s="8"/>
      <c r="I601" s="8"/>
      <c r="J601" s="58"/>
      <c r="K601" s="8"/>
      <c r="L601" s="58"/>
      <c r="M601" s="8"/>
      <c r="N601" s="8"/>
      <c r="O601" s="58"/>
      <c r="P601" s="8"/>
    </row>
    <row r="602" spans="1:16" hidden="1" outlineLevel="1">
      <c r="A602" s="1">
        <v>1</v>
      </c>
      <c r="B602" s="11">
        <v>44266</v>
      </c>
      <c r="C602" s="160">
        <v>262617</v>
      </c>
      <c r="D602" s="1" t="s">
        <v>5150</v>
      </c>
      <c r="E602" s="1" t="s">
        <v>5173</v>
      </c>
      <c r="F602" s="170" t="s">
        <v>5735</v>
      </c>
    </row>
    <row r="603" spans="1:16" hidden="1" outlineLevel="1">
      <c r="A603" s="1">
        <v>2</v>
      </c>
      <c r="F603" s="170" t="s">
        <v>5736</v>
      </c>
    </row>
    <row r="604" spans="1:16" hidden="1" outlineLevel="1">
      <c r="A604" s="1">
        <v>3</v>
      </c>
      <c r="F604" s="170" t="s">
        <v>5737</v>
      </c>
    </row>
    <row r="605" spans="1:16" hidden="1" outlineLevel="1">
      <c r="A605" s="1">
        <v>4</v>
      </c>
      <c r="F605" s="170" t="s">
        <v>5738</v>
      </c>
    </row>
    <row r="606" spans="1:16" hidden="1" outlineLevel="1">
      <c r="A606" s="1">
        <v>5</v>
      </c>
      <c r="F606" s="170" t="s">
        <v>5739</v>
      </c>
    </row>
    <row r="607" spans="1:16" hidden="1" outlineLevel="1">
      <c r="A607" s="1">
        <v>6</v>
      </c>
      <c r="F607" s="170" t="s">
        <v>5740</v>
      </c>
    </row>
    <row r="608" spans="1:16" hidden="1" outlineLevel="1">
      <c r="A608" s="1">
        <v>7</v>
      </c>
      <c r="F608" s="170" t="s">
        <v>5741</v>
      </c>
    </row>
    <row r="609" spans="1:16" hidden="1" outlineLevel="1">
      <c r="A609" s="1">
        <v>8</v>
      </c>
      <c r="F609" s="170" t="s">
        <v>5742</v>
      </c>
    </row>
    <row r="610" spans="1:16" hidden="1" outlineLevel="1">
      <c r="A610" s="1">
        <v>9</v>
      </c>
      <c r="F610" s="170" t="s">
        <v>5743</v>
      </c>
    </row>
    <row r="611" spans="1:16" hidden="1" outlineLevel="1">
      <c r="A611" s="1">
        <v>10</v>
      </c>
      <c r="F611" s="170" t="s">
        <v>5744</v>
      </c>
    </row>
    <row r="612" spans="1:16" hidden="1" outlineLevel="1">
      <c r="A612" s="1">
        <v>11</v>
      </c>
      <c r="F612" s="170" t="s">
        <v>5745</v>
      </c>
    </row>
    <row r="613" spans="1:16" hidden="1" outlineLevel="1">
      <c r="A613" s="1">
        <v>12</v>
      </c>
      <c r="F613" s="170" t="s">
        <v>5746</v>
      </c>
    </row>
    <row r="614" spans="1:16" hidden="1" outlineLevel="1">
      <c r="A614" s="1">
        <v>13</v>
      </c>
      <c r="F614" s="170" t="s">
        <v>5747</v>
      </c>
    </row>
    <row r="615" spans="1:16" hidden="1" outlineLevel="1">
      <c r="A615" s="1">
        <v>14</v>
      </c>
      <c r="F615" s="170" t="s">
        <v>5748</v>
      </c>
    </row>
    <row r="616" spans="1:16" hidden="1" outlineLevel="1">
      <c r="A616" s="1">
        <v>15</v>
      </c>
      <c r="F616" s="170" t="s">
        <v>5749</v>
      </c>
    </row>
    <row r="617" spans="1:16" hidden="1" outlineLevel="1">
      <c r="A617" s="8"/>
      <c r="B617" s="58"/>
      <c r="C617" s="159"/>
      <c r="D617" s="8"/>
      <c r="E617" s="8"/>
      <c r="F617" s="171"/>
      <c r="G617" s="8"/>
      <c r="H617" s="8"/>
      <c r="I617" s="8"/>
      <c r="J617" s="58"/>
      <c r="K617" s="8"/>
      <c r="L617" s="58"/>
      <c r="M617" s="8"/>
      <c r="N617" s="8"/>
      <c r="O617" s="58"/>
      <c r="P617" s="8"/>
    </row>
    <row r="618" spans="1:16" hidden="1" outlineLevel="1">
      <c r="A618" s="1">
        <v>1</v>
      </c>
      <c r="B618" s="11">
        <v>44279</v>
      </c>
      <c r="C618" s="160">
        <v>215</v>
      </c>
      <c r="D618" s="1" t="s">
        <v>5151</v>
      </c>
      <c r="E618" s="1" t="s">
        <v>5175</v>
      </c>
      <c r="F618" s="170" t="s">
        <v>5750</v>
      </c>
    </row>
    <row r="619" spans="1:16" hidden="1" outlineLevel="1">
      <c r="A619" s="1">
        <v>2</v>
      </c>
      <c r="F619" s="170" t="s">
        <v>5751</v>
      </c>
    </row>
    <row r="620" spans="1:16" hidden="1" outlineLevel="1">
      <c r="A620" s="1">
        <v>3</v>
      </c>
      <c r="F620" s="170" t="s">
        <v>5752</v>
      </c>
    </row>
    <row r="621" spans="1:16" hidden="1" outlineLevel="1">
      <c r="A621" s="1">
        <v>4</v>
      </c>
      <c r="F621" s="170" t="s">
        <v>5753</v>
      </c>
    </row>
    <row r="622" spans="1:16" hidden="1" outlineLevel="1">
      <c r="A622" s="1">
        <v>5</v>
      </c>
      <c r="F622" s="170" t="s">
        <v>5754</v>
      </c>
    </row>
    <row r="623" spans="1:16" hidden="1" outlineLevel="1">
      <c r="A623" s="8"/>
      <c r="B623" s="58"/>
      <c r="C623" s="159"/>
      <c r="D623" s="8"/>
      <c r="E623" s="8"/>
      <c r="F623" s="171"/>
      <c r="G623" s="8"/>
      <c r="H623" s="8"/>
      <c r="I623" s="8"/>
      <c r="J623" s="58"/>
      <c r="K623" s="8"/>
      <c r="L623" s="58"/>
      <c r="M623" s="8"/>
      <c r="N623" s="8"/>
      <c r="O623" s="58"/>
      <c r="P623" s="8"/>
    </row>
    <row r="624" spans="1:16" s="68" customFormat="1" hidden="1" outlineLevel="1">
      <c r="A624" s="4">
        <v>1</v>
      </c>
      <c r="B624" s="24">
        <v>44284</v>
      </c>
      <c r="C624" s="158">
        <v>221</v>
      </c>
      <c r="D624" s="4" t="s">
        <v>5151</v>
      </c>
      <c r="E624" s="4" t="s">
        <v>5176</v>
      </c>
      <c r="F624" s="170"/>
      <c r="G624" s="4"/>
      <c r="H624" s="4"/>
      <c r="I624" s="2"/>
      <c r="J624" s="24"/>
      <c r="K624" s="4"/>
      <c r="L624" s="24"/>
      <c r="M624" s="2"/>
      <c r="N624" s="2"/>
      <c r="O624" s="18"/>
      <c r="P624" s="4"/>
    </row>
    <row r="625" spans="1:16" s="68" customFormat="1" hidden="1" outlineLevel="1">
      <c r="A625" s="4">
        <v>2</v>
      </c>
      <c r="B625" s="24"/>
      <c r="C625" s="158"/>
      <c r="D625" s="4"/>
      <c r="E625" s="4"/>
      <c r="F625" s="170"/>
      <c r="G625" s="4"/>
      <c r="H625" s="4"/>
      <c r="I625" s="2"/>
      <c r="J625" s="24"/>
      <c r="K625" s="4"/>
      <c r="L625" s="24"/>
      <c r="M625" s="2"/>
      <c r="N625" s="2"/>
      <c r="O625" s="18"/>
      <c r="P625" s="4"/>
    </row>
    <row r="626" spans="1:16" s="68" customFormat="1" hidden="1" outlineLevel="1">
      <c r="A626" s="4">
        <v>3</v>
      </c>
      <c r="B626" s="24"/>
      <c r="C626" s="158"/>
      <c r="D626" s="4"/>
      <c r="E626" s="4"/>
      <c r="F626" s="170"/>
      <c r="G626" s="4"/>
      <c r="H626" s="4"/>
      <c r="I626" s="2"/>
      <c r="J626" s="24"/>
      <c r="K626" s="4"/>
      <c r="L626" s="24"/>
      <c r="M626" s="2"/>
      <c r="N626" s="2"/>
      <c r="O626" s="18"/>
      <c r="P626" s="4"/>
    </row>
    <row r="627" spans="1:16" s="68" customFormat="1" hidden="1" outlineLevel="1">
      <c r="A627" s="4">
        <v>4</v>
      </c>
      <c r="B627" s="24"/>
      <c r="C627" s="158"/>
      <c r="D627" s="4"/>
      <c r="E627" s="4"/>
      <c r="F627" s="170"/>
      <c r="G627" s="4"/>
      <c r="H627" s="4"/>
      <c r="I627" s="2"/>
      <c r="J627" s="24"/>
      <c r="K627" s="4"/>
      <c r="L627" s="24"/>
      <c r="M627" s="2"/>
      <c r="N627" s="2"/>
      <c r="O627" s="18"/>
      <c r="P627" s="4"/>
    </row>
    <row r="628" spans="1:16" s="68" customFormat="1" hidden="1" outlineLevel="1">
      <c r="A628" s="4">
        <v>5</v>
      </c>
      <c r="B628" s="24"/>
      <c r="C628" s="158"/>
      <c r="D628" s="4"/>
      <c r="E628" s="4"/>
      <c r="F628" s="170"/>
      <c r="G628" s="4"/>
      <c r="H628" s="4"/>
      <c r="I628" s="2"/>
      <c r="J628" s="24"/>
      <c r="K628" s="4"/>
      <c r="L628" s="24"/>
      <c r="M628" s="2"/>
      <c r="N628" s="2"/>
      <c r="O628" s="18"/>
      <c r="P628" s="4"/>
    </row>
    <row r="629" spans="1:16" hidden="1" outlineLevel="1">
      <c r="A629" s="8"/>
      <c r="B629" s="58"/>
      <c r="C629" s="159"/>
      <c r="D629" s="8"/>
      <c r="E629" s="8"/>
      <c r="F629" s="171"/>
      <c r="G629" s="8"/>
      <c r="H629" s="8"/>
      <c r="I629" s="8"/>
      <c r="J629" s="58"/>
      <c r="K629" s="8"/>
      <c r="L629" s="58"/>
      <c r="M629" s="8"/>
      <c r="N629" s="8"/>
      <c r="O629" s="58"/>
      <c r="P629" s="8"/>
    </row>
    <row r="630" spans="1:16" hidden="1" outlineLevel="1">
      <c r="A630" s="1">
        <v>1</v>
      </c>
      <c r="B630" s="11">
        <v>44285</v>
      </c>
      <c r="C630" s="160">
        <v>352971</v>
      </c>
      <c r="D630" s="1" t="s">
        <v>5150</v>
      </c>
      <c r="E630" s="1" t="s">
        <v>5177</v>
      </c>
      <c r="F630" s="170" t="s">
        <v>5755</v>
      </c>
    </row>
    <row r="631" spans="1:16" hidden="1" outlineLevel="1">
      <c r="A631" s="1">
        <v>2</v>
      </c>
      <c r="F631" s="170" t="s">
        <v>5756</v>
      </c>
    </row>
    <row r="632" spans="1:16" hidden="1" outlineLevel="1">
      <c r="A632" s="1">
        <v>3</v>
      </c>
      <c r="F632" s="170" t="s">
        <v>5757</v>
      </c>
    </row>
    <row r="633" spans="1:16" hidden="1" outlineLevel="1">
      <c r="A633" s="1">
        <v>4</v>
      </c>
      <c r="F633" s="170" t="s">
        <v>5758</v>
      </c>
    </row>
    <row r="634" spans="1:16" hidden="1" outlineLevel="1">
      <c r="A634" s="1">
        <v>5</v>
      </c>
      <c r="F634" s="170" t="s">
        <v>5759</v>
      </c>
    </row>
    <row r="635" spans="1:16" hidden="1" outlineLevel="1">
      <c r="A635" s="1">
        <v>6</v>
      </c>
      <c r="F635" s="170" t="s">
        <v>5760</v>
      </c>
    </row>
    <row r="636" spans="1:16" hidden="1" outlineLevel="1">
      <c r="A636" s="1">
        <v>7</v>
      </c>
      <c r="F636" s="170" t="s">
        <v>5761</v>
      </c>
    </row>
    <row r="637" spans="1:16" hidden="1" outlineLevel="1">
      <c r="A637" s="1">
        <v>8</v>
      </c>
      <c r="F637" s="170" t="s">
        <v>5762</v>
      </c>
    </row>
    <row r="638" spans="1:16" hidden="1" outlineLevel="1">
      <c r="A638" s="1">
        <v>9</v>
      </c>
      <c r="F638" s="170" t="s">
        <v>5763</v>
      </c>
    </row>
    <row r="639" spans="1:16" hidden="1" outlineLevel="1">
      <c r="A639" s="1">
        <v>10</v>
      </c>
      <c r="F639" s="170" t="s">
        <v>5764</v>
      </c>
    </row>
    <row r="640" spans="1:16" hidden="1" outlineLevel="1">
      <c r="A640" s="1">
        <v>11</v>
      </c>
      <c r="F640" s="170" t="s">
        <v>5765</v>
      </c>
    </row>
    <row r="641" spans="1:16" hidden="1" outlineLevel="1">
      <c r="A641" s="1">
        <v>12</v>
      </c>
      <c r="F641" s="170" t="s">
        <v>5766</v>
      </c>
    </row>
    <row r="642" spans="1:16" hidden="1" outlineLevel="1">
      <c r="A642" s="1">
        <v>13</v>
      </c>
      <c r="F642" s="170" t="s">
        <v>5767</v>
      </c>
    </row>
    <row r="643" spans="1:16" hidden="1" outlineLevel="1">
      <c r="A643" s="1">
        <v>14</v>
      </c>
      <c r="F643" s="170" t="s">
        <v>5768</v>
      </c>
    </row>
    <row r="644" spans="1:16" hidden="1" outlineLevel="1">
      <c r="A644" s="1">
        <v>15</v>
      </c>
      <c r="F644" s="170" t="s">
        <v>5769</v>
      </c>
    </row>
    <row r="645" spans="1:16" hidden="1" outlineLevel="1">
      <c r="A645" s="1">
        <v>16</v>
      </c>
      <c r="F645" s="170" t="s">
        <v>5770</v>
      </c>
    </row>
    <row r="646" spans="1:16" hidden="1" outlineLevel="1">
      <c r="A646" s="1">
        <v>17</v>
      </c>
      <c r="F646" s="170" t="s">
        <v>5771</v>
      </c>
    </row>
    <row r="647" spans="1:16" hidden="1" outlineLevel="1">
      <c r="A647" s="1">
        <v>18</v>
      </c>
      <c r="F647" s="170" t="s">
        <v>5772</v>
      </c>
    </row>
    <row r="648" spans="1:16" hidden="1" outlineLevel="1">
      <c r="A648" s="1">
        <v>19</v>
      </c>
      <c r="F648" s="170" t="s">
        <v>5773</v>
      </c>
    </row>
    <row r="649" spans="1:16" hidden="1" outlineLevel="1">
      <c r="A649" s="1">
        <v>20</v>
      </c>
      <c r="F649" s="170" t="s">
        <v>5774</v>
      </c>
    </row>
    <row r="650" spans="1:16" hidden="1" outlineLevel="1">
      <c r="A650" s="8"/>
      <c r="B650" s="58"/>
      <c r="C650" s="159"/>
      <c r="D650" s="8"/>
      <c r="E650" s="8"/>
      <c r="F650" s="171"/>
      <c r="G650" s="8"/>
      <c r="H650" s="8"/>
      <c r="I650" s="8"/>
      <c r="J650" s="58"/>
      <c r="K650" s="8"/>
      <c r="L650" s="58"/>
      <c r="M650" s="8"/>
      <c r="N650" s="8"/>
      <c r="O650" s="58"/>
      <c r="P650" s="8"/>
    </row>
    <row r="651" spans="1:16" hidden="1" outlineLevel="1">
      <c r="A651" s="1">
        <v>1</v>
      </c>
      <c r="B651" s="11">
        <v>44302</v>
      </c>
      <c r="C651" s="160">
        <v>444897</v>
      </c>
      <c r="D651" s="1" t="s">
        <v>402</v>
      </c>
      <c r="E651" s="1" t="s">
        <v>5178</v>
      </c>
      <c r="F651" s="170" t="s">
        <v>5775</v>
      </c>
    </row>
    <row r="652" spans="1:16" hidden="1" outlineLevel="1">
      <c r="A652" s="1">
        <v>2</v>
      </c>
      <c r="F652" s="170" t="s">
        <v>5776</v>
      </c>
    </row>
    <row r="653" spans="1:16" hidden="1" outlineLevel="1">
      <c r="A653" s="1">
        <v>3</v>
      </c>
      <c r="F653" s="170" t="s">
        <v>5777</v>
      </c>
    </row>
    <row r="654" spans="1:16" hidden="1" outlineLevel="1">
      <c r="A654" s="1">
        <v>4</v>
      </c>
      <c r="F654" s="170" t="s">
        <v>5778</v>
      </c>
    </row>
    <row r="655" spans="1:16" hidden="1" outlineLevel="1">
      <c r="A655" s="1">
        <v>5</v>
      </c>
      <c r="F655" s="170" t="s">
        <v>5779</v>
      </c>
    </row>
    <row r="656" spans="1:16" hidden="1" outlineLevel="1">
      <c r="A656" s="1">
        <v>6</v>
      </c>
      <c r="F656" s="170" t="s">
        <v>5780</v>
      </c>
    </row>
    <row r="657" spans="1:16" hidden="1" outlineLevel="1">
      <c r="A657" s="1">
        <v>7</v>
      </c>
      <c r="F657" s="170" t="s">
        <v>5781</v>
      </c>
    </row>
    <row r="658" spans="1:16" hidden="1" outlineLevel="1">
      <c r="A658" s="1">
        <v>8</v>
      </c>
      <c r="F658" s="170" t="s">
        <v>5782</v>
      </c>
    </row>
    <row r="659" spans="1:16" hidden="1" outlineLevel="1">
      <c r="A659" s="1">
        <v>9</v>
      </c>
      <c r="F659" s="170" t="s">
        <v>5783</v>
      </c>
    </row>
    <row r="660" spans="1:16" hidden="1" outlineLevel="1">
      <c r="A660" s="1">
        <v>10</v>
      </c>
      <c r="F660" s="170" t="s">
        <v>5784</v>
      </c>
    </row>
    <row r="661" spans="1:16" hidden="1" outlineLevel="1">
      <c r="A661" s="1">
        <v>11</v>
      </c>
      <c r="F661" s="170" t="s">
        <v>5785</v>
      </c>
    </row>
    <row r="662" spans="1:16" hidden="1" outlineLevel="1">
      <c r="A662" s="1">
        <v>12</v>
      </c>
      <c r="F662" s="170" t="s">
        <v>5786</v>
      </c>
    </row>
    <row r="663" spans="1:16" hidden="1" outlineLevel="1">
      <c r="A663" s="1">
        <v>13</v>
      </c>
      <c r="F663" s="170" t="s">
        <v>5787</v>
      </c>
    </row>
    <row r="664" spans="1:16" hidden="1" outlineLevel="1">
      <c r="A664" s="1">
        <v>14</v>
      </c>
      <c r="F664" s="170" t="s">
        <v>5788</v>
      </c>
    </row>
    <row r="665" spans="1:16" hidden="1" outlineLevel="1">
      <c r="A665" s="1">
        <v>15</v>
      </c>
      <c r="F665" s="170" t="s">
        <v>5789</v>
      </c>
    </row>
    <row r="666" spans="1:16" hidden="1" outlineLevel="1">
      <c r="A666" s="8"/>
      <c r="B666" s="58"/>
      <c r="C666" s="159"/>
      <c r="D666" s="8"/>
      <c r="E666" s="8"/>
      <c r="F666" s="171"/>
      <c r="G666" s="8"/>
      <c r="H666" s="8"/>
      <c r="I666" s="8"/>
      <c r="J666" s="58"/>
      <c r="K666" s="8"/>
      <c r="L666" s="58"/>
      <c r="M666" s="8"/>
      <c r="N666" s="8"/>
      <c r="O666" s="58"/>
      <c r="P666" s="8"/>
    </row>
    <row r="667" spans="1:16" hidden="1" outlineLevel="1">
      <c r="A667" s="1">
        <v>1</v>
      </c>
      <c r="B667" s="11">
        <v>44325</v>
      </c>
      <c r="C667" s="160">
        <v>556373</v>
      </c>
      <c r="D667" s="1" t="s">
        <v>402</v>
      </c>
      <c r="E667" s="1" t="s">
        <v>5179</v>
      </c>
      <c r="F667" s="170" t="s">
        <v>5790</v>
      </c>
    </row>
    <row r="668" spans="1:16" hidden="1" outlineLevel="1">
      <c r="A668" s="1">
        <v>2</v>
      </c>
      <c r="F668" s="170" t="s">
        <v>5791</v>
      </c>
    </row>
    <row r="669" spans="1:16" hidden="1" outlineLevel="1">
      <c r="A669" s="1">
        <v>3</v>
      </c>
      <c r="F669" s="170" t="s">
        <v>5792</v>
      </c>
    </row>
    <row r="670" spans="1:16" hidden="1" outlineLevel="1">
      <c r="A670" s="1">
        <v>4</v>
      </c>
      <c r="F670" s="170" t="s">
        <v>5793</v>
      </c>
    </row>
    <row r="671" spans="1:16" hidden="1" outlineLevel="1">
      <c r="A671" s="1">
        <v>5</v>
      </c>
      <c r="F671" s="170" t="s">
        <v>5794</v>
      </c>
    </row>
    <row r="672" spans="1:16" hidden="1" outlineLevel="1">
      <c r="A672" s="1">
        <v>6</v>
      </c>
      <c r="F672" s="170" t="s">
        <v>5795</v>
      </c>
    </row>
    <row r="673" spans="1:16" hidden="1" outlineLevel="1">
      <c r="A673" s="1">
        <v>7</v>
      </c>
      <c r="F673" s="170" t="s">
        <v>5796</v>
      </c>
    </row>
    <row r="674" spans="1:16" hidden="1" outlineLevel="1">
      <c r="A674" s="1">
        <v>8</v>
      </c>
      <c r="F674" s="170" t="s">
        <v>5797</v>
      </c>
    </row>
    <row r="675" spans="1:16" hidden="1" outlineLevel="1">
      <c r="A675" s="1">
        <v>9</v>
      </c>
      <c r="F675" s="170" t="s">
        <v>5798</v>
      </c>
    </row>
    <row r="676" spans="1:16" hidden="1" outlineLevel="1">
      <c r="A676" s="1">
        <v>10</v>
      </c>
      <c r="F676" s="170" t="s">
        <v>5799</v>
      </c>
    </row>
    <row r="677" spans="1:16" hidden="1" outlineLevel="1">
      <c r="A677" s="1">
        <v>11</v>
      </c>
      <c r="F677" s="170" t="s">
        <v>5800</v>
      </c>
    </row>
    <row r="678" spans="1:16" hidden="1" outlineLevel="1">
      <c r="A678" s="1">
        <v>12</v>
      </c>
      <c r="F678" s="170" t="s">
        <v>5801</v>
      </c>
    </row>
    <row r="679" spans="1:16" hidden="1" outlineLevel="1">
      <c r="A679" s="1">
        <v>13</v>
      </c>
      <c r="F679" s="170" t="s">
        <v>5802</v>
      </c>
    </row>
    <row r="680" spans="1:16" hidden="1" outlineLevel="1">
      <c r="A680" s="1">
        <v>14</v>
      </c>
      <c r="F680" s="170" t="s">
        <v>5803</v>
      </c>
    </row>
    <row r="681" spans="1:16" hidden="1" outlineLevel="1">
      <c r="A681" s="1">
        <v>15</v>
      </c>
      <c r="F681" s="170" t="s">
        <v>5804</v>
      </c>
    </row>
    <row r="682" spans="1:16" hidden="1" outlineLevel="1">
      <c r="A682" s="8"/>
      <c r="B682" s="58"/>
      <c r="C682" s="159"/>
      <c r="D682" s="8"/>
      <c r="E682" s="8"/>
      <c r="F682" s="171"/>
      <c r="G682" s="8"/>
      <c r="H682" s="8"/>
      <c r="I682" s="8"/>
      <c r="J682" s="58"/>
      <c r="K682" s="8"/>
      <c r="L682" s="58"/>
      <c r="M682" s="8"/>
      <c r="N682" s="8"/>
      <c r="O682" s="58"/>
      <c r="P682" s="8"/>
    </row>
    <row r="683" spans="1:16" hidden="1" outlineLevel="1">
      <c r="A683" s="1">
        <v>1</v>
      </c>
      <c r="B683" s="11">
        <v>44342</v>
      </c>
      <c r="C683" s="160">
        <v>651468</v>
      </c>
      <c r="D683" s="1" t="s">
        <v>5152</v>
      </c>
      <c r="E683" s="1" t="s">
        <v>5180</v>
      </c>
      <c r="F683" s="170" t="s">
        <v>5805</v>
      </c>
    </row>
    <row r="684" spans="1:16" hidden="1" outlineLevel="1">
      <c r="A684" s="1">
        <v>2</v>
      </c>
      <c r="F684" s="170" t="s">
        <v>5806</v>
      </c>
    </row>
    <row r="685" spans="1:16" hidden="1" outlineLevel="1">
      <c r="A685" s="1">
        <v>3</v>
      </c>
      <c r="F685" s="170" t="s">
        <v>5807</v>
      </c>
    </row>
    <row r="686" spans="1:16" hidden="1" outlineLevel="1">
      <c r="A686" s="1">
        <v>4</v>
      </c>
      <c r="F686" s="170" t="s">
        <v>5808</v>
      </c>
    </row>
    <row r="687" spans="1:16" hidden="1" outlineLevel="1">
      <c r="A687" s="1">
        <v>5</v>
      </c>
      <c r="F687" s="170" t="s">
        <v>5809</v>
      </c>
    </row>
    <row r="688" spans="1:16" hidden="1" outlineLevel="1">
      <c r="A688" s="1">
        <v>6</v>
      </c>
      <c r="F688" s="170" t="s">
        <v>5810</v>
      </c>
    </row>
    <row r="689" spans="1:16" hidden="1" outlineLevel="1">
      <c r="A689" s="1">
        <v>7</v>
      </c>
      <c r="F689" s="170" t="s">
        <v>5811</v>
      </c>
    </row>
    <row r="690" spans="1:16" hidden="1" outlineLevel="1">
      <c r="A690" s="1">
        <v>8</v>
      </c>
      <c r="F690" s="170" t="s">
        <v>5812</v>
      </c>
    </row>
    <row r="691" spans="1:16" hidden="1" outlineLevel="1">
      <c r="A691" s="1">
        <v>9</v>
      </c>
      <c r="F691" s="170" t="s">
        <v>5813</v>
      </c>
    </row>
    <row r="692" spans="1:16" hidden="1" outlineLevel="1">
      <c r="A692" s="1">
        <v>10</v>
      </c>
      <c r="F692" s="170" t="s">
        <v>5814</v>
      </c>
    </row>
    <row r="693" spans="1:16" hidden="1" outlineLevel="1">
      <c r="A693" s="1">
        <v>11</v>
      </c>
      <c r="F693" s="170" t="s">
        <v>5815</v>
      </c>
    </row>
    <row r="694" spans="1:16" hidden="1" outlineLevel="1">
      <c r="A694" s="1">
        <v>12</v>
      </c>
      <c r="F694" s="170" t="s">
        <v>5816</v>
      </c>
    </row>
    <row r="695" spans="1:16" hidden="1" outlineLevel="1">
      <c r="A695" s="1">
        <v>13</v>
      </c>
      <c r="F695" s="170" t="s">
        <v>5817</v>
      </c>
    </row>
    <row r="696" spans="1:16" hidden="1" outlineLevel="1">
      <c r="A696" s="1">
        <v>14</v>
      </c>
      <c r="F696" s="170" t="s">
        <v>5818</v>
      </c>
    </row>
    <row r="697" spans="1:16" hidden="1" outlineLevel="1">
      <c r="A697" s="1">
        <v>15</v>
      </c>
      <c r="F697" s="170" t="s">
        <v>5819</v>
      </c>
    </row>
    <row r="698" spans="1:16" hidden="1" outlineLevel="1">
      <c r="A698" s="1">
        <v>16</v>
      </c>
      <c r="F698" s="170" t="s">
        <v>5820</v>
      </c>
    </row>
    <row r="699" spans="1:16" hidden="1" outlineLevel="1">
      <c r="A699" s="1">
        <v>17</v>
      </c>
      <c r="F699" s="170" t="s">
        <v>5821</v>
      </c>
    </row>
    <row r="700" spans="1:16" hidden="1" outlineLevel="1">
      <c r="A700" s="1">
        <v>18</v>
      </c>
      <c r="F700" s="170" t="s">
        <v>5822</v>
      </c>
    </row>
    <row r="701" spans="1:16" hidden="1" outlineLevel="1">
      <c r="A701" s="1">
        <v>19</v>
      </c>
      <c r="F701" s="170" t="s">
        <v>5823</v>
      </c>
    </row>
    <row r="702" spans="1:16" hidden="1" outlineLevel="1">
      <c r="A702" s="1">
        <v>20</v>
      </c>
      <c r="F702" s="170" t="s">
        <v>5824</v>
      </c>
    </row>
    <row r="703" spans="1:16" hidden="1" outlineLevel="1">
      <c r="A703" s="8"/>
      <c r="B703" s="58"/>
      <c r="C703" s="159"/>
      <c r="D703" s="8"/>
      <c r="E703" s="8"/>
      <c r="F703" s="171"/>
      <c r="G703" s="8"/>
      <c r="H703" s="8"/>
      <c r="I703" s="8"/>
      <c r="J703" s="58"/>
      <c r="K703" s="8"/>
      <c r="L703" s="58"/>
      <c r="M703" s="8"/>
      <c r="N703" s="8"/>
      <c r="O703" s="58"/>
      <c r="P703" s="8"/>
    </row>
    <row r="704" spans="1:16" hidden="1" outlineLevel="1">
      <c r="A704" s="1">
        <v>1</v>
      </c>
      <c r="B704" s="11">
        <v>44357</v>
      </c>
      <c r="C704" s="160">
        <v>732764</v>
      </c>
      <c r="D704" s="1" t="s">
        <v>402</v>
      </c>
      <c r="E704" s="1" t="s">
        <v>5180</v>
      </c>
      <c r="F704" s="170" t="s">
        <v>5825</v>
      </c>
    </row>
    <row r="705" spans="1:6" hidden="1" outlineLevel="1">
      <c r="A705" s="1">
        <v>2</v>
      </c>
      <c r="F705" s="170" t="s">
        <v>5826</v>
      </c>
    </row>
    <row r="706" spans="1:6" hidden="1" outlineLevel="1">
      <c r="A706" s="1">
        <v>3</v>
      </c>
      <c r="F706" s="170" t="s">
        <v>5827</v>
      </c>
    </row>
    <row r="707" spans="1:6" hidden="1" outlineLevel="1">
      <c r="A707" s="1">
        <v>4</v>
      </c>
      <c r="F707" s="170" t="s">
        <v>5828</v>
      </c>
    </row>
    <row r="708" spans="1:6" hidden="1" outlineLevel="1">
      <c r="A708" s="1">
        <v>5</v>
      </c>
      <c r="F708" s="170" t="s">
        <v>5829</v>
      </c>
    </row>
    <row r="709" spans="1:6" hidden="1" outlineLevel="1">
      <c r="A709" s="1">
        <v>6</v>
      </c>
      <c r="F709" s="170" t="s">
        <v>5830</v>
      </c>
    </row>
    <row r="710" spans="1:6" hidden="1" outlineLevel="1">
      <c r="A710" s="1">
        <v>7</v>
      </c>
      <c r="F710" s="170" t="s">
        <v>5831</v>
      </c>
    </row>
    <row r="711" spans="1:6" hidden="1" outlineLevel="1">
      <c r="A711" s="1">
        <v>8</v>
      </c>
      <c r="F711" s="170" t="s">
        <v>5832</v>
      </c>
    </row>
    <row r="712" spans="1:6" hidden="1" outlineLevel="1">
      <c r="A712" s="1">
        <v>9</v>
      </c>
      <c r="F712" s="170" t="s">
        <v>5833</v>
      </c>
    </row>
    <row r="713" spans="1:6" hidden="1" outlineLevel="1">
      <c r="A713" s="1">
        <v>10</v>
      </c>
      <c r="F713" s="170" t="s">
        <v>5834</v>
      </c>
    </row>
    <row r="714" spans="1:6" hidden="1" outlineLevel="1">
      <c r="A714" s="1">
        <v>11</v>
      </c>
      <c r="F714" s="170" t="s">
        <v>5835</v>
      </c>
    </row>
    <row r="715" spans="1:6" hidden="1" outlineLevel="1">
      <c r="A715" s="1">
        <v>12</v>
      </c>
      <c r="F715" s="170" t="s">
        <v>5836</v>
      </c>
    </row>
    <row r="716" spans="1:6" hidden="1" outlineLevel="1">
      <c r="A716" s="1">
        <v>13</v>
      </c>
      <c r="F716" s="170" t="s">
        <v>5837</v>
      </c>
    </row>
    <row r="717" spans="1:6" hidden="1" outlineLevel="1">
      <c r="A717" s="1">
        <v>14</v>
      </c>
      <c r="F717" s="170" t="s">
        <v>5838</v>
      </c>
    </row>
    <row r="718" spans="1:6" hidden="1" outlineLevel="1">
      <c r="A718" s="1">
        <v>15</v>
      </c>
      <c r="F718" s="170" t="s">
        <v>5839</v>
      </c>
    </row>
    <row r="719" spans="1:6" hidden="1" outlineLevel="1">
      <c r="A719" s="1">
        <v>16</v>
      </c>
      <c r="F719" s="170" t="s">
        <v>5840</v>
      </c>
    </row>
    <row r="720" spans="1:6" hidden="1" outlineLevel="1">
      <c r="A720" s="1">
        <v>17</v>
      </c>
      <c r="F720" s="170" t="s">
        <v>5841</v>
      </c>
    </row>
    <row r="721" spans="1:16" hidden="1" outlineLevel="1">
      <c r="A721" s="1">
        <v>18</v>
      </c>
      <c r="F721" s="170" t="s">
        <v>5842</v>
      </c>
    </row>
    <row r="722" spans="1:16" hidden="1" outlineLevel="1">
      <c r="A722" s="1">
        <v>19</v>
      </c>
      <c r="F722" s="170" t="s">
        <v>5843</v>
      </c>
    </row>
    <row r="723" spans="1:16" hidden="1" outlineLevel="1">
      <c r="A723" s="1">
        <v>20</v>
      </c>
      <c r="F723" s="170" t="s">
        <v>5844</v>
      </c>
    </row>
    <row r="724" spans="1:16" hidden="1" outlineLevel="1">
      <c r="A724" s="8"/>
      <c r="B724" s="58"/>
      <c r="C724" s="159"/>
      <c r="D724" s="8"/>
      <c r="E724" s="8"/>
      <c r="F724" s="171"/>
      <c r="G724" s="8"/>
      <c r="H724" s="8"/>
      <c r="I724" s="8"/>
      <c r="J724" s="58"/>
      <c r="K724" s="8"/>
      <c r="L724" s="58"/>
      <c r="M724" s="8"/>
      <c r="N724" s="8"/>
      <c r="O724" s="58"/>
      <c r="P724" s="8"/>
    </row>
    <row r="725" spans="1:16" hidden="1" outlineLevel="1">
      <c r="A725" s="1">
        <v>1</v>
      </c>
      <c r="B725" s="11">
        <v>44367</v>
      </c>
      <c r="C725" s="160">
        <v>942873</v>
      </c>
      <c r="D725" s="1" t="s">
        <v>402</v>
      </c>
      <c r="E725" s="1" t="s">
        <v>5181</v>
      </c>
      <c r="F725" s="170" t="s">
        <v>5845</v>
      </c>
    </row>
    <row r="726" spans="1:16" hidden="1" outlineLevel="1">
      <c r="A726" s="1">
        <v>2</v>
      </c>
      <c r="F726" s="170" t="s">
        <v>5846</v>
      </c>
    </row>
    <row r="727" spans="1:16" hidden="1" outlineLevel="1">
      <c r="A727" s="1">
        <v>3</v>
      </c>
      <c r="F727" s="170" t="s">
        <v>5847</v>
      </c>
    </row>
    <row r="728" spans="1:16" hidden="1" outlineLevel="1">
      <c r="A728" s="1">
        <v>4</v>
      </c>
      <c r="F728" s="170" t="s">
        <v>5848</v>
      </c>
    </row>
    <row r="729" spans="1:16" hidden="1" outlineLevel="1">
      <c r="A729" s="1">
        <v>5</v>
      </c>
      <c r="F729" s="170" t="s">
        <v>5849</v>
      </c>
    </row>
    <row r="730" spans="1:16" hidden="1" outlineLevel="1">
      <c r="A730" s="1">
        <v>6</v>
      </c>
      <c r="F730" s="170" t="s">
        <v>5850</v>
      </c>
      <c r="M730" s="2" t="s">
        <v>6695</v>
      </c>
      <c r="N730" s="2" t="s">
        <v>6272</v>
      </c>
      <c r="O730" s="18">
        <v>44407</v>
      </c>
    </row>
    <row r="731" spans="1:16" hidden="1" outlineLevel="1">
      <c r="A731" s="1">
        <v>7</v>
      </c>
      <c r="F731" s="170" t="s">
        <v>5851</v>
      </c>
      <c r="M731" s="2" t="s">
        <v>6696</v>
      </c>
      <c r="N731" s="2" t="s">
        <v>6221</v>
      </c>
      <c r="O731" s="18">
        <v>44407</v>
      </c>
    </row>
    <row r="732" spans="1:16" hidden="1" outlineLevel="1">
      <c r="A732" s="1">
        <v>8</v>
      </c>
      <c r="F732" s="170" t="s">
        <v>5852</v>
      </c>
      <c r="M732" s="2" t="s">
        <v>6697</v>
      </c>
      <c r="N732" s="2" t="s">
        <v>6273</v>
      </c>
      <c r="O732" s="18">
        <v>44407</v>
      </c>
    </row>
    <row r="733" spans="1:16" hidden="1" outlineLevel="1">
      <c r="A733" s="1">
        <v>9</v>
      </c>
      <c r="F733" s="170" t="s">
        <v>5853</v>
      </c>
      <c r="M733" s="2" t="s">
        <v>6698</v>
      </c>
      <c r="N733" s="2" t="s">
        <v>6274</v>
      </c>
      <c r="O733" s="18">
        <v>44406</v>
      </c>
    </row>
    <row r="734" spans="1:16" hidden="1" outlineLevel="1">
      <c r="A734" s="1">
        <v>10</v>
      </c>
      <c r="F734" s="170" t="s">
        <v>5854</v>
      </c>
      <c r="M734" s="2" t="s">
        <v>6699</v>
      </c>
      <c r="N734" s="2" t="s">
        <v>1057</v>
      </c>
      <c r="O734" s="18">
        <v>44405</v>
      </c>
    </row>
    <row r="735" spans="1:16" hidden="1" outlineLevel="1">
      <c r="A735" s="1">
        <v>11</v>
      </c>
      <c r="F735" s="170" t="s">
        <v>5855</v>
      </c>
      <c r="M735" s="2" t="s">
        <v>6700</v>
      </c>
      <c r="N735" s="2" t="s">
        <v>1057</v>
      </c>
      <c r="O735" s="18">
        <v>44405</v>
      </c>
    </row>
    <row r="736" spans="1:16" hidden="1" outlineLevel="1">
      <c r="A736" s="1">
        <v>12</v>
      </c>
      <c r="F736" s="170" t="s">
        <v>5856</v>
      </c>
      <c r="M736" s="2" t="s">
        <v>6701</v>
      </c>
      <c r="N736" s="2" t="s">
        <v>4659</v>
      </c>
      <c r="O736" s="18">
        <v>44399</v>
      </c>
    </row>
    <row r="737" spans="1:16" hidden="1" outlineLevel="1">
      <c r="A737" s="1">
        <v>13</v>
      </c>
      <c r="F737" s="170" t="s">
        <v>5857</v>
      </c>
    </row>
    <row r="738" spans="1:16" hidden="1" outlineLevel="1">
      <c r="A738" s="1">
        <v>14</v>
      </c>
      <c r="F738" s="170" t="s">
        <v>5858</v>
      </c>
      <c r="M738" s="2" t="s">
        <v>6702</v>
      </c>
      <c r="N738" s="2" t="s">
        <v>6275</v>
      </c>
      <c r="O738" s="18">
        <v>44405</v>
      </c>
    </row>
    <row r="739" spans="1:16" hidden="1" outlineLevel="1">
      <c r="A739" s="1">
        <v>15</v>
      </c>
      <c r="F739" s="170" t="s">
        <v>5859</v>
      </c>
      <c r="M739" s="2" t="s">
        <v>6703</v>
      </c>
      <c r="N739" s="2" t="s">
        <v>6221</v>
      </c>
      <c r="O739" s="18">
        <v>44399</v>
      </c>
    </row>
    <row r="740" spans="1:16" hidden="1" outlineLevel="1">
      <c r="A740" s="1">
        <v>16</v>
      </c>
      <c r="F740" s="170" t="s">
        <v>5860</v>
      </c>
      <c r="M740" s="2" t="s">
        <v>6704</v>
      </c>
      <c r="N740" s="2" t="s">
        <v>6276</v>
      </c>
      <c r="O740" s="18">
        <v>44400</v>
      </c>
    </row>
    <row r="741" spans="1:16" hidden="1" outlineLevel="1">
      <c r="A741" s="1">
        <v>17</v>
      </c>
      <c r="F741" s="170" t="s">
        <v>5861</v>
      </c>
      <c r="M741" s="2" t="s">
        <v>6705</v>
      </c>
      <c r="N741" s="2" t="s">
        <v>6277</v>
      </c>
      <c r="O741" s="18">
        <v>44405</v>
      </c>
    </row>
    <row r="742" spans="1:16" hidden="1" outlineLevel="1">
      <c r="A742" s="1">
        <v>18</v>
      </c>
      <c r="F742" s="170" t="s">
        <v>5862</v>
      </c>
      <c r="M742" s="2" t="s">
        <v>6706</v>
      </c>
      <c r="N742" s="2" t="s">
        <v>6065</v>
      </c>
      <c r="O742" s="18">
        <v>44404</v>
      </c>
    </row>
    <row r="743" spans="1:16" hidden="1" outlineLevel="1">
      <c r="A743" s="1">
        <v>19</v>
      </c>
      <c r="F743" s="170" t="s">
        <v>5863</v>
      </c>
      <c r="M743" s="2" t="s">
        <v>6707</v>
      </c>
      <c r="N743" s="2" t="s">
        <v>4627</v>
      </c>
      <c r="O743" s="18">
        <v>44404</v>
      </c>
    </row>
    <row r="744" spans="1:16" hidden="1" outlineLevel="1">
      <c r="A744" s="1">
        <v>20</v>
      </c>
      <c r="F744" s="170" t="s">
        <v>5864</v>
      </c>
      <c r="M744" s="2" t="s">
        <v>6708</v>
      </c>
      <c r="N744" s="2" t="s">
        <v>6275</v>
      </c>
      <c r="O744" s="18">
        <v>44405</v>
      </c>
    </row>
    <row r="745" spans="1:16" hidden="1" outlineLevel="1">
      <c r="A745" s="8"/>
      <c r="B745" s="58"/>
      <c r="C745" s="159"/>
      <c r="D745" s="8"/>
      <c r="E745" s="8"/>
      <c r="F745" s="171"/>
      <c r="G745" s="8"/>
      <c r="H745" s="8"/>
      <c r="I745" s="8"/>
      <c r="J745" s="58"/>
      <c r="K745" s="8"/>
      <c r="L745" s="58"/>
      <c r="M745" s="8"/>
      <c r="N745" s="8"/>
      <c r="O745" s="58"/>
      <c r="P745" s="8"/>
    </row>
    <row r="746" spans="1:16" hidden="1" outlineLevel="1">
      <c r="A746" s="1">
        <v>1</v>
      </c>
      <c r="B746" s="11">
        <v>44413</v>
      </c>
      <c r="C746" s="160">
        <v>1036653</v>
      </c>
      <c r="D746" s="1" t="s">
        <v>402</v>
      </c>
      <c r="E746" s="1" t="s">
        <v>5181</v>
      </c>
      <c r="F746" s="170" t="s">
        <v>5865</v>
      </c>
    </row>
    <row r="747" spans="1:16" hidden="1" outlineLevel="1">
      <c r="A747" s="1">
        <v>2</v>
      </c>
      <c r="F747" s="170" t="s">
        <v>5866</v>
      </c>
    </row>
    <row r="748" spans="1:16" hidden="1" outlineLevel="1">
      <c r="A748" s="1">
        <v>3</v>
      </c>
      <c r="F748" s="170" t="s">
        <v>5867</v>
      </c>
    </row>
    <row r="749" spans="1:16" hidden="1" outlineLevel="1">
      <c r="A749" s="1">
        <v>4</v>
      </c>
      <c r="F749" s="170" t="s">
        <v>5868</v>
      </c>
    </row>
    <row r="750" spans="1:16" hidden="1" outlineLevel="1">
      <c r="A750" s="1">
        <v>5</v>
      </c>
      <c r="F750" s="170" t="s">
        <v>5869</v>
      </c>
    </row>
    <row r="751" spans="1:16" hidden="1" outlineLevel="1">
      <c r="A751" s="1">
        <v>6</v>
      </c>
      <c r="F751" s="170" t="s">
        <v>5870</v>
      </c>
    </row>
    <row r="752" spans="1:16" hidden="1" outlineLevel="1">
      <c r="A752" s="1">
        <v>7</v>
      </c>
      <c r="F752" s="170" t="s">
        <v>5871</v>
      </c>
    </row>
    <row r="753" spans="1:16" hidden="1" outlineLevel="1">
      <c r="A753" s="1">
        <v>8</v>
      </c>
      <c r="F753" s="170" t="s">
        <v>5872</v>
      </c>
    </row>
    <row r="754" spans="1:16" hidden="1" outlineLevel="1">
      <c r="A754" s="1">
        <v>9</v>
      </c>
      <c r="F754" s="170" t="s">
        <v>5873</v>
      </c>
    </row>
    <row r="755" spans="1:16" hidden="1" outlineLevel="1">
      <c r="A755" s="1">
        <v>10</v>
      </c>
      <c r="F755" s="170" t="s">
        <v>5874</v>
      </c>
    </row>
    <row r="756" spans="1:16" hidden="1" outlineLevel="1">
      <c r="A756" s="1">
        <v>11</v>
      </c>
      <c r="F756" s="170" t="s">
        <v>5875</v>
      </c>
    </row>
    <row r="757" spans="1:16" hidden="1" outlineLevel="1">
      <c r="A757" s="1">
        <v>12</v>
      </c>
      <c r="F757" s="170" t="s">
        <v>5876</v>
      </c>
    </row>
    <row r="758" spans="1:16" hidden="1" outlineLevel="1">
      <c r="A758" s="1">
        <v>13</v>
      </c>
      <c r="F758" s="170" t="s">
        <v>5877</v>
      </c>
    </row>
    <row r="759" spans="1:16" hidden="1" outlineLevel="1">
      <c r="A759" s="1">
        <v>14</v>
      </c>
      <c r="F759" s="170" t="s">
        <v>5878</v>
      </c>
    </row>
    <row r="760" spans="1:16" hidden="1" outlineLevel="1">
      <c r="A760" s="1">
        <v>15</v>
      </c>
      <c r="F760" s="170" t="s">
        <v>5879</v>
      </c>
    </row>
    <row r="761" spans="1:16" hidden="1" outlineLevel="1">
      <c r="A761" s="1">
        <v>16</v>
      </c>
      <c r="F761" s="170" t="s">
        <v>5880</v>
      </c>
    </row>
    <row r="762" spans="1:16" hidden="1" outlineLevel="1">
      <c r="A762" s="1">
        <v>17</v>
      </c>
      <c r="F762" s="170" t="s">
        <v>5881</v>
      </c>
    </row>
    <row r="763" spans="1:16" hidden="1" outlineLevel="1">
      <c r="A763" s="1">
        <v>18</v>
      </c>
      <c r="F763" s="170" t="s">
        <v>5882</v>
      </c>
    </row>
    <row r="764" spans="1:16" hidden="1" outlineLevel="1">
      <c r="A764" s="1">
        <v>19</v>
      </c>
      <c r="F764" s="170" t="s">
        <v>5883</v>
      </c>
    </row>
    <row r="765" spans="1:16" hidden="1" outlineLevel="1">
      <c r="A765" s="1">
        <v>20</v>
      </c>
      <c r="F765" s="170" t="s">
        <v>5884</v>
      </c>
    </row>
    <row r="766" spans="1:16" hidden="1" outlineLevel="1">
      <c r="A766" s="8"/>
      <c r="B766" s="58"/>
      <c r="C766" s="159"/>
      <c r="D766" s="8"/>
      <c r="E766" s="8"/>
      <c r="F766" s="171"/>
      <c r="G766" s="8"/>
      <c r="H766" s="8"/>
      <c r="I766" s="8"/>
      <c r="J766" s="58"/>
      <c r="K766" s="8"/>
      <c r="L766" s="58"/>
      <c r="M766" s="8"/>
      <c r="N766" s="8"/>
      <c r="O766" s="58"/>
      <c r="P766" s="8"/>
    </row>
    <row r="767" spans="1:16" hidden="1" outlineLevel="1">
      <c r="A767" s="1">
        <v>1</v>
      </c>
      <c r="B767" s="11">
        <v>44438</v>
      </c>
      <c r="C767" s="160">
        <v>1170020</v>
      </c>
      <c r="D767" s="1" t="s">
        <v>402</v>
      </c>
      <c r="E767" s="1" t="s">
        <v>5181</v>
      </c>
      <c r="F767" s="170" t="s">
        <v>5885</v>
      </c>
    </row>
    <row r="768" spans="1:16" hidden="1" outlineLevel="1">
      <c r="A768" s="1">
        <v>2</v>
      </c>
      <c r="F768" s="170" t="s">
        <v>5886</v>
      </c>
    </row>
    <row r="769" spans="1:6" hidden="1" outlineLevel="1">
      <c r="A769" s="1">
        <v>3</v>
      </c>
      <c r="F769" s="170" t="s">
        <v>5887</v>
      </c>
    </row>
    <row r="770" spans="1:6" hidden="1" outlineLevel="1">
      <c r="A770" s="1">
        <v>4</v>
      </c>
      <c r="F770" s="170" t="s">
        <v>5888</v>
      </c>
    </row>
    <row r="771" spans="1:6" hidden="1" outlineLevel="1">
      <c r="A771" s="1">
        <v>5</v>
      </c>
      <c r="F771" s="170" t="s">
        <v>5889</v>
      </c>
    </row>
    <row r="772" spans="1:6" hidden="1" outlineLevel="1">
      <c r="A772" s="1">
        <v>6</v>
      </c>
      <c r="F772" s="170" t="s">
        <v>5890</v>
      </c>
    </row>
    <row r="773" spans="1:6" hidden="1" outlineLevel="1">
      <c r="A773" s="1">
        <v>7</v>
      </c>
      <c r="F773" s="170" t="s">
        <v>5891</v>
      </c>
    </row>
    <row r="774" spans="1:6" hidden="1" outlineLevel="1">
      <c r="A774" s="1">
        <v>8</v>
      </c>
      <c r="F774" s="170" t="s">
        <v>5892</v>
      </c>
    </row>
    <row r="775" spans="1:6" hidden="1" outlineLevel="1">
      <c r="A775" s="1">
        <v>9</v>
      </c>
      <c r="F775" s="170" t="s">
        <v>5893</v>
      </c>
    </row>
    <row r="776" spans="1:6" hidden="1" outlineLevel="1">
      <c r="A776" s="1">
        <v>10</v>
      </c>
      <c r="F776" s="170" t="s">
        <v>5894</v>
      </c>
    </row>
    <row r="777" spans="1:6" hidden="1" outlineLevel="1">
      <c r="A777" s="1">
        <v>11</v>
      </c>
      <c r="F777" s="170" t="s">
        <v>5895</v>
      </c>
    </row>
    <row r="778" spans="1:6" hidden="1" outlineLevel="1">
      <c r="A778" s="1">
        <v>12</v>
      </c>
      <c r="F778" s="170" t="s">
        <v>5896</v>
      </c>
    </row>
    <row r="779" spans="1:6" hidden="1" outlineLevel="1">
      <c r="A779" s="1">
        <v>13</v>
      </c>
      <c r="F779" s="170" t="s">
        <v>5897</v>
      </c>
    </row>
    <row r="780" spans="1:6" hidden="1" outlineLevel="1">
      <c r="A780" s="1">
        <v>14</v>
      </c>
      <c r="F780" s="170" t="s">
        <v>5898</v>
      </c>
    </row>
    <row r="781" spans="1:6" hidden="1" outlineLevel="1">
      <c r="A781" s="1">
        <v>15</v>
      </c>
      <c r="F781" s="170" t="s">
        <v>5899</v>
      </c>
    </row>
    <row r="782" spans="1:6" hidden="1" outlineLevel="1">
      <c r="A782" s="1">
        <v>16</v>
      </c>
      <c r="F782" s="170" t="s">
        <v>5900</v>
      </c>
    </row>
    <row r="783" spans="1:6" hidden="1" outlineLevel="1">
      <c r="A783" s="1">
        <v>17</v>
      </c>
      <c r="F783" s="170" t="s">
        <v>5901</v>
      </c>
    </row>
    <row r="784" spans="1:6" hidden="1" outlineLevel="1">
      <c r="A784" s="1">
        <v>18</v>
      </c>
      <c r="F784" s="170" t="s">
        <v>5902</v>
      </c>
    </row>
    <row r="785" spans="1:16" hidden="1" outlineLevel="1">
      <c r="A785" s="1">
        <v>19</v>
      </c>
      <c r="F785" s="170" t="s">
        <v>5903</v>
      </c>
    </row>
    <row r="786" spans="1:16" hidden="1" outlineLevel="1">
      <c r="A786" s="1">
        <v>20</v>
      </c>
      <c r="F786" s="170" t="s">
        <v>5904</v>
      </c>
    </row>
    <row r="787" spans="1:16" hidden="1" outlineLevel="1">
      <c r="A787" s="8"/>
      <c r="B787" s="58"/>
      <c r="C787" s="159"/>
      <c r="D787" s="8"/>
      <c r="E787" s="8"/>
      <c r="F787" s="171"/>
      <c r="G787" s="8"/>
      <c r="H787" s="8"/>
      <c r="I787" s="8"/>
      <c r="J787" s="58"/>
      <c r="K787" s="8"/>
      <c r="L787" s="58"/>
      <c r="M787" s="8"/>
      <c r="N787" s="8"/>
      <c r="O787" s="58"/>
      <c r="P787" s="8"/>
    </row>
    <row r="788" spans="1:16" hidden="1" outlineLevel="1">
      <c r="A788" s="1">
        <v>1</v>
      </c>
      <c r="B788" s="11">
        <v>44456</v>
      </c>
      <c r="C788" s="160">
        <v>1275491</v>
      </c>
      <c r="D788" s="1" t="s">
        <v>402</v>
      </c>
      <c r="E788" s="1" t="s">
        <v>5181</v>
      </c>
      <c r="F788" s="170" t="s">
        <v>5905</v>
      </c>
      <c r="M788" s="2" t="s">
        <v>6709</v>
      </c>
      <c r="N788" s="2" t="s">
        <v>6278</v>
      </c>
      <c r="O788" s="18">
        <v>44456</v>
      </c>
    </row>
    <row r="789" spans="1:16" hidden="1" outlineLevel="1">
      <c r="A789" s="1">
        <v>2</v>
      </c>
      <c r="F789" s="170" t="s">
        <v>5906</v>
      </c>
      <c r="M789" s="2" t="s">
        <v>6710</v>
      </c>
      <c r="N789" s="2" t="s">
        <v>6240</v>
      </c>
      <c r="O789" s="18">
        <v>44456</v>
      </c>
    </row>
    <row r="790" spans="1:16" hidden="1" outlineLevel="1">
      <c r="A790" s="1">
        <v>3</v>
      </c>
      <c r="F790" s="170" t="s">
        <v>5907</v>
      </c>
      <c r="M790" s="2" t="s">
        <v>6711</v>
      </c>
      <c r="N790" s="2" t="s">
        <v>4769</v>
      </c>
      <c r="O790" s="18">
        <v>44460</v>
      </c>
    </row>
    <row r="791" spans="1:16" hidden="1" outlineLevel="1">
      <c r="A791" s="1">
        <v>4</v>
      </c>
      <c r="F791" s="170" t="s">
        <v>5908</v>
      </c>
      <c r="M791" s="2" t="s">
        <v>6712</v>
      </c>
      <c r="N791" s="2" t="s">
        <v>6279</v>
      </c>
      <c r="O791" s="18">
        <v>44462</v>
      </c>
    </row>
    <row r="792" spans="1:16" hidden="1" outlineLevel="1">
      <c r="A792" s="1">
        <v>5</v>
      </c>
      <c r="F792" s="170" t="s">
        <v>5909</v>
      </c>
      <c r="M792" s="2" t="s">
        <v>6713</v>
      </c>
      <c r="N792" s="2" t="s">
        <v>6280</v>
      </c>
      <c r="O792" s="18">
        <v>44461</v>
      </c>
    </row>
    <row r="793" spans="1:16" hidden="1" outlineLevel="1">
      <c r="A793" s="1">
        <v>6</v>
      </c>
      <c r="F793" s="170" t="s">
        <v>5910</v>
      </c>
      <c r="M793" s="2" t="s">
        <v>6714</v>
      </c>
      <c r="N793" s="2" t="s">
        <v>6043</v>
      </c>
      <c r="O793" s="18">
        <v>44461</v>
      </c>
    </row>
    <row r="794" spans="1:16" hidden="1" outlineLevel="1">
      <c r="A794" s="1">
        <v>7</v>
      </c>
      <c r="F794" s="170" t="s">
        <v>5911</v>
      </c>
      <c r="M794" s="2" t="s">
        <v>6715</v>
      </c>
      <c r="N794" s="2" t="s">
        <v>6281</v>
      </c>
      <c r="O794" s="18">
        <v>44462</v>
      </c>
    </row>
    <row r="795" spans="1:16" hidden="1" outlineLevel="1">
      <c r="A795" s="1">
        <v>8</v>
      </c>
      <c r="F795" s="170" t="s">
        <v>5912</v>
      </c>
      <c r="M795" s="2" t="s">
        <v>6716</v>
      </c>
      <c r="N795" s="2" t="s">
        <v>6282</v>
      </c>
      <c r="O795" s="18">
        <v>44463</v>
      </c>
    </row>
    <row r="796" spans="1:16" hidden="1" outlineLevel="1">
      <c r="A796" s="1">
        <v>9</v>
      </c>
      <c r="F796" s="170" t="s">
        <v>5913</v>
      </c>
      <c r="M796" s="2" t="s">
        <v>6717</v>
      </c>
      <c r="N796" s="2" t="s">
        <v>6283</v>
      </c>
      <c r="O796" s="18">
        <v>44463</v>
      </c>
    </row>
    <row r="797" spans="1:16" hidden="1" outlineLevel="1">
      <c r="A797" s="1">
        <v>10</v>
      </c>
      <c r="F797" s="170" t="s">
        <v>5914</v>
      </c>
      <c r="M797" s="2" t="s">
        <v>6718</v>
      </c>
      <c r="N797" s="2" t="s">
        <v>6284</v>
      </c>
      <c r="O797" s="18">
        <v>44469</v>
      </c>
    </row>
    <row r="798" spans="1:16" hidden="1" outlineLevel="1">
      <c r="A798" s="1">
        <v>11</v>
      </c>
      <c r="F798" s="170" t="s">
        <v>5915</v>
      </c>
      <c r="M798" s="2" t="s">
        <v>6719</v>
      </c>
      <c r="N798" s="2" t="s">
        <v>6285</v>
      </c>
      <c r="O798" s="18">
        <v>44470</v>
      </c>
    </row>
    <row r="799" spans="1:16" hidden="1" outlineLevel="1">
      <c r="A799" s="1">
        <v>12</v>
      </c>
      <c r="F799" s="170" t="s">
        <v>5916</v>
      </c>
      <c r="M799" s="2" t="s">
        <v>6720</v>
      </c>
      <c r="N799" s="2" t="s">
        <v>6248</v>
      </c>
      <c r="O799" s="18">
        <v>44473</v>
      </c>
    </row>
    <row r="800" spans="1:16" hidden="1" outlineLevel="1">
      <c r="A800" s="1">
        <v>13</v>
      </c>
      <c r="F800" s="170" t="s">
        <v>5917</v>
      </c>
      <c r="M800" s="2" t="s">
        <v>6721</v>
      </c>
      <c r="N800" s="2" t="s">
        <v>6286</v>
      </c>
      <c r="O800" s="18">
        <v>44461</v>
      </c>
    </row>
    <row r="801" spans="1:16" hidden="1" outlineLevel="1">
      <c r="A801" s="1">
        <v>14</v>
      </c>
      <c r="F801" s="170" t="s">
        <v>5918</v>
      </c>
      <c r="M801" s="2" t="s">
        <v>6722</v>
      </c>
      <c r="N801" s="2" t="s">
        <v>6248</v>
      </c>
      <c r="O801" s="18">
        <v>44475</v>
      </c>
    </row>
    <row r="802" spans="1:16" hidden="1" outlineLevel="1">
      <c r="A802" s="1">
        <v>15</v>
      </c>
      <c r="F802" s="170" t="s">
        <v>5919</v>
      </c>
      <c r="M802" s="2" t="s">
        <v>6723</v>
      </c>
      <c r="N802" s="2" t="s">
        <v>6287</v>
      </c>
      <c r="O802" s="18">
        <v>44475</v>
      </c>
    </row>
    <row r="803" spans="1:16" hidden="1" outlineLevel="1">
      <c r="A803" s="1">
        <v>16</v>
      </c>
      <c r="F803" s="170" t="s">
        <v>5920</v>
      </c>
      <c r="M803" s="2" t="s">
        <v>6724</v>
      </c>
      <c r="N803" s="2" t="s">
        <v>6288</v>
      </c>
      <c r="O803" s="18">
        <v>44476</v>
      </c>
    </row>
    <row r="804" spans="1:16" hidden="1" outlineLevel="1">
      <c r="A804" s="1">
        <v>17</v>
      </c>
      <c r="F804" s="170" t="s">
        <v>5921</v>
      </c>
      <c r="M804" s="2" t="s">
        <v>6725</v>
      </c>
      <c r="N804" s="2" t="s">
        <v>4731</v>
      </c>
      <c r="O804" s="18">
        <v>44480</v>
      </c>
    </row>
    <row r="805" spans="1:16" hidden="1" outlineLevel="1">
      <c r="A805" s="1">
        <v>18</v>
      </c>
      <c r="F805" s="170" t="s">
        <v>5922</v>
      </c>
      <c r="M805" s="2" t="s">
        <v>6726</v>
      </c>
      <c r="N805" s="2" t="s">
        <v>4731</v>
      </c>
      <c r="O805" s="18">
        <v>44487</v>
      </c>
    </row>
    <row r="806" spans="1:16" hidden="1" outlineLevel="1">
      <c r="A806" s="1">
        <v>19</v>
      </c>
      <c r="F806" s="170" t="s">
        <v>5923</v>
      </c>
      <c r="M806" s="2" t="s">
        <v>6727</v>
      </c>
      <c r="N806" s="2" t="s">
        <v>6289</v>
      </c>
      <c r="O806" s="18">
        <v>44484</v>
      </c>
    </row>
    <row r="807" spans="1:16" hidden="1" outlineLevel="1">
      <c r="A807" s="1">
        <v>20</v>
      </c>
      <c r="F807" s="170" t="s">
        <v>5924</v>
      </c>
      <c r="M807" s="2" t="s">
        <v>6728</v>
      </c>
      <c r="N807" s="2" t="s">
        <v>4802</v>
      </c>
      <c r="O807" s="18">
        <v>44467</v>
      </c>
    </row>
    <row r="808" spans="1:16" hidden="1" outlineLevel="1">
      <c r="A808" s="8"/>
      <c r="B808" s="58"/>
      <c r="C808" s="159"/>
      <c r="D808" s="8"/>
      <c r="E808" s="8"/>
      <c r="F808" s="171"/>
      <c r="G808" s="8"/>
      <c r="H808" s="8"/>
      <c r="I808" s="8"/>
      <c r="J808" s="58"/>
      <c r="K808" s="8"/>
      <c r="L808" s="58"/>
      <c r="M808" s="8"/>
      <c r="N808" s="8"/>
      <c r="O808" s="58"/>
      <c r="P808" s="8"/>
    </row>
    <row r="809" spans="1:16" hidden="1" outlineLevel="1">
      <c r="A809" s="1">
        <v>1</v>
      </c>
      <c r="B809" s="11">
        <v>44468</v>
      </c>
      <c r="C809" s="160">
        <v>1339859</v>
      </c>
      <c r="D809" s="1" t="s">
        <v>402</v>
      </c>
      <c r="E809" s="1" t="s">
        <v>5181</v>
      </c>
      <c r="F809" s="170" t="s">
        <v>5925</v>
      </c>
      <c r="M809" s="2" t="s">
        <v>6729</v>
      </c>
      <c r="N809" s="2" t="s">
        <v>6290</v>
      </c>
      <c r="O809" s="18">
        <v>44490</v>
      </c>
    </row>
    <row r="810" spans="1:16" hidden="1" outlineLevel="1">
      <c r="A810" s="1">
        <v>2</v>
      </c>
      <c r="F810" s="170" t="s">
        <v>5926</v>
      </c>
      <c r="M810" s="2" t="s">
        <v>6730</v>
      </c>
      <c r="N810" s="2" t="s">
        <v>6291</v>
      </c>
      <c r="O810" s="18">
        <v>44491</v>
      </c>
    </row>
    <row r="811" spans="1:16" hidden="1" outlineLevel="1">
      <c r="A811" s="1">
        <v>3</v>
      </c>
      <c r="F811" s="170" t="s">
        <v>5927</v>
      </c>
      <c r="M811" s="2" t="s">
        <v>6731</v>
      </c>
      <c r="N811" s="2" t="s">
        <v>2551</v>
      </c>
      <c r="O811" s="18">
        <v>44494</v>
      </c>
    </row>
    <row r="812" spans="1:16" hidden="1" outlineLevel="1">
      <c r="A812" s="1">
        <v>4</v>
      </c>
      <c r="F812" s="170" t="s">
        <v>5928</v>
      </c>
      <c r="M812" s="2" t="s">
        <v>6732</v>
      </c>
      <c r="N812" s="2" t="s">
        <v>6043</v>
      </c>
      <c r="O812" s="18">
        <v>44494</v>
      </c>
    </row>
    <row r="813" spans="1:16" hidden="1" outlineLevel="1">
      <c r="A813" s="1">
        <v>5</v>
      </c>
      <c r="F813" s="170" t="s">
        <v>5929</v>
      </c>
      <c r="M813" s="2" t="s">
        <v>6733</v>
      </c>
      <c r="N813" s="2" t="s">
        <v>6292</v>
      </c>
      <c r="O813" s="18">
        <v>44494</v>
      </c>
    </row>
    <row r="814" spans="1:16" hidden="1" outlineLevel="1">
      <c r="A814" s="1">
        <v>6</v>
      </c>
      <c r="F814" s="170" t="s">
        <v>5930</v>
      </c>
      <c r="M814" s="2" t="s">
        <v>6734</v>
      </c>
      <c r="N814" s="2" t="s">
        <v>6293</v>
      </c>
      <c r="O814" s="18">
        <v>44525</v>
      </c>
    </row>
    <row r="815" spans="1:16" hidden="1" outlineLevel="1">
      <c r="A815" s="1">
        <v>7</v>
      </c>
      <c r="F815" s="170" t="s">
        <v>5931</v>
      </c>
      <c r="M815" s="2" t="s">
        <v>6735</v>
      </c>
      <c r="N815" s="2" t="s">
        <v>4818</v>
      </c>
      <c r="O815" s="18">
        <v>44495</v>
      </c>
    </row>
    <row r="816" spans="1:16" hidden="1" outlineLevel="1">
      <c r="A816" s="1">
        <v>8</v>
      </c>
      <c r="F816" s="170" t="s">
        <v>5932</v>
      </c>
      <c r="M816" s="2" t="s">
        <v>6736</v>
      </c>
      <c r="N816" s="2" t="s">
        <v>6294</v>
      </c>
      <c r="O816" s="18">
        <v>44496</v>
      </c>
    </row>
    <row r="817" spans="1:16" hidden="1" outlineLevel="1">
      <c r="A817" s="1">
        <v>9</v>
      </c>
      <c r="F817" s="170" t="s">
        <v>5933</v>
      </c>
      <c r="M817" s="2" t="s">
        <v>6737</v>
      </c>
      <c r="N817" s="2" t="s">
        <v>6295</v>
      </c>
      <c r="O817" s="18">
        <v>44496</v>
      </c>
    </row>
    <row r="818" spans="1:16" hidden="1" outlineLevel="1">
      <c r="A818" s="1">
        <v>10</v>
      </c>
      <c r="F818" s="170" t="s">
        <v>5934</v>
      </c>
      <c r="M818" s="2" t="s">
        <v>6738</v>
      </c>
      <c r="N818" s="2" t="s">
        <v>6296</v>
      </c>
      <c r="O818" s="18">
        <v>44498</v>
      </c>
    </row>
    <row r="819" spans="1:16" hidden="1" outlineLevel="1">
      <c r="A819" s="8"/>
      <c r="B819" s="58"/>
      <c r="C819" s="159"/>
      <c r="D819" s="8"/>
      <c r="E819" s="8"/>
      <c r="F819" s="171"/>
      <c r="G819" s="8"/>
      <c r="H819" s="8"/>
      <c r="I819" s="8"/>
      <c r="J819" s="58"/>
      <c r="K819" s="8"/>
      <c r="L819" s="58"/>
      <c r="M819" s="8"/>
      <c r="N819" s="8"/>
      <c r="O819" s="58"/>
      <c r="P819" s="8"/>
    </row>
    <row r="820" spans="1:16" hidden="1" outlineLevel="1">
      <c r="A820" s="1">
        <v>1</v>
      </c>
      <c r="D820" s="1" t="s">
        <v>402</v>
      </c>
      <c r="E820" s="1" t="s">
        <v>5181</v>
      </c>
      <c r="F820" s="170" t="s">
        <v>5935</v>
      </c>
      <c r="M820" s="2" t="s">
        <v>6739</v>
      </c>
      <c r="N820" s="2" t="s">
        <v>6297</v>
      </c>
      <c r="O820" s="18">
        <v>44525</v>
      </c>
    </row>
    <row r="821" spans="1:16" hidden="1" outlineLevel="1">
      <c r="A821" s="1">
        <v>2</v>
      </c>
      <c r="F821" s="170" t="s">
        <v>5936</v>
      </c>
      <c r="M821" s="2" t="s">
        <v>6740</v>
      </c>
      <c r="N821" s="2" t="s">
        <v>6298</v>
      </c>
      <c r="O821" s="18">
        <v>44523</v>
      </c>
    </row>
    <row r="822" spans="1:16" hidden="1" outlineLevel="1">
      <c r="A822" s="1">
        <v>3</v>
      </c>
      <c r="F822" s="170" t="s">
        <v>5937</v>
      </c>
      <c r="M822" s="2" t="s">
        <v>6741</v>
      </c>
      <c r="N822" s="2" t="s">
        <v>6291</v>
      </c>
      <c r="O822" s="18">
        <v>44523</v>
      </c>
    </row>
    <row r="823" spans="1:16" hidden="1" outlineLevel="1">
      <c r="A823" s="1">
        <v>4</v>
      </c>
      <c r="F823" s="170" t="s">
        <v>5938</v>
      </c>
      <c r="M823" s="2" t="s">
        <v>6742</v>
      </c>
      <c r="N823" s="2" t="s">
        <v>6136</v>
      </c>
      <c r="O823" s="18">
        <v>44519</v>
      </c>
    </row>
    <row r="824" spans="1:16" hidden="1" outlineLevel="1">
      <c r="A824" s="1">
        <v>5</v>
      </c>
      <c r="F824" s="170" t="s">
        <v>5939</v>
      </c>
      <c r="M824" s="2" t="s">
        <v>6743</v>
      </c>
      <c r="N824" s="2" t="s">
        <v>6299</v>
      </c>
      <c r="O824" s="18">
        <v>44518</v>
      </c>
    </row>
    <row r="825" spans="1:16" hidden="1" outlineLevel="1">
      <c r="A825" s="1">
        <v>6</v>
      </c>
      <c r="F825" s="170" t="s">
        <v>5940</v>
      </c>
      <c r="M825" s="2" t="s">
        <v>6744</v>
      </c>
      <c r="N825" s="2" t="s">
        <v>4616</v>
      </c>
      <c r="O825" s="18">
        <v>44515</v>
      </c>
    </row>
    <row r="826" spans="1:16" hidden="1" outlineLevel="1">
      <c r="A826" s="1">
        <v>7</v>
      </c>
      <c r="F826" s="170" t="s">
        <v>5941</v>
      </c>
      <c r="M826" s="2" t="s">
        <v>6745</v>
      </c>
      <c r="N826" s="2" t="s">
        <v>6300</v>
      </c>
      <c r="O826" s="18">
        <v>44515</v>
      </c>
    </row>
    <row r="827" spans="1:16" hidden="1" outlineLevel="1">
      <c r="A827" s="1">
        <v>8</v>
      </c>
      <c r="F827" s="170" t="s">
        <v>5942</v>
      </c>
      <c r="M827" s="2" t="s">
        <v>6746</v>
      </c>
      <c r="N827" s="2" t="s">
        <v>6301</v>
      </c>
      <c r="O827" s="18">
        <v>44511</v>
      </c>
    </row>
    <row r="828" spans="1:16" hidden="1" outlineLevel="1">
      <c r="A828" s="1">
        <v>9</v>
      </c>
      <c r="F828" s="170" t="s">
        <v>5943</v>
      </c>
      <c r="M828" s="2" t="s">
        <v>6747</v>
      </c>
      <c r="N828" s="2" t="s">
        <v>6302</v>
      </c>
      <c r="O828" s="18">
        <v>44501</v>
      </c>
    </row>
    <row r="829" spans="1:16" hidden="1" outlineLevel="1">
      <c r="A829" s="1">
        <v>10</v>
      </c>
      <c r="F829" s="170" t="s">
        <v>5944</v>
      </c>
      <c r="M829" s="2" t="s">
        <v>6748</v>
      </c>
      <c r="N829" s="2" t="s">
        <v>6303</v>
      </c>
      <c r="O829" s="18">
        <v>44511</v>
      </c>
    </row>
    <row r="830" spans="1:16" hidden="1" outlineLevel="1">
      <c r="A830" s="1">
        <v>11</v>
      </c>
      <c r="F830" s="170" t="s">
        <v>5945</v>
      </c>
      <c r="M830" s="2" t="s">
        <v>6749</v>
      </c>
      <c r="N830" s="2" t="s">
        <v>6304</v>
      </c>
      <c r="O830" s="18">
        <v>44501</v>
      </c>
    </row>
    <row r="831" spans="1:16" hidden="1" outlineLevel="1">
      <c r="A831" s="1">
        <v>12</v>
      </c>
      <c r="F831" s="170" t="s">
        <v>5946</v>
      </c>
      <c r="M831" s="2" t="s">
        <v>6750</v>
      </c>
      <c r="N831" s="2" t="s">
        <v>6305</v>
      </c>
      <c r="O831" s="18">
        <v>44510</v>
      </c>
    </row>
    <row r="832" spans="1:16" hidden="1" outlineLevel="1">
      <c r="A832" s="1">
        <v>13</v>
      </c>
      <c r="F832" s="170" t="s">
        <v>5947</v>
      </c>
      <c r="M832" s="2" t="s">
        <v>6751</v>
      </c>
      <c r="N832" s="2" t="s">
        <v>6306</v>
      </c>
      <c r="O832" s="18">
        <v>44510</v>
      </c>
    </row>
    <row r="833" spans="1:16" hidden="1" outlineLevel="1">
      <c r="A833" s="1">
        <v>14</v>
      </c>
      <c r="F833" s="170" t="s">
        <v>5948</v>
      </c>
      <c r="M833" s="2" t="s">
        <v>6752</v>
      </c>
      <c r="N833" s="2" t="s">
        <v>6307</v>
      </c>
      <c r="O833" s="18">
        <v>44511</v>
      </c>
    </row>
    <row r="834" spans="1:16" hidden="1" outlineLevel="1">
      <c r="A834" s="1">
        <v>15</v>
      </c>
      <c r="F834" s="170" t="s">
        <v>5949</v>
      </c>
      <c r="M834" s="2" t="s">
        <v>6753</v>
      </c>
      <c r="N834" s="2" t="s">
        <v>6302</v>
      </c>
      <c r="O834" s="18">
        <v>44498</v>
      </c>
    </row>
    <row r="835" spans="1:16" hidden="1" outlineLevel="1">
      <c r="A835" s="1">
        <v>16</v>
      </c>
      <c r="F835" s="170" t="s">
        <v>5950</v>
      </c>
      <c r="M835" s="2" t="s">
        <v>6754</v>
      </c>
      <c r="N835" s="2" t="s">
        <v>6308</v>
      </c>
      <c r="O835" s="18">
        <v>44512</v>
      </c>
    </row>
    <row r="836" spans="1:16" hidden="1" outlineLevel="1">
      <c r="A836" s="1">
        <v>17</v>
      </c>
      <c r="F836" s="170" t="s">
        <v>5951</v>
      </c>
      <c r="M836" s="2" t="s">
        <v>6755</v>
      </c>
      <c r="N836" s="2" t="s">
        <v>6309</v>
      </c>
      <c r="O836" s="18">
        <v>44525</v>
      </c>
    </row>
    <row r="837" spans="1:16" hidden="1" outlineLevel="1">
      <c r="A837" s="1">
        <v>18</v>
      </c>
      <c r="F837" s="170" t="s">
        <v>5952</v>
      </c>
      <c r="M837" s="2" t="s">
        <v>6756</v>
      </c>
      <c r="N837" s="2" t="s">
        <v>6310</v>
      </c>
      <c r="O837" s="18">
        <v>44522</v>
      </c>
    </row>
    <row r="838" spans="1:16" hidden="1" outlineLevel="1">
      <c r="A838" s="1">
        <v>19</v>
      </c>
      <c r="F838" s="170" t="s">
        <v>5953</v>
      </c>
      <c r="M838" s="2" t="s">
        <v>6757</v>
      </c>
      <c r="N838" s="2" t="s">
        <v>6311</v>
      </c>
      <c r="O838" s="18">
        <v>44522</v>
      </c>
    </row>
    <row r="839" spans="1:16" hidden="1" outlineLevel="1">
      <c r="A839" s="1">
        <v>20</v>
      </c>
      <c r="F839" s="170" t="s">
        <v>5954</v>
      </c>
      <c r="M839" s="2" t="s">
        <v>6758</v>
      </c>
      <c r="N839" s="2" t="s">
        <v>6310</v>
      </c>
      <c r="O839" s="18">
        <v>44522</v>
      </c>
    </row>
    <row r="840" spans="1:16" hidden="1" outlineLevel="1">
      <c r="A840" s="8"/>
      <c r="B840" s="58"/>
      <c r="C840" s="159"/>
      <c r="D840" s="8"/>
      <c r="E840" s="8"/>
      <c r="F840" s="171"/>
      <c r="G840" s="8"/>
      <c r="H840" s="8"/>
      <c r="I840" s="8"/>
      <c r="J840" s="58"/>
      <c r="K840" s="8"/>
      <c r="L840" s="58"/>
      <c r="M840" s="8"/>
      <c r="N840" s="8"/>
      <c r="O840" s="58"/>
      <c r="P840" s="8"/>
    </row>
    <row r="841" spans="1:16" hidden="1" outlineLevel="1">
      <c r="A841" s="1">
        <v>1</v>
      </c>
      <c r="B841" s="11">
        <v>44525</v>
      </c>
      <c r="C841" s="160">
        <v>1672995</v>
      </c>
      <c r="D841" s="1" t="s">
        <v>402</v>
      </c>
      <c r="E841" s="1" t="s">
        <v>5181</v>
      </c>
      <c r="F841" s="170" t="s">
        <v>5955</v>
      </c>
      <c r="M841" s="2" t="s">
        <v>6759</v>
      </c>
      <c r="N841" s="2" t="s">
        <v>6312</v>
      </c>
      <c r="O841" s="18">
        <v>44531</v>
      </c>
    </row>
    <row r="842" spans="1:16" hidden="1" outlineLevel="1">
      <c r="A842" s="1">
        <v>2</v>
      </c>
      <c r="F842" s="170" t="s">
        <v>5956</v>
      </c>
      <c r="M842" s="2" t="s">
        <v>6760</v>
      </c>
      <c r="N842" s="2" t="s">
        <v>6155</v>
      </c>
      <c r="O842" s="18">
        <v>44530</v>
      </c>
    </row>
    <row r="843" spans="1:16" hidden="1" outlineLevel="1">
      <c r="A843" s="1">
        <v>3</v>
      </c>
      <c r="F843" s="170" t="s">
        <v>5957</v>
      </c>
      <c r="M843" s="2" t="s">
        <v>6761</v>
      </c>
      <c r="N843" s="2" t="s">
        <v>4598</v>
      </c>
      <c r="O843" s="18">
        <v>44526</v>
      </c>
    </row>
    <row r="844" spans="1:16" hidden="1" outlineLevel="1">
      <c r="A844" s="1">
        <v>4</v>
      </c>
      <c r="F844" s="170" t="s">
        <v>5958</v>
      </c>
      <c r="N844" s="2" t="s">
        <v>6313</v>
      </c>
      <c r="O844" s="18">
        <v>44526</v>
      </c>
    </row>
    <row r="845" spans="1:16" hidden="1" outlineLevel="1">
      <c r="A845" s="1">
        <v>5</v>
      </c>
      <c r="F845" s="170" t="s">
        <v>5959</v>
      </c>
      <c r="M845" s="2" t="s">
        <v>6762</v>
      </c>
      <c r="N845" s="2" t="s">
        <v>6291</v>
      </c>
      <c r="O845" s="18">
        <v>44537</v>
      </c>
    </row>
    <row r="846" spans="1:16" hidden="1" outlineLevel="1">
      <c r="A846" s="1">
        <v>6</v>
      </c>
      <c r="F846" s="170" t="s">
        <v>5960</v>
      </c>
      <c r="M846" s="2" t="s">
        <v>6763</v>
      </c>
      <c r="N846" s="2" t="s">
        <v>6314</v>
      </c>
      <c r="O846" s="18">
        <v>44537</v>
      </c>
    </row>
    <row r="847" spans="1:16" hidden="1" outlineLevel="1">
      <c r="A847" s="1">
        <v>7</v>
      </c>
      <c r="F847" s="170" t="s">
        <v>5961</v>
      </c>
      <c r="M847" s="2" t="s">
        <v>6764</v>
      </c>
      <c r="N847" s="2" t="s">
        <v>6315</v>
      </c>
      <c r="O847" s="18">
        <v>44537</v>
      </c>
    </row>
    <row r="848" spans="1:16" hidden="1" outlineLevel="1">
      <c r="A848" s="1">
        <v>8</v>
      </c>
      <c r="F848" s="170" t="s">
        <v>5962</v>
      </c>
      <c r="M848" s="2" t="s">
        <v>6765</v>
      </c>
      <c r="N848" s="2" t="s">
        <v>6291</v>
      </c>
      <c r="O848" s="18">
        <v>44537</v>
      </c>
    </row>
    <row r="849" spans="1:16" hidden="1" outlineLevel="1">
      <c r="A849" s="1">
        <v>9</v>
      </c>
      <c r="F849" s="170" t="s">
        <v>5963</v>
      </c>
      <c r="M849" s="2" t="s">
        <v>6766</v>
      </c>
      <c r="N849" s="2" t="s">
        <v>6316</v>
      </c>
      <c r="O849" s="18">
        <v>44538</v>
      </c>
    </row>
    <row r="850" spans="1:16" hidden="1" outlineLevel="1">
      <c r="A850" s="1">
        <v>10</v>
      </c>
      <c r="F850" s="170" t="s">
        <v>5964</v>
      </c>
      <c r="M850" s="2" t="s">
        <v>6767</v>
      </c>
      <c r="N850" s="2" t="s">
        <v>6317</v>
      </c>
      <c r="O850" s="18">
        <v>44540</v>
      </c>
    </row>
    <row r="851" spans="1:16" hidden="1" outlineLevel="1">
      <c r="A851" s="1">
        <v>11</v>
      </c>
      <c r="F851" s="170" t="s">
        <v>5965</v>
      </c>
      <c r="M851" s="2" t="s">
        <v>6768</v>
      </c>
      <c r="N851" s="2" t="s">
        <v>6317</v>
      </c>
      <c r="O851" s="18">
        <v>44540</v>
      </c>
    </row>
    <row r="852" spans="1:16" hidden="1" outlineLevel="1">
      <c r="A852" s="1">
        <v>12</v>
      </c>
      <c r="F852" s="170" t="s">
        <v>5966</v>
      </c>
      <c r="M852" s="2" t="s">
        <v>6769</v>
      </c>
      <c r="N852" s="2" t="s">
        <v>4607</v>
      </c>
      <c r="O852" s="18">
        <v>44543</v>
      </c>
    </row>
    <row r="853" spans="1:16" hidden="1" outlineLevel="1">
      <c r="A853" s="1">
        <v>13</v>
      </c>
      <c r="F853" s="170" t="s">
        <v>5967</v>
      </c>
      <c r="M853" s="2" t="s">
        <v>6770</v>
      </c>
      <c r="N853" s="2" t="s">
        <v>6318</v>
      </c>
      <c r="O853" s="18">
        <v>44543</v>
      </c>
    </row>
    <row r="854" spans="1:16" hidden="1" outlineLevel="1">
      <c r="A854" s="1">
        <v>14</v>
      </c>
      <c r="F854" s="170" t="s">
        <v>5968</v>
      </c>
      <c r="M854" s="2" t="s">
        <v>6771</v>
      </c>
      <c r="N854" s="2" t="s">
        <v>6309</v>
      </c>
      <c r="O854" s="18">
        <v>44543</v>
      </c>
    </row>
    <row r="855" spans="1:16" hidden="1" outlineLevel="1">
      <c r="A855" s="1">
        <v>15</v>
      </c>
      <c r="F855" s="170" t="s">
        <v>5969</v>
      </c>
      <c r="M855" s="2" t="s">
        <v>6772</v>
      </c>
      <c r="N855" s="2" t="s">
        <v>185</v>
      </c>
      <c r="O855" s="18">
        <v>44544</v>
      </c>
    </row>
    <row r="856" spans="1:16" hidden="1" outlineLevel="1">
      <c r="A856" s="1">
        <v>16</v>
      </c>
      <c r="F856" s="170" t="s">
        <v>5970</v>
      </c>
      <c r="M856" s="2" t="s">
        <v>6773</v>
      </c>
      <c r="N856" s="2" t="s">
        <v>6043</v>
      </c>
      <c r="O856" s="18">
        <v>44544</v>
      </c>
    </row>
    <row r="857" spans="1:16" hidden="1" outlineLevel="1">
      <c r="A857" s="1">
        <v>17</v>
      </c>
      <c r="F857" s="170" t="s">
        <v>5971</v>
      </c>
      <c r="M857" s="2" t="s">
        <v>6774</v>
      </c>
      <c r="N857" s="2" t="s">
        <v>6319</v>
      </c>
      <c r="O857" s="18">
        <v>44546</v>
      </c>
    </row>
    <row r="858" spans="1:16" hidden="1" outlineLevel="1">
      <c r="A858" s="1">
        <v>18</v>
      </c>
      <c r="F858" s="170" t="s">
        <v>5972</v>
      </c>
      <c r="M858" s="2" t="s">
        <v>6775</v>
      </c>
      <c r="N858" s="2" t="s">
        <v>6227</v>
      </c>
      <c r="O858" s="18">
        <v>44552</v>
      </c>
    </row>
    <row r="859" spans="1:16" hidden="1" outlineLevel="1">
      <c r="A859" s="1">
        <v>19</v>
      </c>
      <c r="F859" s="170" t="s">
        <v>5973</v>
      </c>
      <c r="N859" s="2" t="s">
        <v>6320</v>
      </c>
      <c r="O859" s="18">
        <v>44536</v>
      </c>
    </row>
    <row r="860" spans="1:16" hidden="1" outlineLevel="1">
      <c r="A860" s="1">
        <v>20</v>
      </c>
      <c r="F860" s="170" t="s">
        <v>5974</v>
      </c>
      <c r="M860" s="2" t="s">
        <v>6776</v>
      </c>
      <c r="N860" s="2" t="s">
        <v>6321</v>
      </c>
      <c r="O860" s="18">
        <v>44531</v>
      </c>
    </row>
    <row r="861" spans="1:16" hidden="1" outlineLevel="1">
      <c r="A861" s="8"/>
      <c r="B861" s="58"/>
      <c r="C861" s="159"/>
      <c r="D861" s="8"/>
      <c r="E861" s="8"/>
      <c r="F861" s="171"/>
      <c r="G861" s="8"/>
      <c r="H861" s="8"/>
      <c r="I861" s="8"/>
      <c r="J861" s="58"/>
      <c r="K861" s="8"/>
      <c r="L861" s="58"/>
      <c r="M861" s="8"/>
      <c r="N861" s="8"/>
      <c r="O861" s="58"/>
      <c r="P861" s="8"/>
    </row>
    <row r="862" spans="1:16" hidden="1" outlineLevel="1">
      <c r="A862" s="1">
        <v>1</v>
      </c>
      <c r="B862" s="11">
        <v>44545</v>
      </c>
      <c r="C862" s="160">
        <v>1798324</v>
      </c>
      <c r="D862" s="1" t="s">
        <v>402</v>
      </c>
      <c r="E862" s="1" t="s">
        <v>5181</v>
      </c>
      <c r="F862" s="170" t="s">
        <v>5975</v>
      </c>
      <c r="M862" s="2" t="s">
        <v>6777</v>
      </c>
      <c r="N862" s="2" t="s">
        <v>6322</v>
      </c>
      <c r="O862" s="18">
        <v>44551</v>
      </c>
    </row>
    <row r="863" spans="1:16" hidden="1" outlineLevel="1">
      <c r="A863" s="1">
        <v>2</v>
      </c>
      <c r="F863" s="170" t="s">
        <v>5976</v>
      </c>
      <c r="M863" s="2" t="s">
        <v>6778</v>
      </c>
      <c r="N863" s="2" t="s">
        <v>6323</v>
      </c>
      <c r="O863" s="18">
        <v>44552</v>
      </c>
    </row>
    <row r="864" spans="1:16" hidden="1" outlineLevel="1">
      <c r="A864" s="1">
        <v>3</v>
      </c>
      <c r="F864" s="170" t="s">
        <v>5977</v>
      </c>
      <c r="M864" s="2" t="s">
        <v>6779</v>
      </c>
      <c r="N864" s="2" t="s">
        <v>6324</v>
      </c>
      <c r="O864" s="18">
        <v>44554</v>
      </c>
    </row>
    <row r="865" spans="1:15" hidden="1" outlineLevel="1">
      <c r="A865" s="1">
        <v>4</v>
      </c>
      <c r="F865" s="170" t="s">
        <v>5978</v>
      </c>
      <c r="M865" s="2" t="s">
        <v>6780</v>
      </c>
      <c r="N865" s="2" t="s">
        <v>6325</v>
      </c>
      <c r="O865" s="18">
        <v>44557</v>
      </c>
    </row>
    <row r="866" spans="1:15" hidden="1" outlineLevel="1">
      <c r="A866" s="1">
        <v>5</v>
      </c>
      <c r="F866" s="170" t="s">
        <v>5979</v>
      </c>
      <c r="M866" s="2" t="s">
        <v>6781</v>
      </c>
      <c r="N866" s="2" t="s">
        <v>4616</v>
      </c>
      <c r="O866" s="18">
        <v>44558</v>
      </c>
    </row>
    <row r="867" spans="1:15" hidden="1" outlineLevel="1">
      <c r="A867" s="1">
        <v>6</v>
      </c>
      <c r="F867" s="170" t="s">
        <v>5980</v>
      </c>
      <c r="M867" s="2" t="s">
        <v>6782</v>
      </c>
      <c r="N867" s="2" t="s">
        <v>416</v>
      </c>
      <c r="O867" s="18">
        <v>44558</v>
      </c>
    </row>
    <row r="868" spans="1:15" hidden="1" outlineLevel="1">
      <c r="A868" s="1">
        <v>7</v>
      </c>
      <c r="F868" s="170" t="s">
        <v>5981</v>
      </c>
      <c r="M868" s="2" t="s">
        <v>6783</v>
      </c>
      <c r="N868" s="2" t="s">
        <v>6240</v>
      </c>
      <c r="O868" s="18">
        <v>44582</v>
      </c>
    </row>
    <row r="869" spans="1:15" hidden="1" outlineLevel="1">
      <c r="A869" s="1">
        <v>8</v>
      </c>
      <c r="F869" s="170" t="s">
        <v>5982</v>
      </c>
      <c r="M869" s="2" t="s">
        <v>6784</v>
      </c>
      <c r="N869" s="2" t="s">
        <v>6309</v>
      </c>
      <c r="O869" s="18">
        <v>44582</v>
      </c>
    </row>
    <row r="870" spans="1:15" hidden="1" outlineLevel="1">
      <c r="A870" s="1">
        <v>9</v>
      </c>
      <c r="F870" s="170" t="s">
        <v>5983</v>
      </c>
      <c r="M870" s="2" t="s">
        <v>6785</v>
      </c>
      <c r="N870" s="2" t="s">
        <v>6326</v>
      </c>
      <c r="O870" s="18">
        <v>44585</v>
      </c>
    </row>
    <row r="871" spans="1:15" hidden="1" outlineLevel="1">
      <c r="A871" s="1">
        <v>10</v>
      </c>
      <c r="F871" s="170" t="s">
        <v>5984</v>
      </c>
      <c r="M871" s="2" t="s">
        <v>6341</v>
      </c>
      <c r="N871" s="2" t="s">
        <v>6194</v>
      </c>
      <c r="O871" s="18">
        <v>44585</v>
      </c>
    </row>
    <row r="872" spans="1:15" hidden="1" outlineLevel="1">
      <c r="A872" s="1">
        <v>11</v>
      </c>
      <c r="F872" s="170" t="s">
        <v>5985</v>
      </c>
      <c r="M872" s="2" t="s">
        <v>6786</v>
      </c>
      <c r="N872" s="2" t="s">
        <v>6327</v>
      </c>
      <c r="O872" s="18">
        <v>44587</v>
      </c>
    </row>
    <row r="873" spans="1:15" hidden="1" outlineLevel="1">
      <c r="A873" s="1">
        <v>12</v>
      </c>
      <c r="F873" s="170" t="s">
        <v>5986</v>
      </c>
      <c r="N873" s="2" t="s">
        <v>6328</v>
      </c>
      <c r="O873" s="18">
        <v>44593</v>
      </c>
    </row>
    <row r="874" spans="1:15" hidden="1" outlineLevel="1">
      <c r="A874" s="1">
        <v>13</v>
      </c>
      <c r="F874" s="170" t="s">
        <v>5987</v>
      </c>
      <c r="I874" s="2" t="s">
        <v>44</v>
      </c>
      <c r="M874" s="2" t="s">
        <v>6787</v>
      </c>
      <c r="N874" s="2" t="s">
        <v>6329</v>
      </c>
      <c r="O874" s="18">
        <v>44594</v>
      </c>
    </row>
    <row r="875" spans="1:15" hidden="1" outlineLevel="1">
      <c r="A875" s="1">
        <v>14</v>
      </c>
      <c r="F875" s="170" t="s">
        <v>5988</v>
      </c>
      <c r="I875" s="2" t="s">
        <v>44</v>
      </c>
      <c r="M875" s="2" t="s">
        <v>6359</v>
      </c>
      <c r="N875" s="2" t="s">
        <v>6330</v>
      </c>
      <c r="O875" s="18">
        <v>44607</v>
      </c>
    </row>
    <row r="876" spans="1:15" hidden="1" outlineLevel="1">
      <c r="A876" s="1">
        <v>15</v>
      </c>
      <c r="F876" s="170" t="s">
        <v>5989</v>
      </c>
      <c r="I876" s="2" t="s">
        <v>44</v>
      </c>
      <c r="M876" s="2" t="s">
        <v>6788</v>
      </c>
      <c r="N876" s="2" t="s">
        <v>6331</v>
      </c>
      <c r="O876" s="18">
        <v>44608</v>
      </c>
    </row>
    <row r="877" spans="1:15" hidden="1" outlineLevel="1">
      <c r="A877" s="1">
        <v>16</v>
      </c>
      <c r="F877" s="170" t="s">
        <v>5990</v>
      </c>
      <c r="I877" s="2" t="s">
        <v>44</v>
      </c>
      <c r="M877" s="2" t="s">
        <v>6789</v>
      </c>
      <c r="N877" s="2" t="s">
        <v>6332</v>
      </c>
      <c r="O877" s="18">
        <v>44617</v>
      </c>
    </row>
    <row r="878" spans="1:15" hidden="1" outlineLevel="1">
      <c r="A878" s="1">
        <v>17</v>
      </c>
      <c r="F878" s="170" t="s">
        <v>5991</v>
      </c>
      <c r="I878" s="2" t="s">
        <v>44</v>
      </c>
      <c r="M878" s="2" t="s">
        <v>6790</v>
      </c>
      <c r="N878" s="2" t="s">
        <v>6291</v>
      </c>
      <c r="O878" s="18">
        <v>44617</v>
      </c>
    </row>
    <row r="879" spans="1:15" hidden="1" outlineLevel="1">
      <c r="A879" s="1">
        <v>18</v>
      </c>
      <c r="F879" s="170" t="s">
        <v>5992</v>
      </c>
      <c r="I879" s="2" t="s">
        <v>44</v>
      </c>
      <c r="M879" s="2" t="s">
        <v>6791</v>
      </c>
      <c r="N879" s="2" t="s">
        <v>4598</v>
      </c>
      <c r="O879" s="18">
        <v>44617</v>
      </c>
    </row>
    <row r="880" spans="1:15" hidden="1" outlineLevel="1">
      <c r="A880" s="1">
        <v>19</v>
      </c>
      <c r="F880" s="170" t="s">
        <v>5993</v>
      </c>
      <c r="I880" s="2" t="s">
        <v>44</v>
      </c>
      <c r="M880" s="2" t="s">
        <v>6358</v>
      </c>
      <c r="N880" s="2" t="s">
        <v>6333</v>
      </c>
      <c r="O880" s="18">
        <v>44617</v>
      </c>
    </row>
    <row r="881" spans="1:16" hidden="1" outlineLevel="1">
      <c r="A881" s="1">
        <v>20</v>
      </c>
      <c r="F881" s="170" t="s">
        <v>5994</v>
      </c>
      <c r="I881" s="2" t="s">
        <v>44</v>
      </c>
      <c r="M881" s="2" t="s">
        <v>856</v>
      </c>
      <c r="N881" s="2" t="s">
        <v>6334</v>
      </c>
      <c r="O881" s="18">
        <v>44622</v>
      </c>
    </row>
    <row r="882" spans="1:16" collapsed="1">
      <c r="A882" s="8">
        <v>2022</v>
      </c>
      <c r="B882" s="58"/>
      <c r="C882" s="159"/>
      <c r="D882" s="8"/>
      <c r="E882" s="8"/>
      <c r="F882" s="171"/>
      <c r="G882" s="8"/>
      <c r="H882" s="8"/>
      <c r="I882" s="8"/>
      <c r="J882" s="58"/>
      <c r="K882" s="8"/>
      <c r="L882" s="58"/>
      <c r="M882" s="8"/>
      <c r="N882" s="8"/>
      <c r="O882" s="58"/>
      <c r="P882" s="8"/>
    </row>
    <row r="883" spans="1:16">
      <c r="A883" s="1">
        <v>1</v>
      </c>
      <c r="B883" s="11">
        <v>44613</v>
      </c>
      <c r="C883" s="160">
        <v>297109</v>
      </c>
      <c r="D883" s="1" t="s">
        <v>402</v>
      </c>
      <c r="E883" s="1" t="s">
        <v>403</v>
      </c>
      <c r="F883" s="170" t="s">
        <v>404</v>
      </c>
      <c r="I883" s="2" t="s">
        <v>44</v>
      </c>
      <c r="M883" s="2" t="s">
        <v>406</v>
      </c>
      <c r="N883" s="2" t="s">
        <v>405</v>
      </c>
      <c r="O883" s="18">
        <v>44625</v>
      </c>
    </row>
    <row r="884" spans="1:16">
      <c r="A884" s="1">
        <v>2</v>
      </c>
      <c r="F884" s="170" t="s">
        <v>407</v>
      </c>
      <c r="I884" s="2" t="s">
        <v>44</v>
      </c>
      <c r="M884" s="2" t="s">
        <v>409</v>
      </c>
      <c r="N884" s="2" t="s">
        <v>408</v>
      </c>
      <c r="O884" s="18">
        <v>44624</v>
      </c>
    </row>
    <row r="885" spans="1:16">
      <c r="A885" s="1">
        <v>3</v>
      </c>
      <c r="F885" s="170" t="s">
        <v>410</v>
      </c>
      <c r="I885" s="2" t="s">
        <v>44</v>
      </c>
      <c r="M885" s="2" t="s">
        <v>411</v>
      </c>
      <c r="N885" s="2" t="s">
        <v>408</v>
      </c>
      <c r="O885" s="18">
        <v>44624</v>
      </c>
    </row>
    <row r="886" spans="1:16">
      <c r="A886" s="1">
        <v>4</v>
      </c>
      <c r="F886" s="170" t="s">
        <v>412</v>
      </c>
      <c r="I886" s="2" t="s">
        <v>44</v>
      </c>
      <c r="M886" s="2" t="s">
        <v>414</v>
      </c>
      <c r="N886" s="2" t="s">
        <v>413</v>
      </c>
      <c r="O886" s="18">
        <v>44625</v>
      </c>
    </row>
    <row r="887" spans="1:16">
      <c r="A887" s="1">
        <v>5</v>
      </c>
      <c r="F887" s="170" t="s">
        <v>415</v>
      </c>
      <c r="I887" s="2" t="s">
        <v>44</v>
      </c>
      <c r="M887" s="2" t="s">
        <v>417</v>
      </c>
      <c r="N887" s="2" t="s">
        <v>416</v>
      </c>
      <c r="O887" s="18">
        <v>44624</v>
      </c>
    </row>
    <row r="888" spans="1:16">
      <c r="A888" s="1">
        <v>6</v>
      </c>
      <c r="F888" s="170" t="s">
        <v>418</v>
      </c>
      <c r="I888" s="2" t="s">
        <v>44</v>
      </c>
      <c r="M888" s="2" t="s">
        <v>420</v>
      </c>
      <c r="N888" s="2" t="s">
        <v>419</v>
      </c>
      <c r="O888" s="18">
        <v>44623</v>
      </c>
    </row>
    <row r="889" spans="1:16">
      <c r="A889" s="1">
        <v>7</v>
      </c>
      <c r="F889" s="170" t="s">
        <v>421</v>
      </c>
      <c r="I889" s="2" t="s">
        <v>44</v>
      </c>
    </row>
    <row r="890" spans="1:16">
      <c r="A890" s="8"/>
      <c r="B890" s="58"/>
      <c r="C890" s="159"/>
      <c r="D890" s="8"/>
      <c r="E890" s="8"/>
      <c r="F890" s="171"/>
      <c r="G890" s="8"/>
      <c r="H890" s="8"/>
      <c r="I890" s="8"/>
      <c r="J890" s="58"/>
      <c r="K890" s="8"/>
      <c r="L890" s="58"/>
      <c r="M890" s="8"/>
      <c r="N890" s="8"/>
      <c r="O890" s="58"/>
      <c r="P890" s="8"/>
    </row>
    <row r="891" spans="1:16">
      <c r="A891" s="1">
        <v>1</v>
      </c>
      <c r="B891" s="11">
        <v>44615</v>
      </c>
      <c r="C891" s="160">
        <v>312803</v>
      </c>
      <c r="D891" s="1" t="s">
        <v>402</v>
      </c>
      <c r="E891" s="1" t="s">
        <v>403</v>
      </c>
      <c r="F891" s="170" t="s">
        <v>422</v>
      </c>
      <c r="I891" s="2" t="s">
        <v>44</v>
      </c>
      <c r="M891" s="2" t="s">
        <v>4844</v>
      </c>
      <c r="N891" s="2" t="s">
        <v>6100</v>
      </c>
      <c r="O891" s="18">
        <v>44636</v>
      </c>
    </row>
    <row r="892" spans="1:16">
      <c r="A892" s="1">
        <v>2</v>
      </c>
      <c r="F892" s="170" t="s">
        <v>423</v>
      </c>
      <c r="I892" s="2" t="s">
        <v>44</v>
      </c>
      <c r="M892" s="2" t="s">
        <v>4891</v>
      </c>
      <c r="N892" s="2" t="s">
        <v>6335</v>
      </c>
      <c r="O892" s="18">
        <v>44637</v>
      </c>
    </row>
    <row r="893" spans="1:16">
      <c r="A893" s="1">
        <v>3</v>
      </c>
      <c r="F893" s="170" t="s">
        <v>424</v>
      </c>
      <c r="I893" s="2" t="s">
        <v>44</v>
      </c>
    </row>
    <row r="894" spans="1:16">
      <c r="A894" s="1">
        <v>4</v>
      </c>
      <c r="F894" s="170" t="s">
        <v>425</v>
      </c>
      <c r="I894" s="2" t="s">
        <v>44</v>
      </c>
      <c r="M894" s="2" t="s">
        <v>6792</v>
      </c>
      <c r="N894" s="2" t="s">
        <v>6336</v>
      </c>
      <c r="O894" s="18">
        <v>44635</v>
      </c>
    </row>
    <row r="895" spans="1:16">
      <c r="A895" s="1">
        <v>5</v>
      </c>
      <c r="F895" s="170" t="s">
        <v>426</v>
      </c>
      <c r="I895" s="2" t="s">
        <v>44</v>
      </c>
      <c r="M895" s="2" t="s">
        <v>6793</v>
      </c>
      <c r="N895" s="2" t="s">
        <v>6337</v>
      </c>
      <c r="O895" s="18">
        <v>44634</v>
      </c>
    </row>
    <row r="896" spans="1:16">
      <c r="A896" s="1">
        <v>6</v>
      </c>
      <c r="F896" s="170" t="s">
        <v>427</v>
      </c>
      <c r="I896" s="2" t="s">
        <v>44</v>
      </c>
      <c r="M896" s="2" t="s">
        <v>429</v>
      </c>
      <c r="N896" s="2" t="s">
        <v>428</v>
      </c>
      <c r="O896" s="18">
        <v>44631</v>
      </c>
    </row>
    <row r="897" spans="1:16">
      <c r="A897" s="1">
        <v>7</v>
      </c>
      <c r="F897" s="170" t="s">
        <v>430</v>
      </c>
      <c r="I897" s="2" t="s">
        <v>44</v>
      </c>
      <c r="M897" s="2" t="s">
        <v>432</v>
      </c>
      <c r="N897" s="2" t="s">
        <v>431</v>
      </c>
      <c r="O897" s="18">
        <v>44630</v>
      </c>
    </row>
    <row r="898" spans="1:16">
      <c r="A898" s="1">
        <v>8</v>
      </c>
      <c r="F898" s="170" t="s">
        <v>433</v>
      </c>
      <c r="I898" s="2" t="s">
        <v>44</v>
      </c>
      <c r="M898" s="2" t="s">
        <v>435</v>
      </c>
      <c r="N898" s="2" t="s">
        <v>434</v>
      </c>
      <c r="O898" s="18">
        <v>44630</v>
      </c>
    </row>
    <row r="899" spans="1:16">
      <c r="A899" s="1">
        <v>9</v>
      </c>
      <c r="F899" s="170" t="s">
        <v>436</v>
      </c>
      <c r="I899" s="2" t="s">
        <v>44</v>
      </c>
      <c r="M899" s="2" t="s">
        <v>438</v>
      </c>
      <c r="N899" s="2" t="s">
        <v>437</v>
      </c>
      <c r="O899" s="18">
        <v>44629</v>
      </c>
    </row>
    <row r="900" spans="1:16">
      <c r="A900" s="1">
        <v>10</v>
      </c>
      <c r="F900" s="170" t="s">
        <v>439</v>
      </c>
      <c r="I900" s="2" t="s">
        <v>44</v>
      </c>
      <c r="M900" s="2" t="s">
        <v>6794</v>
      </c>
      <c r="N900" s="2" t="s">
        <v>6338</v>
      </c>
      <c r="O900" s="18">
        <v>44637</v>
      </c>
    </row>
    <row r="901" spans="1:16">
      <c r="A901" s="1">
        <v>11</v>
      </c>
      <c r="F901" s="170" t="s">
        <v>440</v>
      </c>
      <c r="I901" s="2" t="s">
        <v>44</v>
      </c>
      <c r="M901" s="2" t="s">
        <v>6795</v>
      </c>
      <c r="N901" s="2" t="s">
        <v>6339</v>
      </c>
      <c r="O901" s="18">
        <v>44638</v>
      </c>
    </row>
    <row r="902" spans="1:16">
      <c r="A902" s="1">
        <v>12</v>
      </c>
      <c r="F902" s="170" t="s">
        <v>441</v>
      </c>
      <c r="I902" s="2" t="s">
        <v>44</v>
      </c>
      <c r="M902" s="2" t="s">
        <v>6796</v>
      </c>
      <c r="N902" s="2" t="s">
        <v>405</v>
      </c>
      <c r="O902" s="18">
        <v>44638</v>
      </c>
    </row>
    <row r="903" spans="1:16">
      <c r="A903" s="1">
        <v>13</v>
      </c>
      <c r="F903" s="170" t="s">
        <v>442</v>
      </c>
      <c r="I903" s="2" t="s">
        <v>44</v>
      </c>
      <c r="M903" s="2" t="s">
        <v>4872</v>
      </c>
      <c r="N903" s="2" t="s">
        <v>6340</v>
      </c>
      <c r="O903" s="18">
        <v>44643</v>
      </c>
    </row>
    <row r="904" spans="1:16">
      <c r="A904" s="8"/>
      <c r="B904" s="58"/>
      <c r="C904" s="159"/>
      <c r="D904" s="8"/>
      <c r="E904" s="8"/>
      <c r="F904" s="171"/>
      <c r="G904" s="8"/>
      <c r="H904" s="8"/>
      <c r="I904" s="8"/>
      <c r="J904" s="58"/>
      <c r="K904" s="8"/>
      <c r="L904" s="58"/>
      <c r="M904" s="8"/>
      <c r="N904" s="8"/>
      <c r="O904" s="58"/>
      <c r="P904" s="8"/>
    </row>
    <row r="905" spans="1:16">
      <c r="A905" s="1">
        <v>1</v>
      </c>
      <c r="B905" s="11">
        <v>44634</v>
      </c>
      <c r="C905" s="160">
        <v>445652</v>
      </c>
      <c r="D905" s="1" t="s">
        <v>402</v>
      </c>
      <c r="E905" s="1" t="s">
        <v>5182</v>
      </c>
      <c r="F905" s="170" t="s">
        <v>5995</v>
      </c>
      <c r="I905" s="2" t="s">
        <v>44</v>
      </c>
    </row>
    <row r="906" spans="1:16">
      <c r="A906" s="1">
        <v>2</v>
      </c>
      <c r="F906" s="170" t="s">
        <v>5996</v>
      </c>
      <c r="I906" s="2" t="s">
        <v>44</v>
      </c>
    </row>
    <row r="907" spans="1:16">
      <c r="A907" s="1">
        <v>3</v>
      </c>
      <c r="F907" s="170" t="s">
        <v>5997</v>
      </c>
      <c r="I907" s="2" t="s">
        <v>44</v>
      </c>
    </row>
    <row r="908" spans="1:16">
      <c r="A908" s="1">
        <v>4</v>
      </c>
      <c r="F908" s="170" t="s">
        <v>5998</v>
      </c>
      <c r="I908" s="2" t="s">
        <v>44</v>
      </c>
    </row>
    <row r="909" spans="1:16">
      <c r="A909" s="1">
        <v>5</v>
      </c>
      <c r="F909" s="170" t="s">
        <v>5999</v>
      </c>
      <c r="I909" s="2" t="s">
        <v>44</v>
      </c>
    </row>
    <row r="910" spans="1:16">
      <c r="A910" s="1">
        <v>6</v>
      </c>
      <c r="F910" s="170" t="s">
        <v>6000</v>
      </c>
      <c r="I910" s="2" t="s">
        <v>44</v>
      </c>
    </row>
    <row r="911" spans="1:16">
      <c r="A911" s="1">
        <v>7</v>
      </c>
      <c r="F911" s="170" t="s">
        <v>6001</v>
      </c>
      <c r="I911" s="2" t="s">
        <v>44</v>
      </c>
    </row>
    <row r="912" spans="1:16">
      <c r="A912" s="1">
        <v>8</v>
      </c>
      <c r="F912" s="170" t="s">
        <v>6002</v>
      </c>
      <c r="I912" s="2" t="s">
        <v>44</v>
      </c>
    </row>
    <row r="913" spans="1:16">
      <c r="A913" s="1">
        <v>9</v>
      </c>
      <c r="F913" s="170" t="s">
        <v>6003</v>
      </c>
      <c r="I913" s="2" t="s">
        <v>44</v>
      </c>
    </row>
    <row r="914" spans="1:16">
      <c r="A914" s="1">
        <v>10</v>
      </c>
      <c r="F914" s="170" t="s">
        <v>6004</v>
      </c>
      <c r="I914" s="2" t="s">
        <v>44</v>
      </c>
    </row>
    <row r="915" spans="1:16">
      <c r="A915" s="1">
        <v>11</v>
      </c>
      <c r="F915" s="170" t="s">
        <v>6005</v>
      </c>
      <c r="I915" s="2" t="s">
        <v>44</v>
      </c>
      <c r="M915" s="2" t="s">
        <v>6797</v>
      </c>
      <c r="N915" s="2" t="s">
        <v>2551</v>
      </c>
      <c r="O915" s="18">
        <v>44644</v>
      </c>
    </row>
    <row r="916" spans="1:16">
      <c r="A916" s="8"/>
      <c r="B916" s="58"/>
      <c r="C916" s="159"/>
      <c r="D916" s="8"/>
      <c r="E916" s="8"/>
      <c r="F916" s="171"/>
      <c r="G916" s="8"/>
      <c r="H916" s="8"/>
      <c r="I916" s="8"/>
      <c r="J916" s="58"/>
      <c r="K916" s="8"/>
      <c r="L916" s="58"/>
      <c r="M916" s="8"/>
      <c r="N916" s="8"/>
      <c r="O916" s="58"/>
      <c r="P916" s="8"/>
    </row>
    <row r="917" spans="1:16">
      <c r="A917" s="1">
        <v>1</v>
      </c>
      <c r="B917" s="11">
        <v>44636</v>
      </c>
      <c r="C917" s="160">
        <v>461581</v>
      </c>
      <c r="D917" s="1" t="s">
        <v>402</v>
      </c>
      <c r="E917" s="1" t="s">
        <v>5182</v>
      </c>
      <c r="F917" s="170" t="s">
        <v>6006</v>
      </c>
    </row>
    <row r="918" spans="1:16">
      <c r="A918" s="1">
        <v>2</v>
      </c>
      <c r="F918" s="170" t="s">
        <v>6007</v>
      </c>
    </row>
    <row r="919" spans="1:16">
      <c r="A919" s="1">
        <v>3</v>
      </c>
      <c r="F919" s="170" t="s">
        <v>6008</v>
      </c>
    </row>
    <row r="920" spans="1:16">
      <c r="A920" s="1">
        <v>4</v>
      </c>
      <c r="F920" s="170" t="s">
        <v>6009</v>
      </c>
    </row>
    <row r="921" spans="1:16">
      <c r="A921" s="1">
        <v>5</v>
      </c>
      <c r="F921" s="170" t="s">
        <v>6010</v>
      </c>
    </row>
    <row r="922" spans="1:16">
      <c r="A922" s="1">
        <v>6</v>
      </c>
      <c r="F922" s="170" t="s">
        <v>6011</v>
      </c>
    </row>
    <row r="923" spans="1:16">
      <c r="A923" s="1">
        <v>7</v>
      </c>
      <c r="F923" s="170" t="s">
        <v>6012</v>
      </c>
    </row>
    <row r="924" spans="1:16">
      <c r="A924" s="1">
        <v>8</v>
      </c>
      <c r="F924" s="170" t="s">
        <v>6013</v>
      </c>
    </row>
    <row r="925" spans="1:16">
      <c r="A925" s="1">
        <v>9</v>
      </c>
      <c r="F925" s="170" t="s">
        <v>6014</v>
      </c>
    </row>
    <row r="926" spans="1:16">
      <c r="A926" s="8"/>
      <c r="B926" s="58"/>
      <c r="C926" s="159"/>
      <c r="D926" s="8"/>
      <c r="E926" s="8"/>
      <c r="F926" s="171"/>
      <c r="G926" s="8"/>
      <c r="H926" s="8"/>
      <c r="I926" s="8"/>
      <c r="J926" s="58"/>
      <c r="K926" s="8"/>
      <c r="L926" s="58"/>
      <c r="M926" s="8"/>
      <c r="N926" s="8"/>
      <c r="O926" s="58"/>
      <c r="P926" s="8"/>
    </row>
    <row r="927" spans="1:16">
      <c r="A927" s="1">
        <v>1</v>
      </c>
      <c r="B927" s="11">
        <v>44651</v>
      </c>
      <c r="C927" s="160">
        <v>578658</v>
      </c>
      <c r="D927" s="1" t="s">
        <v>402</v>
      </c>
      <c r="E927" s="1" t="s">
        <v>5182</v>
      </c>
      <c r="F927" s="170" t="s">
        <v>8350</v>
      </c>
    </row>
    <row r="928" spans="1:16">
      <c r="A928" s="1">
        <v>2</v>
      </c>
      <c r="F928" s="170" t="s">
        <v>8351</v>
      </c>
    </row>
    <row r="929" spans="1:16">
      <c r="A929" s="1">
        <v>3</v>
      </c>
      <c r="F929" s="170" t="s">
        <v>8352</v>
      </c>
    </row>
    <row r="930" spans="1:16">
      <c r="A930" s="1">
        <v>4</v>
      </c>
      <c r="F930" s="170" t="s">
        <v>8353</v>
      </c>
    </row>
    <row r="931" spans="1:16">
      <c r="A931" s="1">
        <v>5</v>
      </c>
      <c r="F931" s="170" t="s">
        <v>8354</v>
      </c>
    </row>
    <row r="932" spans="1:16">
      <c r="A932" s="1">
        <v>6</v>
      </c>
      <c r="F932" s="170" t="s">
        <v>8355</v>
      </c>
    </row>
    <row r="933" spans="1:16">
      <c r="A933" s="1">
        <v>7</v>
      </c>
      <c r="F933" s="170" t="s">
        <v>8356</v>
      </c>
    </row>
    <row r="934" spans="1:16">
      <c r="A934" s="1">
        <v>8</v>
      </c>
      <c r="F934" s="170" t="s">
        <v>8357</v>
      </c>
    </row>
    <row r="935" spans="1:16">
      <c r="A935" s="1">
        <v>9</v>
      </c>
      <c r="F935" s="170" t="s">
        <v>8358</v>
      </c>
    </row>
    <row r="936" spans="1:16">
      <c r="A936" s="1">
        <v>10</v>
      </c>
      <c r="F936" s="170" t="s">
        <v>8359</v>
      </c>
    </row>
    <row r="937" spans="1:16">
      <c r="A937" s="8"/>
      <c r="B937" s="58"/>
      <c r="C937" s="159"/>
      <c r="D937" s="8"/>
      <c r="E937" s="8"/>
      <c r="F937" s="171"/>
      <c r="G937" s="8"/>
      <c r="H937" s="8"/>
      <c r="I937" s="8"/>
      <c r="J937" s="58"/>
      <c r="K937" s="8"/>
      <c r="L937" s="58"/>
      <c r="M937" s="8"/>
      <c r="N937" s="8"/>
      <c r="O937" s="58"/>
      <c r="P937" s="8"/>
    </row>
    <row r="938" spans="1:16">
      <c r="A938" s="1">
        <v>1</v>
      </c>
      <c r="B938" s="11">
        <v>44652</v>
      </c>
      <c r="C938" s="160">
        <v>587139</v>
      </c>
      <c r="D938" s="1" t="s">
        <v>402</v>
      </c>
      <c r="E938" s="1" t="s">
        <v>8432</v>
      </c>
      <c r="F938" s="170" t="s">
        <v>8433</v>
      </c>
    </row>
    <row r="939" spans="1:16">
      <c r="A939" s="1">
        <v>2</v>
      </c>
      <c r="F939" s="170" t="s">
        <v>8434</v>
      </c>
    </row>
    <row r="940" spans="1:16">
      <c r="A940" s="1">
        <v>3</v>
      </c>
      <c r="F940" s="170" t="s">
        <v>8435</v>
      </c>
    </row>
    <row r="941" spans="1:16">
      <c r="A941" s="1">
        <v>4</v>
      </c>
      <c r="F941" s="170" t="s">
        <v>8436</v>
      </c>
    </row>
    <row r="942" spans="1:16">
      <c r="A942" s="1">
        <v>5</v>
      </c>
      <c r="F942" s="170" t="s">
        <v>8437</v>
      </c>
    </row>
    <row r="943" spans="1:16">
      <c r="A943" s="1">
        <v>6</v>
      </c>
      <c r="F943" s="170" t="s">
        <v>8438</v>
      </c>
    </row>
    <row r="944" spans="1:16">
      <c r="A944" s="1">
        <v>7</v>
      </c>
      <c r="F944" s="170" t="s">
        <v>8439</v>
      </c>
    </row>
    <row r="945" spans="1:15">
      <c r="A945" s="1">
        <v>8</v>
      </c>
      <c r="F945" s="170" t="s">
        <v>8440</v>
      </c>
    </row>
    <row r="946" spans="1:15">
      <c r="A946" s="1">
        <v>9</v>
      </c>
      <c r="F946" s="170" t="s">
        <v>8441</v>
      </c>
    </row>
    <row r="947" spans="1:15">
      <c r="A947" s="1">
        <v>10</v>
      </c>
      <c r="F947" s="170" t="s">
        <v>8442</v>
      </c>
    </row>
    <row r="948" spans="1:15">
      <c r="A948" s="8"/>
      <c r="B948" s="58"/>
      <c r="C948" s="159"/>
      <c r="D948" s="8"/>
      <c r="E948" s="8"/>
      <c r="F948" s="171"/>
      <c r="G948" s="8"/>
      <c r="H948" s="8"/>
      <c r="I948" s="8"/>
      <c r="J948" s="58"/>
      <c r="K948" s="8"/>
      <c r="L948" s="58"/>
      <c r="M948" s="8"/>
      <c r="N948" s="8"/>
      <c r="O948" s="58"/>
    </row>
    <row r="949" spans="1:15">
      <c r="A949" s="1">
        <v>1</v>
      </c>
      <c r="B949" s="11">
        <v>44662</v>
      </c>
      <c r="C949" s="160">
        <v>3004</v>
      </c>
      <c r="D949" s="1" t="s">
        <v>8597</v>
      </c>
      <c r="E949" s="1" t="s">
        <v>8598</v>
      </c>
      <c r="F949" s="170" t="s">
        <v>8599</v>
      </c>
      <c r="M949" s="2" t="s">
        <v>8600</v>
      </c>
      <c r="N949" s="2" t="s">
        <v>8601</v>
      </c>
      <c r="O949" s="18">
        <v>44677</v>
      </c>
    </row>
    <row r="950" spans="1:15">
      <c r="A950" s="1">
        <v>2</v>
      </c>
      <c r="F950" s="170" t="s">
        <v>8602</v>
      </c>
      <c r="M950" s="2" t="s">
        <v>6218</v>
      </c>
      <c r="N950" s="2" t="s">
        <v>8603</v>
      </c>
      <c r="O950" s="18">
        <v>44679</v>
      </c>
    </row>
    <row r="951" spans="1:15">
      <c r="A951" s="1">
        <v>3</v>
      </c>
      <c r="F951" s="170" t="s">
        <v>8604</v>
      </c>
      <c r="M951" s="2" t="s">
        <v>8605</v>
      </c>
      <c r="N951" s="2" t="s">
        <v>8606</v>
      </c>
      <c r="O951" s="18">
        <v>44679</v>
      </c>
    </row>
    <row r="952" spans="1:15">
      <c r="A952" s="1">
        <v>4</v>
      </c>
      <c r="F952" s="170" t="s">
        <v>8607</v>
      </c>
      <c r="M952" s="2" t="s">
        <v>6065</v>
      </c>
      <c r="N952" s="2" t="s">
        <v>8608</v>
      </c>
      <c r="O952" s="18">
        <v>44680</v>
      </c>
    </row>
    <row r="953" spans="1:15">
      <c r="A953" s="1">
        <v>5</v>
      </c>
      <c r="F953" s="170" t="s">
        <v>8609</v>
      </c>
      <c r="M953" s="2" t="s">
        <v>8610</v>
      </c>
      <c r="N953" s="2" t="s">
        <v>8611</v>
      </c>
      <c r="O953" s="18">
        <v>44685</v>
      </c>
    </row>
    <row r="954" spans="1:15">
      <c r="A954" s="1">
        <v>6</v>
      </c>
      <c r="F954" s="170" t="s">
        <v>8612</v>
      </c>
      <c r="M954" s="2" t="s">
        <v>4804</v>
      </c>
      <c r="N954" s="2" t="s">
        <v>8613</v>
      </c>
      <c r="O954" s="18">
        <v>44680</v>
      </c>
    </row>
    <row r="955" spans="1:15">
      <c r="A955" s="1">
        <v>7</v>
      </c>
      <c r="F955" s="170" t="s">
        <v>8614</v>
      </c>
      <c r="M955" s="2" t="s">
        <v>8615</v>
      </c>
      <c r="N955" s="2" t="s">
        <v>8616</v>
      </c>
      <c r="O955" s="18">
        <v>44686</v>
      </c>
    </row>
    <row r="956" spans="1:15">
      <c r="A956" s="1">
        <v>8</v>
      </c>
      <c r="F956" s="170" t="s">
        <v>8617</v>
      </c>
      <c r="M956" s="2" t="s">
        <v>8610</v>
      </c>
      <c r="N956" s="2" t="s">
        <v>6414</v>
      </c>
      <c r="O956" s="18">
        <v>44686</v>
      </c>
    </row>
    <row r="957" spans="1:15">
      <c r="A957" s="1">
        <v>9</v>
      </c>
      <c r="F957" s="170" t="s">
        <v>8618</v>
      </c>
      <c r="M957" s="2" t="s">
        <v>8619</v>
      </c>
      <c r="N957" s="2" t="s">
        <v>8620</v>
      </c>
      <c r="O957" s="18">
        <v>44685</v>
      </c>
    </row>
    <row r="958" spans="1:15">
      <c r="A958" s="1">
        <v>10</v>
      </c>
      <c r="F958" s="170" t="s">
        <v>8621</v>
      </c>
      <c r="M958" s="2" t="s">
        <v>8622</v>
      </c>
      <c r="N958" s="2" t="s">
        <v>8623</v>
      </c>
      <c r="O958" s="18">
        <v>44686</v>
      </c>
    </row>
    <row r="959" spans="1:15">
      <c r="A959" s="1">
        <v>11</v>
      </c>
      <c r="F959" s="170" t="s">
        <v>8624</v>
      </c>
      <c r="M959" s="2" t="s">
        <v>8625</v>
      </c>
      <c r="N959" s="2" t="s">
        <v>6439</v>
      </c>
      <c r="O959" s="18">
        <v>44692</v>
      </c>
    </row>
    <row r="960" spans="1:15">
      <c r="A960" s="1">
        <v>12</v>
      </c>
      <c r="F960" s="170" t="s">
        <v>8626</v>
      </c>
      <c r="M960" s="2" t="s">
        <v>8627</v>
      </c>
      <c r="N960" s="2" t="s">
        <v>8628</v>
      </c>
      <c r="O960" s="18">
        <v>44693</v>
      </c>
    </row>
    <row r="961" spans="1:15">
      <c r="A961" s="1">
        <v>13</v>
      </c>
      <c r="F961" s="170" t="s">
        <v>8629</v>
      </c>
      <c r="M961" s="2" t="s">
        <v>8630</v>
      </c>
      <c r="N961" s="2" t="s">
        <v>8631</v>
      </c>
      <c r="O961" s="18">
        <v>44698</v>
      </c>
    </row>
    <row r="962" spans="1:15">
      <c r="A962" s="1">
        <v>14</v>
      </c>
      <c r="F962" s="170" t="s">
        <v>8632</v>
      </c>
      <c r="M962" s="2" t="s">
        <v>8633</v>
      </c>
      <c r="N962" s="2" t="s">
        <v>8634</v>
      </c>
      <c r="O962" s="18">
        <v>44698</v>
      </c>
    </row>
    <row r="963" spans="1:15">
      <c r="A963" s="1">
        <v>15</v>
      </c>
      <c r="F963" s="170" t="s">
        <v>8635</v>
      </c>
      <c r="M963" s="2" t="s">
        <v>8630</v>
      </c>
      <c r="N963" s="2" t="s">
        <v>8636</v>
      </c>
      <c r="O963" s="18">
        <v>44698</v>
      </c>
    </row>
    <row r="964" spans="1:15">
      <c r="A964" s="1">
        <v>16</v>
      </c>
      <c r="F964" s="170" t="s">
        <v>8637</v>
      </c>
      <c r="M964" s="2" t="s">
        <v>8638</v>
      </c>
      <c r="N964" s="2" t="s">
        <v>8639</v>
      </c>
      <c r="O964" s="18">
        <v>44699</v>
      </c>
    </row>
    <row r="965" spans="1:15">
      <c r="A965" s="1">
        <v>17</v>
      </c>
      <c r="F965" s="170" t="s">
        <v>8640</v>
      </c>
      <c r="M965" s="2" t="s">
        <v>6065</v>
      </c>
      <c r="N965" s="2" t="s">
        <v>8641</v>
      </c>
      <c r="O965" s="18">
        <v>44701</v>
      </c>
    </row>
    <row r="966" spans="1:15">
      <c r="A966" s="1">
        <v>18</v>
      </c>
      <c r="F966" s="170" t="s">
        <v>8642</v>
      </c>
      <c r="M966" s="2" t="s">
        <v>8630</v>
      </c>
      <c r="N966" s="2" t="s">
        <v>8643</v>
      </c>
      <c r="O966" s="18">
        <v>44699</v>
      </c>
    </row>
    <row r="967" spans="1:15">
      <c r="A967" s="1">
        <v>19</v>
      </c>
      <c r="F967" s="170" t="s">
        <v>8644</v>
      </c>
      <c r="M967" s="2" t="s">
        <v>6155</v>
      </c>
      <c r="N967" s="2" t="s">
        <v>8645</v>
      </c>
      <c r="O967" s="18">
        <v>44700</v>
      </c>
    </row>
    <row r="968" spans="1:15">
      <c r="A968" s="1">
        <v>20</v>
      </c>
      <c r="F968" s="170" t="s">
        <v>8646</v>
      </c>
      <c r="M968" s="2" t="s">
        <v>8647</v>
      </c>
      <c r="N968" s="2" t="s">
        <v>8648</v>
      </c>
      <c r="O968" s="18">
        <v>44700</v>
      </c>
    </row>
    <row r="969" spans="1:15">
      <c r="A969" s="8"/>
      <c r="B969" s="58"/>
      <c r="C969" s="159"/>
      <c r="D969" s="8"/>
      <c r="E969" s="8"/>
      <c r="F969" s="171"/>
      <c r="G969" s="8"/>
      <c r="H969" s="8"/>
      <c r="I969" s="8"/>
      <c r="J969" s="58"/>
      <c r="K969" s="8"/>
      <c r="L969" s="58"/>
      <c r="M969" s="8"/>
      <c r="N969" s="8"/>
      <c r="O969" s="58"/>
    </row>
    <row r="970" spans="1:15">
      <c r="A970" s="1">
        <v>1</v>
      </c>
      <c r="B970" s="11">
        <v>44697</v>
      </c>
      <c r="C970" s="160">
        <v>933133</v>
      </c>
      <c r="D970" s="1" t="s">
        <v>5150</v>
      </c>
      <c r="E970" s="1" t="s">
        <v>8649</v>
      </c>
      <c r="F970" s="170" t="s">
        <v>8650</v>
      </c>
    </row>
    <row r="971" spans="1:15">
      <c r="A971" s="1">
        <v>2</v>
      </c>
      <c r="F971" s="170" t="s">
        <v>8651</v>
      </c>
      <c r="M971" s="2" t="s">
        <v>6155</v>
      </c>
      <c r="N971" s="2" t="s">
        <v>6392</v>
      </c>
      <c r="O971" s="18">
        <v>44700</v>
      </c>
    </row>
    <row r="972" spans="1:15">
      <c r="A972" s="1">
        <v>3</v>
      </c>
      <c r="F972" s="170" t="s">
        <v>8652</v>
      </c>
    </row>
    <row r="973" spans="1:15">
      <c r="A973" s="1">
        <v>4</v>
      </c>
      <c r="F973" s="170" t="s">
        <v>8653</v>
      </c>
      <c r="M973" s="2" t="s">
        <v>8654</v>
      </c>
      <c r="N973" s="2" t="s">
        <v>8655</v>
      </c>
      <c r="O973" s="18">
        <v>44721</v>
      </c>
    </row>
    <row r="974" spans="1:15">
      <c r="A974" s="1">
        <v>5</v>
      </c>
      <c r="F974" s="170" t="s">
        <v>8656</v>
      </c>
      <c r="M974" s="2" t="s">
        <v>8657</v>
      </c>
      <c r="N974" s="2" t="s">
        <v>8658</v>
      </c>
      <c r="O974" s="18">
        <v>44720</v>
      </c>
    </row>
    <row r="975" spans="1:15">
      <c r="A975" s="1">
        <v>6</v>
      </c>
      <c r="F975" s="170" t="s">
        <v>8659</v>
      </c>
      <c r="M975" s="2" t="s">
        <v>4598</v>
      </c>
      <c r="N975" s="2" t="s">
        <v>4900</v>
      </c>
      <c r="O975" s="18">
        <v>44719</v>
      </c>
    </row>
    <row r="976" spans="1:15">
      <c r="A976" s="1">
        <v>7</v>
      </c>
      <c r="F976" s="170" t="s">
        <v>8660</v>
      </c>
      <c r="M976" s="2" t="s">
        <v>6096</v>
      </c>
      <c r="N976" s="2" t="s">
        <v>6428</v>
      </c>
      <c r="O976" s="18">
        <v>44712</v>
      </c>
    </row>
    <row r="977" spans="1:15">
      <c r="A977" s="1">
        <v>8</v>
      </c>
      <c r="F977" s="170" t="s">
        <v>8661</v>
      </c>
      <c r="M977" s="2" t="s">
        <v>8662</v>
      </c>
      <c r="N977" s="2" t="s">
        <v>8663</v>
      </c>
      <c r="O977" s="18">
        <v>44707</v>
      </c>
    </row>
    <row r="978" spans="1:15">
      <c r="A978" s="1">
        <v>9</v>
      </c>
      <c r="F978" s="170" t="s">
        <v>8664</v>
      </c>
      <c r="M978" s="2" t="s">
        <v>6096</v>
      </c>
      <c r="N978" s="2" t="s">
        <v>4851</v>
      </c>
      <c r="O978" s="18">
        <v>44712</v>
      </c>
    </row>
    <row r="979" spans="1:15">
      <c r="A979" s="1">
        <v>10</v>
      </c>
      <c r="F979" s="170" t="s">
        <v>8665</v>
      </c>
      <c r="M979" s="2" t="s">
        <v>8666</v>
      </c>
      <c r="N979" s="2" t="s">
        <v>8667</v>
      </c>
      <c r="O979" s="18">
        <v>44715</v>
      </c>
    </row>
    <row r="980" spans="1:15">
      <c r="A980" s="1">
        <v>11</v>
      </c>
      <c r="F980" s="170" t="s">
        <v>8668</v>
      </c>
      <c r="M980" s="2" t="s">
        <v>8669</v>
      </c>
      <c r="N980" s="2" t="s">
        <v>6424</v>
      </c>
      <c r="O980" s="18">
        <v>44711</v>
      </c>
    </row>
    <row r="981" spans="1:15">
      <c r="A981" s="1">
        <v>12</v>
      </c>
      <c r="F981" s="170" t="s">
        <v>8670</v>
      </c>
      <c r="M981" s="2" t="s">
        <v>4628</v>
      </c>
      <c r="N981" s="2" t="s">
        <v>8671</v>
      </c>
      <c r="O981" s="18">
        <v>44705</v>
      </c>
    </row>
    <row r="982" spans="1:15">
      <c r="A982" s="1">
        <v>13</v>
      </c>
      <c r="F982" s="170" t="s">
        <v>8672</v>
      </c>
      <c r="M982" s="2" t="s">
        <v>6155</v>
      </c>
      <c r="N982" s="2" t="s">
        <v>8673</v>
      </c>
      <c r="O982" s="18">
        <v>44700</v>
      </c>
    </row>
    <row r="983" spans="1:15">
      <c r="A983" s="1">
        <v>14</v>
      </c>
      <c r="F983" s="170" t="s">
        <v>8674</v>
      </c>
      <c r="M983" s="2" t="s">
        <v>8630</v>
      </c>
      <c r="N983" s="2" t="s">
        <v>8675</v>
      </c>
      <c r="O983" s="18">
        <v>44706</v>
      </c>
    </row>
    <row r="984" spans="1:15">
      <c r="A984" s="1">
        <v>15</v>
      </c>
      <c r="F984" s="170" t="s">
        <v>8676</v>
      </c>
      <c r="M984" s="2" t="s">
        <v>6155</v>
      </c>
      <c r="N984" s="2" t="s">
        <v>8677</v>
      </c>
      <c r="O984" s="18">
        <v>44700</v>
      </c>
    </row>
    <row r="985" spans="1:15">
      <c r="A985" s="8"/>
      <c r="B985" s="58"/>
      <c r="C985" s="159"/>
      <c r="D985" s="8"/>
      <c r="E985" s="8"/>
      <c r="F985" s="171"/>
      <c r="G985" s="8"/>
      <c r="H985" s="8"/>
      <c r="I985" s="8"/>
      <c r="J985" s="58"/>
      <c r="K985" s="8"/>
      <c r="L985" s="58"/>
      <c r="M985" s="8"/>
      <c r="N985" s="8"/>
      <c r="O985" s="58"/>
    </row>
    <row r="986" spans="1:15">
      <c r="A986" s="1">
        <v>1</v>
      </c>
      <c r="B986" s="11">
        <v>44714</v>
      </c>
      <c r="C986" s="160">
        <v>1080475</v>
      </c>
      <c r="D986" s="1" t="s">
        <v>8678</v>
      </c>
      <c r="E986" s="1" t="s">
        <v>8649</v>
      </c>
      <c r="F986" s="170" t="s">
        <v>8679</v>
      </c>
    </row>
    <row r="987" spans="1:15">
      <c r="A987" s="1">
        <v>2</v>
      </c>
      <c r="F987" s="170" t="s">
        <v>8680</v>
      </c>
    </row>
    <row r="988" spans="1:15">
      <c r="A988" s="1">
        <v>3</v>
      </c>
      <c r="F988" s="170" t="s">
        <v>8681</v>
      </c>
    </row>
    <row r="989" spans="1:15">
      <c r="A989" s="1">
        <v>4</v>
      </c>
      <c r="F989" s="170" t="s">
        <v>8682</v>
      </c>
    </row>
    <row r="990" spans="1:15">
      <c r="A990" s="1">
        <v>5</v>
      </c>
      <c r="F990" s="170" t="s">
        <v>8683</v>
      </c>
    </row>
    <row r="991" spans="1:15">
      <c r="A991" s="1">
        <v>6</v>
      </c>
      <c r="F991" s="170" t="s">
        <v>8684</v>
      </c>
    </row>
    <row r="992" spans="1:15">
      <c r="A992" s="1">
        <v>7</v>
      </c>
      <c r="F992" s="170" t="s">
        <v>8685</v>
      </c>
    </row>
    <row r="993" spans="1:6">
      <c r="A993" s="1">
        <v>8</v>
      </c>
      <c r="F993" s="170" t="s">
        <v>8686</v>
      </c>
    </row>
    <row r="994" spans="1:6">
      <c r="A994" s="1">
        <v>9</v>
      </c>
      <c r="F994" s="170" t="s">
        <v>8687</v>
      </c>
    </row>
    <row r="995" spans="1:6">
      <c r="A995" s="1">
        <v>10</v>
      </c>
      <c r="F995" s="170" t="s">
        <v>8688</v>
      </c>
    </row>
    <row r="996" spans="1:6">
      <c r="A996" s="1">
        <v>11</v>
      </c>
      <c r="F996" s="170" t="s">
        <v>8689</v>
      </c>
    </row>
    <row r="997" spans="1:6">
      <c r="A997" s="1">
        <v>12</v>
      </c>
      <c r="F997" s="170" t="s">
        <v>8690</v>
      </c>
    </row>
    <row r="998" spans="1:6">
      <c r="A998" s="1">
        <v>13</v>
      </c>
      <c r="F998" s="170" t="s">
        <v>8691</v>
      </c>
    </row>
    <row r="999" spans="1:6">
      <c r="A999" s="1">
        <v>14</v>
      </c>
      <c r="F999" s="170" t="s">
        <v>8692</v>
      </c>
    </row>
    <row r="1000" spans="1:6">
      <c r="A1000" s="1">
        <v>15</v>
      </c>
      <c r="F1000" s="170" t="s">
        <v>8693</v>
      </c>
    </row>
  </sheetData>
  <dataValidations count="1">
    <dataValidation type="list" allowBlank="1" showInputMessage="1" showErrorMessage="1" sqref="I2:I1048576">
      <formula1>Текущий_статус</formula1>
    </dataValidation>
  </dataValidation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8"/>
  <dimension ref="A1:Z372"/>
  <sheetViews>
    <sheetView workbookViewId="0">
      <pane xSplit="3" ySplit="1" topLeftCell="D2" activePane="bottomRight" state="frozen"/>
      <selection pane="topRight" activeCell="D1" sqref="D1"/>
      <selection pane="bottomLeft" activeCell="A2" sqref="A2"/>
      <selection pane="bottomRight" activeCell="I370" sqref="I370"/>
    </sheetView>
  </sheetViews>
  <sheetFormatPr defaultRowHeight="15" outlineLevelRow="1"/>
  <cols>
    <col min="1" max="1" width="9.140625" style="1"/>
    <col min="2" max="2" width="17" style="11" bestFit="1" customWidth="1"/>
    <col min="3" max="3" width="17" style="160" customWidth="1"/>
    <col min="4" max="4" width="11.5703125" style="1" bestFit="1" customWidth="1"/>
    <col min="5" max="5" width="42.5703125" style="1" bestFit="1" customWidth="1"/>
    <col min="6" max="6" width="14.140625" style="2" customWidth="1"/>
    <col min="7" max="8" width="14.140625" style="1" customWidth="1"/>
    <col min="9" max="9" width="9.140625" style="2"/>
    <col min="10" max="10" width="13.7109375" style="11" customWidth="1"/>
    <col min="11" max="11" width="12.85546875" style="1" customWidth="1"/>
    <col min="12" max="12" width="19.140625" style="11" customWidth="1"/>
    <col min="13" max="13" width="13.85546875" style="2" customWidth="1"/>
    <col min="14" max="15" width="9.140625" style="2"/>
    <col min="16" max="16" width="12.140625" style="1" customWidth="1"/>
  </cols>
  <sheetData>
    <row r="1" spans="1:26" s="47" customFormat="1" ht="39" customHeight="1">
      <c r="A1" s="38" t="s">
        <v>1</v>
      </c>
      <c r="B1" s="42" t="s">
        <v>469</v>
      </c>
      <c r="C1" s="154" t="s">
        <v>488</v>
      </c>
      <c r="D1" s="38" t="s">
        <v>3</v>
      </c>
      <c r="E1" s="38" t="s">
        <v>4</v>
      </c>
      <c r="F1" s="43" t="s">
        <v>5</v>
      </c>
      <c r="G1" s="38" t="s">
        <v>476</v>
      </c>
      <c r="H1" s="38" t="s">
        <v>320</v>
      </c>
      <c r="I1" s="43" t="s">
        <v>6</v>
      </c>
      <c r="J1" s="42" t="s">
        <v>7</v>
      </c>
      <c r="K1" s="39" t="s">
        <v>478</v>
      </c>
      <c r="L1" s="42" t="s">
        <v>477</v>
      </c>
      <c r="M1" s="43" t="s">
        <v>9</v>
      </c>
      <c r="N1" s="43" t="s">
        <v>8</v>
      </c>
      <c r="O1" s="57" t="s">
        <v>16</v>
      </c>
      <c r="P1" s="38" t="s">
        <v>12</v>
      </c>
    </row>
    <row r="2" spans="1:26" s="47" customFormat="1" ht="15" customHeight="1">
      <c r="A2" s="8">
        <v>2019</v>
      </c>
      <c r="B2" s="58"/>
      <c r="C2" s="159"/>
      <c r="D2" s="8"/>
      <c r="E2" s="8"/>
      <c r="F2" s="8"/>
      <c r="G2" s="8"/>
      <c r="H2" s="8"/>
      <c r="I2" s="8"/>
      <c r="J2" s="58"/>
      <c r="K2" s="8"/>
      <c r="L2" s="58"/>
      <c r="M2" s="8"/>
      <c r="N2" s="8"/>
      <c r="O2" s="8"/>
      <c r="P2" s="8"/>
    </row>
    <row r="3" spans="1:26" hidden="1" outlineLevel="1">
      <c r="A3" s="1">
        <v>1</v>
      </c>
      <c r="B3" s="11">
        <v>43676</v>
      </c>
      <c r="C3" s="160" t="s">
        <v>7056</v>
      </c>
      <c r="D3" s="1" t="s">
        <v>7158</v>
      </c>
      <c r="E3" s="1" t="s">
        <v>6817</v>
      </c>
      <c r="F3" s="2">
        <v>22319030009</v>
      </c>
    </row>
    <row r="4" spans="1:26" hidden="1" outlineLevel="1">
      <c r="A4" s="1">
        <v>2</v>
      </c>
      <c r="B4" s="11">
        <v>43678</v>
      </c>
      <c r="C4" s="160" t="s">
        <v>7057</v>
      </c>
      <c r="D4" s="1" t="s">
        <v>6800</v>
      </c>
      <c r="E4" s="1" t="s">
        <v>6818</v>
      </c>
      <c r="F4" s="2">
        <v>181108710</v>
      </c>
    </row>
    <row r="5" spans="1:26" hidden="1" outlineLevel="1">
      <c r="A5" s="1">
        <v>3</v>
      </c>
      <c r="B5" s="11">
        <v>43692</v>
      </c>
      <c r="D5" s="1" t="s">
        <v>6800</v>
      </c>
      <c r="E5" s="1" t="s">
        <v>6819</v>
      </c>
      <c r="F5" s="2">
        <v>1810913930</v>
      </c>
    </row>
    <row r="6" spans="1:26" hidden="1" outlineLevel="1">
      <c r="A6" s="1">
        <v>4</v>
      </c>
      <c r="B6" s="11">
        <v>43700</v>
      </c>
      <c r="C6" s="160" t="s">
        <v>7058</v>
      </c>
      <c r="D6" s="1" t="s">
        <v>6800</v>
      </c>
      <c r="E6" s="1" t="s">
        <v>6820</v>
      </c>
      <c r="F6" s="2">
        <v>1918116729</v>
      </c>
    </row>
    <row r="7" spans="1:26" hidden="1" outlineLevel="1">
      <c r="A7" s="1">
        <v>5</v>
      </c>
      <c r="B7" s="11">
        <v>43712</v>
      </c>
      <c r="C7" s="160" t="s">
        <v>7149</v>
      </c>
      <c r="D7" s="1" t="s">
        <v>6800</v>
      </c>
      <c r="E7" s="1" t="s">
        <v>6821</v>
      </c>
      <c r="F7" s="2">
        <v>1916995010</v>
      </c>
    </row>
    <row r="8" spans="1:26" hidden="1" outlineLevel="1">
      <c r="A8" s="1">
        <v>6</v>
      </c>
      <c r="E8" s="1" t="s">
        <v>6822</v>
      </c>
      <c r="F8" s="2">
        <v>1812000576</v>
      </c>
    </row>
    <row r="9" spans="1:26" hidden="1" outlineLevel="1">
      <c r="A9" s="1">
        <v>7</v>
      </c>
      <c r="F9" s="2">
        <v>1812000531</v>
      </c>
    </row>
    <row r="10" spans="1:26" hidden="1" outlineLevel="1">
      <c r="A10" s="1">
        <v>8</v>
      </c>
      <c r="B10" s="11">
        <v>43720</v>
      </c>
      <c r="C10" s="160" t="s">
        <v>7059</v>
      </c>
      <c r="D10" s="1" t="s">
        <v>6800</v>
      </c>
      <c r="E10" s="1" t="s">
        <v>6823</v>
      </c>
      <c r="F10" s="2">
        <v>1918355307</v>
      </c>
    </row>
    <row r="11" spans="1:26" hidden="1" outlineLevel="1">
      <c r="A11" s="1">
        <v>9</v>
      </c>
      <c r="E11" s="1" t="s">
        <v>6824</v>
      </c>
      <c r="F11" s="2">
        <v>1812000572</v>
      </c>
    </row>
    <row r="12" spans="1:26" hidden="1" outlineLevel="1">
      <c r="A12" s="1">
        <v>10</v>
      </c>
      <c r="B12" s="24">
        <v>43714</v>
      </c>
      <c r="C12" s="158"/>
      <c r="D12" s="4" t="s">
        <v>6801</v>
      </c>
      <c r="E12" s="4"/>
      <c r="G12" s="4"/>
      <c r="H12" s="4"/>
      <c r="J12" s="24"/>
      <c r="K12" s="4"/>
      <c r="L12" s="24"/>
      <c r="P12" s="4" t="s">
        <v>6939</v>
      </c>
      <c r="Q12" s="68"/>
      <c r="R12" s="68"/>
      <c r="S12" s="68"/>
      <c r="T12" s="68"/>
      <c r="U12" s="68"/>
      <c r="V12" s="68"/>
      <c r="W12" s="68"/>
      <c r="X12" s="68"/>
      <c r="Y12" s="68"/>
      <c r="Z12" s="68"/>
    </row>
    <row r="13" spans="1:26" hidden="1" outlineLevel="1">
      <c r="A13" s="1">
        <v>11</v>
      </c>
      <c r="B13" s="11">
        <v>43721</v>
      </c>
      <c r="C13" s="160" t="s">
        <v>7060</v>
      </c>
      <c r="D13" s="1" t="s">
        <v>6802</v>
      </c>
      <c r="E13" s="1" t="s">
        <v>6825</v>
      </c>
      <c r="F13" s="2" t="s">
        <v>6925</v>
      </c>
    </row>
    <row r="14" spans="1:26" hidden="1" outlineLevel="1">
      <c r="A14" s="1">
        <v>12</v>
      </c>
      <c r="B14" s="11">
        <v>43721</v>
      </c>
      <c r="C14" s="160" t="s">
        <v>7061</v>
      </c>
      <c r="D14" s="1" t="s">
        <v>6800</v>
      </c>
      <c r="E14" s="1" t="s">
        <v>6826</v>
      </c>
      <c r="F14" s="2">
        <v>1812000570</v>
      </c>
    </row>
    <row r="15" spans="1:26" hidden="1" outlineLevel="1">
      <c r="A15" s="1">
        <v>13</v>
      </c>
      <c r="B15" s="11">
        <v>43727</v>
      </c>
      <c r="C15" s="160" t="s">
        <v>7062</v>
      </c>
      <c r="D15" s="1" t="s">
        <v>6800</v>
      </c>
      <c r="E15" s="1" t="s">
        <v>449</v>
      </c>
      <c r="F15" s="2">
        <v>29760049243</v>
      </c>
    </row>
    <row r="16" spans="1:26" hidden="1" outlineLevel="1">
      <c r="A16" s="1">
        <v>14</v>
      </c>
      <c r="E16" s="1" t="s">
        <v>444</v>
      </c>
      <c r="F16" s="2">
        <v>29610125174</v>
      </c>
    </row>
    <row r="17" spans="1:6" hidden="1" outlineLevel="1">
      <c r="A17" s="1">
        <v>15</v>
      </c>
      <c r="E17" s="1" t="s">
        <v>6827</v>
      </c>
      <c r="F17" s="2">
        <v>1918367877</v>
      </c>
    </row>
    <row r="18" spans="1:6" hidden="1" outlineLevel="1">
      <c r="A18" s="1">
        <v>16</v>
      </c>
      <c r="B18" s="11">
        <v>43731</v>
      </c>
      <c r="C18" s="160" t="s">
        <v>7063</v>
      </c>
      <c r="D18" s="1" t="s">
        <v>6800</v>
      </c>
      <c r="E18" s="1" t="s">
        <v>6828</v>
      </c>
      <c r="F18" s="2">
        <v>1918589913</v>
      </c>
    </row>
    <row r="19" spans="1:6" hidden="1" outlineLevel="1">
      <c r="A19" s="1">
        <v>17</v>
      </c>
      <c r="B19" s="11">
        <v>43731</v>
      </c>
      <c r="C19" s="160" t="s">
        <v>7064</v>
      </c>
      <c r="D19" s="1" t="s">
        <v>6800</v>
      </c>
      <c r="E19" s="1" t="s">
        <v>6829</v>
      </c>
      <c r="F19" s="2">
        <v>1918367882</v>
      </c>
    </row>
    <row r="20" spans="1:6" hidden="1" outlineLevel="1">
      <c r="A20" s="1">
        <v>18</v>
      </c>
      <c r="B20" s="11">
        <v>43731</v>
      </c>
      <c r="C20" s="160" t="s">
        <v>7065</v>
      </c>
      <c r="D20" s="1" t="s">
        <v>6800</v>
      </c>
      <c r="E20" s="1" t="s">
        <v>6830</v>
      </c>
      <c r="F20" s="2">
        <v>1918589777</v>
      </c>
    </row>
    <row r="21" spans="1:6" hidden="1" outlineLevel="1">
      <c r="A21" s="1">
        <v>19</v>
      </c>
      <c r="B21" s="11">
        <v>43732</v>
      </c>
      <c r="C21" s="160" t="s">
        <v>7066</v>
      </c>
      <c r="D21" s="1" t="s">
        <v>6800</v>
      </c>
      <c r="E21" s="1" t="s">
        <v>444</v>
      </c>
      <c r="F21" s="2">
        <v>29610129181</v>
      </c>
    </row>
    <row r="22" spans="1:6" hidden="1" outlineLevel="1">
      <c r="A22" s="1">
        <v>20</v>
      </c>
      <c r="F22" s="2">
        <v>29610128823</v>
      </c>
    </row>
    <row r="23" spans="1:6" hidden="1" outlineLevel="1">
      <c r="A23" s="1">
        <v>21</v>
      </c>
      <c r="B23" s="11">
        <v>43732</v>
      </c>
      <c r="C23" s="160" t="s">
        <v>7067</v>
      </c>
      <c r="D23" s="1" t="s">
        <v>6800</v>
      </c>
      <c r="E23" s="1" t="s">
        <v>449</v>
      </c>
      <c r="F23" s="2">
        <v>29760052764</v>
      </c>
    </row>
    <row r="24" spans="1:6" hidden="1" outlineLevel="1">
      <c r="A24" s="1">
        <v>22</v>
      </c>
      <c r="B24" s="11">
        <v>43733</v>
      </c>
      <c r="C24" s="160" t="s">
        <v>7068</v>
      </c>
      <c r="D24" s="1" t="s">
        <v>6800</v>
      </c>
      <c r="E24" s="1" t="s">
        <v>6831</v>
      </c>
      <c r="F24" s="2">
        <v>1918589748</v>
      </c>
    </row>
    <row r="25" spans="1:6" hidden="1" outlineLevel="1">
      <c r="A25" s="1">
        <v>23</v>
      </c>
      <c r="B25" s="11">
        <v>43733</v>
      </c>
      <c r="C25" s="160" t="s">
        <v>7069</v>
      </c>
      <c r="D25" s="1" t="s">
        <v>6800</v>
      </c>
      <c r="E25" s="1" t="s">
        <v>6831</v>
      </c>
      <c r="F25" s="2">
        <v>1918589749</v>
      </c>
    </row>
    <row r="26" spans="1:6" hidden="1" outlineLevel="1">
      <c r="A26" s="1">
        <v>24</v>
      </c>
      <c r="C26" s="11" t="s">
        <v>6799</v>
      </c>
      <c r="D26" s="1" t="s">
        <v>6803</v>
      </c>
      <c r="E26" s="1" t="s">
        <v>6832</v>
      </c>
      <c r="F26" s="2">
        <v>29360011189</v>
      </c>
    </row>
    <row r="27" spans="1:6" hidden="1" outlineLevel="1">
      <c r="A27" s="1">
        <v>25</v>
      </c>
      <c r="F27" s="2">
        <v>29360011194</v>
      </c>
    </row>
    <row r="28" spans="1:6" hidden="1" outlineLevel="1">
      <c r="A28" s="1">
        <v>26</v>
      </c>
      <c r="F28" s="2">
        <v>29360011313</v>
      </c>
    </row>
    <row r="29" spans="1:6" hidden="1" outlineLevel="1">
      <c r="A29" s="1">
        <v>27</v>
      </c>
      <c r="F29" s="2">
        <v>29360011159</v>
      </c>
    </row>
    <row r="30" spans="1:6" hidden="1" outlineLevel="1">
      <c r="A30" s="1">
        <v>28</v>
      </c>
      <c r="F30" s="2">
        <v>29360011191</v>
      </c>
    </row>
    <row r="31" spans="1:6" hidden="1" outlineLevel="1">
      <c r="A31" s="1">
        <v>29</v>
      </c>
      <c r="F31" s="2">
        <v>29360011310</v>
      </c>
    </row>
    <row r="32" spans="1:6" hidden="1" outlineLevel="1">
      <c r="A32" s="1">
        <v>30</v>
      </c>
      <c r="F32" s="2">
        <v>29360011193</v>
      </c>
    </row>
    <row r="33" spans="1:6" hidden="1" outlineLevel="1">
      <c r="A33" s="1">
        <v>31</v>
      </c>
      <c r="F33" s="2">
        <v>29360011196</v>
      </c>
    </row>
    <row r="34" spans="1:6" hidden="1" outlineLevel="1">
      <c r="A34" s="1">
        <v>32</v>
      </c>
      <c r="F34" s="2">
        <v>29360011158</v>
      </c>
    </row>
    <row r="35" spans="1:6" hidden="1" outlineLevel="1">
      <c r="A35" s="1">
        <v>33</v>
      </c>
      <c r="F35" s="2">
        <v>29360011200</v>
      </c>
    </row>
    <row r="36" spans="1:6" hidden="1" outlineLevel="1">
      <c r="A36" s="1">
        <v>34</v>
      </c>
      <c r="F36" s="2">
        <v>29360011175</v>
      </c>
    </row>
    <row r="37" spans="1:6" hidden="1" outlineLevel="1">
      <c r="A37" s="1">
        <v>35</v>
      </c>
      <c r="F37" s="2">
        <v>29360011217</v>
      </c>
    </row>
    <row r="38" spans="1:6" hidden="1" outlineLevel="1">
      <c r="A38" s="1">
        <v>36</v>
      </c>
      <c r="F38" s="2">
        <v>29360011295</v>
      </c>
    </row>
    <row r="39" spans="1:6" hidden="1" outlineLevel="1">
      <c r="A39" s="1">
        <v>37</v>
      </c>
      <c r="F39" s="2">
        <v>29360011190</v>
      </c>
    </row>
    <row r="40" spans="1:6" hidden="1" outlineLevel="1">
      <c r="A40" s="1">
        <v>38</v>
      </c>
      <c r="F40" s="2">
        <v>29360011160</v>
      </c>
    </row>
    <row r="41" spans="1:6" hidden="1" outlineLevel="1">
      <c r="A41" s="1">
        <v>39</v>
      </c>
      <c r="F41" s="2">
        <v>29360011293</v>
      </c>
    </row>
    <row r="42" spans="1:6" hidden="1" outlineLevel="1">
      <c r="A42" s="1">
        <v>40</v>
      </c>
      <c r="F42" s="2">
        <v>29360011157</v>
      </c>
    </row>
    <row r="43" spans="1:6" hidden="1" outlineLevel="1">
      <c r="A43" s="1">
        <v>41</v>
      </c>
      <c r="F43" s="2">
        <v>29360011311</v>
      </c>
    </row>
    <row r="44" spans="1:6" hidden="1" outlineLevel="1">
      <c r="A44" s="1">
        <v>42</v>
      </c>
      <c r="F44" s="2">
        <v>29360011195</v>
      </c>
    </row>
    <row r="45" spans="1:6" hidden="1" outlineLevel="1">
      <c r="A45" s="1">
        <v>43</v>
      </c>
      <c r="F45" s="2">
        <v>29360011192</v>
      </c>
    </row>
    <row r="46" spans="1:6" hidden="1" outlineLevel="1">
      <c r="A46" s="1">
        <v>44</v>
      </c>
      <c r="F46" s="2">
        <v>29360011308</v>
      </c>
    </row>
    <row r="47" spans="1:6" hidden="1" outlineLevel="1">
      <c r="A47" s="1">
        <v>45</v>
      </c>
      <c r="F47" s="2">
        <v>29360011314</v>
      </c>
    </row>
    <row r="48" spans="1:6" hidden="1" outlineLevel="1">
      <c r="A48" s="1">
        <v>46</v>
      </c>
      <c r="F48" s="2">
        <v>29360011176</v>
      </c>
    </row>
    <row r="49" spans="1:6" hidden="1" outlineLevel="1">
      <c r="A49" s="1">
        <v>47</v>
      </c>
      <c r="F49" s="2">
        <v>29360011223</v>
      </c>
    </row>
    <row r="50" spans="1:6" hidden="1" outlineLevel="1">
      <c r="A50" s="1">
        <v>48</v>
      </c>
      <c r="F50" s="2">
        <v>29360011096</v>
      </c>
    </row>
    <row r="51" spans="1:6" hidden="1" outlineLevel="1">
      <c r="A51" s="1">
        <v>49</v>
      </c>
      <c r="E51" s="1" t="s">
        <v>6833</v>
      </c>
      <c r="F51" s="2">
        <v>39970016877</v>
      </c>
    </row>
    <row r="52" spans="1:6" hidden="1" outlineLevel="1">
      <c r="A52" s="1">
        <v>50</v>
      </c>
      <c r="F52" s="2">
        <v>39970019310</v>
      </c>
    </row>
    <row r="53" spans="1:6" hidden="1" outlineLevel="1">
      <c r="A53" s="1">
        <v>51</v>
      </c>
      <c r="F53" s="2">
        <v>39970019278</v>
      </c>
    </row>
    <row r="54" spans="1:6" hidden="1" outlineLevel="1">
      <c r="A54" s="1">
        <v>52</v>
      </c>
      <c r="F54" s="2">
        <v>39970016856</v>
      </c>
    </row>
    <row r="55" spans="1:6" hidden="1" outlineLevel="1">
      <c r="A55" s="1">
        <v>53</v>
      </c>
      <c r="F55" s="2">
        <v>39970016868</v>
      </c>
    </row>
    <row r="56" spans="1:6" hidden="1" outlineLevel="1">
      <c r="A56" s="1">
        <v>54</v>
      </c>
      <c r="F56" s="2">
        <v>39970016875</v>
      </c>
    </row>
    <row r="57" spans="1:6" hidden="1" outlineLevel="1">
      <c r="A57" s="1">
        <v>55</v>
      </c>
      <c r="F57" s="2">
        <v>39970019334</v>
      </c>
    </row>
    <row r="58" spans="1:6" hidden="1" outlineLevel="1">
      <c r="A58" s="1">
        <v>56</v>
      </c>
      <c r="F58" s="2">
        <v>39970016846</v>
      </c>
    </row>
    <row r="59" spans="1:6" hidden="1" outlineLevel="1">
      <c r="A59" s="1">
        <v>57</v>
      </c>
      <c r="F59" s="2">
        <v>39970016836</v>
      </c>
    </row>
    <row r="60" spans="1:6" hidden="1" outlineLevel="1">
      <c r="A60" s="1">
        <v>58</v>
      </c>
      <c r="F60" s="2">
        <v>39970019406</v>
      </c>
    </row>
    <row r="61" spans="1:6" hidden="1" outlineLevel="1">
      <c r="A61" s="1">
        <v>59</v>
      </c>
      <c r="F61" s="2">
        <v>39970019122</v>
      </c>
    </row>
    <row r="62" spans="1:6" hidden="1" outlineLevel="1">
      <c r="A62" s="1">
        <v>60</v>
      </c>
      <c r="F62" s="2">
        <v>39970019418</v>
      </c>
    </row>
    <row r="63" spans="1:6" hidden="1" outlineLevel="1">
      <c r="A63" s="1">
        <v>61</v>
      </c>
      <c r="F63" s="2">
        <v>39970019312</v>
      </c>
    </row>
    <row r="64" spans="1:6" hidden="1" outlineLevel="1">
      <c r="A64" s="1">
        <v>62</v>
      </c>
      <c r="F64" s="2">
        <v>39970019474</v>
      </c>
    </row>
    <row r="65" spans="1:6" hidden="1" outlineLevel="1">
      <c r="A65" s="1">
        <v>63</v>
      </c>
      <c r="F65" s="2">
        <v>39970019123</v>
      </c>
    </row>
    <row r="66" spans="1:6" hidden="1" outlineLevel="1">
      <c r="A66" s="1">
        <v>64</v>
      </c>
      <c r="F66" s="2">
        <v>39970019335</v>
      </c>
    </row>
    <row r="67" spans="1:6" hidden="1" outlineLevel="1">
      <c r="A67" s="1">
        <v>65</v>
      </c>
      <c r="F67" s="2">
        <v>39970019139</v>
      </c>
    </row>
    <row r="68" spans="1:6" hidden="1" outlineLevel="1">
      <c r="A68" s="1">
        <v>66</v>
      </c>
      <c r="F68" s="2">
        <v>39970016847</v>
      </c>
    </row>
    <row r="69" spans="1:6" hidden="1" outlineLevel="1">
      <c r="A69" s="1">
        <v>67</v>
      </c>
      <c r="F69" s="2">
        <v>39970016849</v>
      </c>
    </row>
    <row r="70" spans="1:6" hidden="1" outlineLevel="1">
      <c r="A70" s="1">
        <v>68</v>
      </c>
      <c r="F70" s="2">
        <v>39970016850</v>
      </c>
    </row>
    <row r="71" spans="1:6" hidden="1" outlineLevel="1">
      <c r="A71" s="1">
        <v>69</v>
      </c>
      <c r="F71" s="2">
        <v>39970019308</v>
      </c>
    </row>
    <row r="72" spans="1:6" hidden="1" outlineLevel="1">
      <c r="A72" s="1">
        <v>70</v>
      </c>
      <c r="F72" s="2">
        <v>39970019275</v>
      </c>
    </row>
    <row r="73" spans="1:6" hidden="1" outlineLevel="1">
      <c r="A73" s="1">
        <v>71</v>
      </c>
      <c r="F73" s="2">
        <v>39970019419</v>
      </c>
    </row>
    <row r="74" spans="1:6" hidden="1" outlineLevel="1">
      <c r="A74" s="1">
        <v>72</v>
      </c>
      <c r="F74" s="2">
        <v>39970019128</v>
      </c>
    </row>
    <row r="75" spans="1:6" hidden="1" outlineLevel="1">
      <c r="A75" s="1">
        <v>73</v>
      </c>
      <c r="F75" s="2">
        <v>39970016834</v>
      </c>
    </row>
    <row r="76" spans="1:6" hidden="1" outlineLevel="1">
      <c r="A76" s="1">
        <v>74</v>
      </c>
      <c r="B76" s="11">
        <v>43740</v>
      </c>
      <c r="C76" s="160" t="s">
        <v>7150</v>
      </c>
      <c r="D76" s="1" t="s">
        <v>6800</v>
      </c>
      <c r="E76" s="1" t="s">
        <v>6821</v>
      </c>
      <c r="F76" s="2">
        <v>1918583795</v>
      </c>
    </row>
    <row r="77" spans="1:6" hidden="1" outlineLevel="1">
      <c r="A77" s="1">
        <v>75</v>
      </c>
      <c r="B77" s="11">
        <v>43741</v>
      </c>
      <c r="C77" s="160" t="s">
        <v>7151</v>
      </c>
      <c r="D77" s="1" t="s">
        <v>6800</v>
      </c>
      <c r="E77" s="1" t="s">
        <v>6834</v>
      </c>
      <c r="F77" s="2">
        <v>1918329154</v>
      </c>
    </row>
    <row r="78" spans="1:6" hidden="1" outlineLevel="1">
      <c r="A78" s="1">
        <v>76</v>
      </c>
      <c r="B78" s="11">
        <v>43740</v>
      </c>
      <c r="C78" s="160" t="s">
        <v>7070</v>
      </c>
      <c r="D78" s="1" t="s">
        <v>6800</v>
      </c>
      <c r="E78" s="1" t="s">
        <v>449</v>
      </c>
      <c r="F78" s="2">
        <v>29760049242</v>
      </c>
    </row>
    <row r="79" spans="1:6" hidden="1" outlineLevel="1">
      <c r="A79" s="1">
        <v>77</v>
      </c>
      <c r="B79" s="11">
        <v>43747</v>
      </c>
      <c r="C79" s="160" t="s">
        <v>7071</v>
      </c>
      <c r="D79" s="1" t="s">
        <v>6800</v>
      </c>
      <c r="E79" s="1" t="s">
        <v>6835</v>
      </c>
      <c r="F79" s="2">
        <v>29760049142</v>
      </c>
    </row>
    <row r="80" spans="1:6" hidden="1" outlineLevel="1">
      <c r="A80" s="1">
        <v>78</v>
      </c>
      <c r="B80" s="11">
        <v>43745</v>
      </c>
      <c r="C80" s="160" t="s">
        <v>7072</v>
      </c>
      <c r="D80" s="1" t="s">
        <v>6800</v>
      </c>
      <c r="E80" s="1" t="s">
        <v>6821</v>
      </c>
      <c r="F80" s="2">
        <v>1916187090</v>
      </c>
    </row>
    <row r="81" spans="1:26" hidden="1" outlineLevel="1">
      <c r="A81" s="1">
        <v>79</v>
      </c>
      <c r="B81" s="11">
        <v>43753</v>
      </c>
      <c r="C81" s="160" t="s">
        <v>7073</v>
      </c>
      <c r="D81" s="1" t="s">
        <v>6800</v>
      </c>
      <c r="E81" s="1" t="s">
        <v>6835</v>
      </c>
      <c r="F81" s="2">
        <v>1918341570</v>
      </c>
    </row>
    <row r="82" spans="1:26" hidden="1" outlineLevel="1">
      <c r="A82" s="1">
        <v>80</v>
      </c>
      <c r="C82" s="11" t="s">
        <v>7152</v>
      </c>
      <c r="D82" s="1" t="s">
        <v>6804</v>
      </c>
      <c r="E82" s="1" t="s">
        <v>449</v>
      </c>
      <c r="F82" s="2">
        <v>29760053342</v>
      </c>
    </row>
    <row r="83" spans="1:26" hidden="1" outlineLevel="1">
      <c r="A83" s="1">
        <v>81</v>
      </c>
      <c r="B83" s="11">
        <v>43760</v>
      </c>
      <c r="C83" s="160" t="s">
        <v>7074</v>
      </c>
      <c r="D83" s="1" t="s">
        <v>6800</v>
      </c>
      <c r="E83" s="1" t="s">
        <v>449</v>
      </c>
      <c r="F83" s="2">
        <v>29760052730</v>
      </c>
    </row>
    <row r="84" spans="1:26" hidden="1" outlineLevel="1">
      <c r="A84" s="1">
        <v>82</v>
      </c>
      <c r="F84" s="2">
        <v>29760052774</v>
      </c>
    </row>
    <row r="85" spans="1:26" hidden="1" outlineLevel="1">
      <c r="A85" s="1">
        <v>83</v>
      </c>
      <c r="F85" s="2">
        <v>29760052574</v>
      </c>
    </row>
    <row r="86" spans="1:26" hidden="1" outlineLevel="1">
      <c r="A86" s="1">
        <v>84</v>
      </c>
      <c r="E86" s="1" t="s">
        <v>6821</v>
      </c>
      <c r="F86" s="2">
        <v>1918726871</v>
      </c>
    </row>
    <row r="87" spans="1:26" hidden="1" outlineLevel="1">
      <c r="A87" s="1">
        <v>85</v>
      </c>
      <c r="B87" s="11">
        <v>43768</v>
      </c>
      <c r="C87" s="160" t="s">
        <v>7075</v>
      </c>
      <c r="D87" s="1" t="s">
        <v>6800</v>
      </c>
      <c r="E87" s="1" t="s">
        <v>6836</v>
      </c>
      <c r="F87" s="2">
        <v>1811624369</v>
      </c>
    </row>
    <row r="88" spans="1:26" hidden="1" outlineLevel="1">
      <c r="A88" s="1">
        <v>86</v>
      </c>
      <c r="B88" s="24">
        <v>43768</v>
      </c>
      <c r="C88" s="158" t="s">
        <v>7153</v>
      </c>
      <c r="D88" s="4" t="s">
        <v>6805</v>
      </c>
      <c r="E88" s="4" t="s">
        <v>6837</v>
      </c>
      <c r="G88" s="4"/>
      <c r="H88" s="4"/>
      <c r="J88" s="24"/>
      <c r="K88" s="4"/>
      <c r="L88" s="24"/>
      <c r="P88" s="4"/>
      <c r="Q88" s="68"/>
      <c r="R88" s="68"/>
      <c r="S88" s="68"/>
      <c r="T88" s="68"/>
      <c r="U88" s="68"/>
      <c r="V88" s="68"/>
      <c r="W88" s="68"/>
      <c r="X88" s="68"/>
      <c r="Y88" s="68"/>
      <c r="Z88" s="68"/>
    </row>
    <row r="89" spans="1:26" hidden="1" outlineLevel="1">
      <c r="A89" s="1">
        <v>87</v>
      </c>
      <c r="B89" s="11">
        <v>43774</v>
      </c>
      <c r="C89" s="160" t="s">
        <v>7076</v>
      </c>
      <c r="D89" s="1" t="s">
        <v>6800</v>
      </c>
      <c r="E89" s="1" t="s">
        <v>6821</v>
      </c>
      <c r="F89" s="2">
        <v>1918897825</v>
      </c>
    </row>
    <row r="90" spans="1:26" hidden="1" outlineLevel="1">
      <c r="A90" s="1">
        <v>88</v>
      </c>
      <c r="B90" s="11">
        <v>43774</v>
      </c>
      <c r="C90" s="160" t="s">
        <v>7077</v>
      </c>
      <c r="D90" s="1" t="s">
        <v>6800</v>
      </c>
      <c r="E90" s="1" t="s">
        <v>6821</v>
      </c>
      <c r="F90" s="2">
        <v>1918897817</v>
      </c>
    </row>
    <row r="91" spans="1:26" hidden="1" outlineLevel="1">
      <c r="A91" s="1">
        <v>89</v>
      </c>
      <c r="B91" s="11">
        <v>43783</v>
      </c>
      <c r="C91" s="160" t="s">
        <v>7078</v>
      </c>
      <c r="D91" s="1" t="s">
        <v>6800</v>
      </c>
      <c r="E91" s="1" t="s">
        <v>449</v>
      </c>
      <c r="F91" s="2">
        <v>29760052633</v>
      </c>
    </row>
    <row r="92" spans="1:26" hidden="1" outlineLevel="1">
      <c r="A92" s="1">
        <v>90</v>
      </c>
      <c r="E92" s="1" t="s">
        <v>6838</v>
      </c>
      <c r="F92" s="2">
        <v>1919046272</v>
      </c>
    </row>
    <row r="93" spans="1:26" hidden="1" outlineLevel="1">
      <c r="A93" s="1">
        <v>91</v>
      </c>
      <c r="E93" s="1" t="s">
        <v>6839</v>
      </c>
      <c r="F93" s="2">
        <v>1918354778</v>
      </c>
    </row>
    <row r="94" spans="1:26" hidden="1" outlineLevel="1">
      <c r="A94" s="1">
        <v>92</v>
      </c>
      <c r="B94" s="11">
        <v>43790</v>
      </c>
      <c r="C94" s="160" t="s">
        <v>7079</v>
      </c>
      <c r="D94" s="1" t="s">
        <v>6800</v>
      </c>
      <c r="E94" s="1" t="s">
        <v>6840</v>
      </c>
      <c r="F94" s="2">
        <v>1917409857</v>
      </c>
    </row>
    <row r="95" spans="1:26" hidden="1" outlineLevel="1">
      <c r="A95" s="1">
        <v>93</v>
      </c>
      <c r="E95" s="1" t="s">
        <v>6821</v>
      </c>
      <c r="F95" s="2">
        <v>1918432206</v>
      </c>
    </row>
    <row r="96" spans="1:26" hidden="1" outlineLevel="1">
      <c r="A96" s="1">
        <v>94</v>
      </c>
      <c r="B96" s="11">
        <v>43791</v>
      </c>
      <c r="C96" s="160" t="s">
        <v>7154</v>
      </c>
      <c r="D96" s="1" t="s">
        <v>6800</v>
      </c>
      <c r="E96" s="1" t="s">
        <v>449</v>
      </c>
      <c r="F96" s="2">
        <v>29760054850</v>
      </c>
    </row>
    <row r="97" spans="1:26" hidden="1" outlineLevel="1">
      <c r="A97" s="1">
        <v>95</v>
      </c>
      <c r="E97" s="1" t="s">
        <v>6821</v>
      </c>
      <c r="F97" s="2">
        <v>1918432209</v>
      </c>
    </row>
    <row r="98" spans="1:26" hidden="1" outlineLevel="1">
      <c r="A98" s="1">
        <v>96</v>
      </c>
      <c r="E98" s="1" t="s">
        <v>444</v>
      </c>
      <c r="F98" s="2">
        <v>29610133781</v>
      </c>
    </row>
    <row r="99" spans="1:26" hidden="1" outlineLevel="1">
      <c r="A99" s="1">
        <v>97</v>
      </c>
      <c r="B99" s="11">
        <v>43790</v>
      </c>
      <c r="C99" s="160" t="s">
        <v>7155</v>
      </c>
      <c r="D99" s="1" t="s">
        <v>6800</v>
      </c>
      <c r="E99" s="1" t="s">
        <v>6841</v>
      </c>
      <c r="F99" s="2">
        <v>1919046205</v>
      </c>
    </row>
    <row r="100" spans="1:26" hidden="1" outlineLevel="1">
      <c r="A100" s="1">
        <v>98</v>
      </c>
      <c r="B100" s="11">
        <v>43790</v>
      </c>
      <c r="C100" s="160" t="s">
        <v>7080</v>
      </c>
      <c r="D100" s="1" t="s">
        <v>6800</v>
      </c>
      <c r="E100" s="1" t="s">
        <v>6821</v>
      </c>
      <c r="F100" s="2">
        <v>1918432221</v>
      </c>
    </row>
    <row r="101" spans="1:26" hidden="1" outlineLevel="1">
      <c r="A101" s="1">
        <v>99</v>
      </c>
      <c r="B101" s="11">
        <v>43796</v>
      </c>
      <c r="C101" s="160" t="s">
        <v>7156</v>
      </c>
      <c r="D101" s="1" t="s">
        <v>6800</v>
      </c>
      <c r="E101" s="1" t="s">
        <v>444</v>
      </c>
      <c r="F101" s="2">
        <v>29610129719</v>
      </c>
    </row>
    <row r="102" spans="1:26" hidden="1" outlineLevel="1">
      <c r="A102" s="1">
        <v>100</v>
      </c>
      <c r="B102" s="11">
        <v>43796</v>
      </c>
      <c r="C102" s="160" t="s">
        <v>7081</v>
      </c>
      <c r="D102" s="1" t="s">
        <v>6800</v>
      </c>
      <c r="E102" s="1" t="s">
        <v>6821</v>
      </c>
      <c r="F102" s="2">
        <v>1918992651</v>
      </c>
    </row>
    <row r="103" spans="1:26" hidden="1" outlineLevel="1">
      <c r="A103" s="1">
        <v>101</v>
      </c>
      <c r="F103" s="2">
        <v>1812223285</v>
      </c>
    </row>
    <row r="104" spans="1:26" hidden="1" outlineLevel="1">
      <c r="A104" s="1">
        <v>102</v>
      </c>
      <c r="B104" s="11">
        <v>43804</v>
      </c>
      <c r="C104" s="160" t="s">
        <v>7082</v>
      </c>
      <c r="D104" s="1" t="s">
        <v>6800</v>
      </c>
      <c r="E104" s="1" t="s">
        <v>6842</v>
      </c>
      <c r="F104" s="2">
        <v>1919211990</v>
      </c>
    </row>
    <row r="105" spans="1:26" hidden="1" outlineLevel="1">
      <c r="A105" s="1">
        <v>103</v>
      </c>
      <c r="E105" s="1" t="s">
        <v>6843</v>
      </c>
      <c r="F105" s="2">
        <v>1919190589</v>
      </c>
    </row>
    <row r="106" spans="1:26" hidden="1" outlineLevel="1">
      <c r="A106" s="1">
        <v>104</v>
      </c>
      <c r="B106" s="11">
        <v>43804</v>
      </c>
      <c r="C106" s="160" t="s">
        <v>7083</v>
      </c>
      <c r="D106" s="1" t="s">
        <v>6800</v>
      </c>
      <c r="E106" s="1" t="s">
        <v>6844</v>
      </c>
      <c r="F106" s="2">
        <v>1919176912</v>
      </c>
    </row>
    <row r="107" spans="1:26" hidden="1" outlineLevel="1">
      <c r="A107" s="1">
        <v>105</v>
      </c>
      <c r="B107" s="11">
        <v>43804</v>
      </c>
      <c r="C107" s="160" t="s">
        <v>7084</v>
      </c>
      <c r="D107" s="1" t="s">
        <v>6800</v>
      </c>
      <c r="E107" s="1" t="s">
        <v>6845</v>
      </c>
      <c r="F107" s="2">
        <v>1812223312</v>
      </c>
    </row>
    <row r="108" spans="1:26" hidden="1" outlineLevel="1">
      <c r="A108" s="1">
        <v>106</v>
      </c>
      <c r="B108" s="11">
        <v>43804</v>
      </c>
      <c r="C108" s="160" t="s">
        <v>7085</v>
      </c>
      <c r="D108" s="1" t="s">
        <v>6800</v>
      </c>
      <c r="E108" s="1" t="s">
        <v>6846</v>
      </c>
      <c r="F108" s="2">
        <v>1917409870</v>
      </c>
    </row>
    <row r="109" spans="1:26" hidden="1" outlineLevel="1">
      <c r="A109" s="1">
        <v>107</v>
      </c>
      <c r="B109" s="24">
        <v>43804</v>
      </c>
      <c r="C109" s="158" t="s">
        <v>7086</v>
      </c>
      <c r="D109" s="4" t="s">
        <v>6806</v>
      </c>
      <c r="E109" s="4" t="s">
        <v>6847</v>
      </c>
      <c r="G109" s="4"/>
      <c r="H109" s="4"/>
      <c r="J109" s="24"/>
      <c r="K109" s="4"/>
      <c r="L109" s="24"/>
      <c r="P109" s="4"/>
      <c r="Q109" s="68"/>
      <c r="R109" s="68"/>
      <c r="S109" s="68"/>
      <c r="T109" s="68"/>
      <c r="U109" s="68"/>
      <c r="V109" s="68"/>
      <c r="W109" s="68"/>
      <c r="X109" s="68"/>
      <c r="Y109" s="68"/>
      <c r="Z109" s="68"/>
    </row>
    <row r="110" spans="1:26" hidden="1" outlineLevel="1">
      <c r="A110" s="1">
        <v>108</v>
      </c>
      <c r="B110" s="11">
        <v>43805</v>
      </c>
      <c r="C110" s="160" t="s">
        <v>7087</v>
      </c>
      <c r="D110" s="1" t="s">
        <v>6800</v>
      </c>
      <c r="E110" s="1" t="s">
        <v>6845</v>
      </c>
      <c r="F110" s="2">
        <v>1919375332</v>
      </c>
    </row>
    <row r="111" spans="1:26" hidden="1" outlineLevel="1">
      <c r="A111" s="1">
        <v>109</v>
      </c>
      <c r="B111" s="11">
        <v>43805</v>
      </c>
      <c r="C111" s="160" t="s">
        <v>7088</v>
      </c>
      <c r="D111" s="1" t="s">
        <v>6800</v>
      </c>
      <c r="E111" s="1" t="s">
        <v>6827</v>
      </c>
      <c r="F111" s="2">
        <v>1919211096</v>
      </c>
    </row>
    <row r="112" spans="1:26" hidden="1" outlineLevel="1">
      <c r="A112" s="1">
        <v>110</v>
      </c>
      <c r="B112" s="11">
        <v>43809</v>
      </c>
      <c r="C112" s="160" t="s">
        <v>7089</v>
      </c>
      <c r="D112" s="1" t="s">
        <v>6800</v>
      </c>
      <c r="E112" s="1" t="s">
        <v>6848</v>
      </c>
      <c r="F112" s="2">
        <v>1919167187</v>
      </c>
    </row>
    <row r="113" spans="1:6" hidden="1" outlineLevel="1">
      <c r="A113" s="1">
        <v>111</v>
      </c>
      <c r="B113" s="11">
        <v>43809</v>
      </c>
      <c r="C113" s="160" t="s">
        <v>7090</v>
      </c>
      <c r="D113" s="1" t="s">
        <v>6800</v>
      </c>
      <c r="E113" s="1" t="s">
        <v>6849</v>
      </c>
      <c r="F113" s="2">
        <v>1919230430</v>
      </c>
    </row>
    <row r="114" spans="1:6" hidden="1" outlineLevel="1">
      <c r="A114" s="1">
        <v>112</v>
      </c>
      <c r="B114" s="11">
        <v>43809</v>
      </c>
      <c r="C114" s="160">
        <v>1042</v>
      </c>
      <c r="D114" s="1" t="s">
        <v>6807</v>
      </c>
      <c r="E114" s="1" t="s">
        <v>6850</v>
      </c>
      <c r="F114" s="2">
        <v>29360011556</v>
      </c>
    </row>
    <row r="115" spans="1:6" hidden="1" outlineLevel="1">
      <c r="A115" s="1">
        <v>113</v>
      </c>
      <c r="F115" s="2">
        <v>29360011462</v>
      </c>
    </row>
    <row r="116" spans="1:6" hidden="1" outlineLevel="1">
      <c r="A116" s="1">
        <v>114</v>
      </c>
      <c r="F116" s="2">
        <v>29360011461</v>
      </c>
    </row>
    <row r="117" spans="1:6" hidden="1" outlineLevel="1">
      <c r="A117" s="1">
        <v>115</v>
      </c>
      <c r="F117" s="2">
        <v>29360011430</v>
      </c>
    </row>
    <row r="118" spans="1:6" hidden="1" outlineLevel="1">
      <c r="A118" s="1">
        <v>116</v>
      </c>
      <c r="F118" s="2">
        <v>29360011555</v>
      </c>
    </row>
    <row r="119" spans="1:6" hidden="1" outlineLevel="1">
      <c r="A119" s="1">
        <v>117</v>
      </c>
      <c r="E119" s="1" t="s">
        <v>6851</v>
      </c>
      <c r="F119" s="2">
        <v>39970019203</v>
      </c>
    </row>
    <row r="120" spans="1:6" hidden="1" outlineLevel="1">
      <c r="A120" s="1">
        <v>118</v>
      </c>
      <c r="F120" s="2">
        <v>39970018626</v>
      </c>
    </row>
    <row r="121" spans="1:6" hidden="1" outlineLevel="1">
      <c r="A121" s="1">
        <v>119</v>
      </c>
      <c r="F121" s="2">
        <v>39970018857</v>
      </c>
    </row>
    <row r="122" spans="1:6" hidden="1" outlineLevel="1">
      <c r="A122" s="1">
        <v>120</v>
      </c>
      <c r="F122" s="2">
        <v>39970016790</v>
      </c>
    </row>
    <row r="123" spans="1:6" hidden="1" outlineLevel="1">
      <c r="A123" s="1">
        <v>121</v>
      </c>
      <c r="F123" s="2">
        <v>39970018856</v>
      </c>
    </row>
    <row r="124" spans="1:6" hidden="1" outlineLevel="1">
      <c r="A124" s="1">
        <v>122</v>
      </c>
      <c r="B124" s="11">
        <v>43811</v>
      </c>
      <c r="C124" s="160" t="s">
        <v>7091</v>
      </c>
      <c r="D124" s="1" t="s">
        <v>6800</v>
      </c>
      <c r="E124" s="1" t="s">
        <v>6852</v>
      </c>
      <c r="F124" s="2">
        <v>41960006536</v>
      </c>
    </row>
    <row r="125" spans="1:6" hidden="1" outlineLevel="1">
      <c r="A125" s="1">
        <v>123</v>
      </c>
      <c r="B125" s="11">
        <v>43811</v>
      </c>
      <c r="C125" s="160" t="s">
        <v>7092</v>
      </c>
      <c r="D125" s="1" t="s">
        <v>6800</v>
      </c>
      <c r="E125" s="1" t="s">
        <v>6853</v>
      </c>
      <c r="F125" s="2">
        <v>1916440326</v>
      </c>
    </row>
    <row r="126" spans="1:6" hidden="1" outlineLevel="1">
      <c r="A126" s="1">
        <v>124</v>
      </c>
      <c r="B126" s="11">
        <v>43812</v>
      </c>
      <c r="C126" s="160" t="s">
        <v>7093</v>
      </c>
      <c r="D126" s="1" t="s">
        <v>6800</v>
      </c>
      <c r="E126" s="1" t="s">
        <v>6854</v>
      </c>
      <c r="F126" s="2">
        <v>29610132340</v>
      </c>
    </row>
    <row r="127" spans="1:6" hidden="1" outlineLevel="1">
      <c r="A127" s="1">
        <v>125</v>
      </c>
      <c r="B127" s="11">
        <v>43816</v>
      </c>
      <c r="C127" s="160" t="s">
        <v>7094</v>
      </c>
      <c r="D127" s="1" t="s">
        <v>6800</v>
      </c>
      <c r="E127" s="1" t="s">
        <v>6855</v>
      </c>
      <c r="F127" s="2">
        <v>1917290501</v>
      </c>
    </row>
    <row r="128" spans="1:6" hidden="1" outlineLevel="1">
      <c r="A128" s="1">
        <v>126</v>
      </c>
      <c r="B128" s="11">
        <v>43818</v>
      </c>
      <c r="C128" s="160" t="s">
        <v>7095</v>
      </c>
      <c r="D128" s="1" t="s">
        <v>6800</v>
      </c>
      <c r="E128" s="1" t="s">
        <v>6856</v>
      </c>
      <c r="F128" s="2">
        <v>1919166865</v>
      </c>
    </row>
    <row r="129" spans="1:26" hidden="1" outlineLevel="1">
      <c r="A129" s="1">
        <v>127</v>
      </c>
      <c r="B129" s="11">
        <v>43818</v>
      </c>
      <c r="C129" s="160" t="s">
        <v>7096</v>
      </c>
      <c r="D129" s="1" t="s">
        <v>6800</v>
      </c>
      <c r="E129" s="1" t="s">
        <v>6845</v>
      </c>
      <c r="F129" s="2">
        <v>1919684201</v>
      </c>
    </row>
    <row r="130" spans="1:26" hidden="1" outlineLevel="1">
      <c r="A130" s="1">
        <v>128</v>
      </c>
      <c r="B130" s="11">
        <v>43822</v>
      </c>
      <c r="C130" s="160" t="s">
        <v>7097</v>
      </c>
      <c r="D130" s="1" t="s">
        <v>6800</v>
      </c>
      <c r="E130" s="1" t="s">
        <v>6857</v>
      </c>
      <c r="F130" s="2">
        <v>29760055842</v>
      </c>
    </row>
    <row r="131" spans="1:26" hidden="1" outlineLevel="1">
      <c r="A131" s="1">
        <v>129</v>
      </c>
      <c r="B131" s="24">
        <v>43825</v>
      </c>
      <c r="C131" s="158" t="s">
        <v>7098</v>
      </c>
      <c r="D131" s="4" t="s">
        <v>6808</v>
      </c>
      <c r="E131" s="4" t="s">
        <v>6858</v>
      </c>
      <c r="G131" s="4"/>
      <c r="H131" s="4"/>
      <c r="J131" s="24"/>
      <c r="K131" s="4"/>
      <c r="L131" s="24"/>
      <c r="P131" s="4"/>
      <c r="Q131" s="68"/>
      <c r="R131" s="68"/>
      <c r="S131" s="68"/>
      <c r="T131" s="68"/>
      <c r="U131" s="68"/>
      <c r="V131" s="68"/>
      <c r="W131" s="68"/>
      <c r="X131" s="68"/>
      <c r="Y131" s="68"/>
      <c r="Z131" s="68"/>
    </row>
    <row r="132" spans="1:26" hidden="1" outlineLevel="1">
      <c r="A132" s="1">
        <v>130</v>
      </c>
      <c r="B132" s="11">
        <v>43826</v>
      </c>
      <c r="C132" s="160" t="s">
        <v>7099</v>
      </c>
      <c r="D132" s="1" t="s">
        <v>6800</v>
      </c>
      <c r="E132" s="1" t="s">
        <v>6849</v>
      </c>
      <c r="F132" s="2">
        <v>1918623583</v>
      </c>
    </row>
    <row r="133" spans="1:26" collapsed="1">
      <c r="A133" s="8">
        <v>2020</v>
      </c>
      <c r="B133" s="58"/>
      <c r="C133" s="159"/>
      <c r="D133" s="8"/>
      <c r="E133" s="8"/>
      <c r="F133" s="8"/>
      <c r="G133" s="8"/>
      <c r="H133" s="8"/>
      <c r="I133" s="8"/>
      <c r="J133" s="58"/>
      <c r="K133" s="8"/>
      <c r="L133" s="58"/>
      <c r="M133" s="8"/>
      <c r="N133" s="8"/>
      <c r="O133" s="8"/>
      <c r="P133" s="8"/>
    </row>
    <row r="134" spans="1:26" hidden="1" outlineLevel="1">
      <c r="A134" s="1">
        <v>1</v>
      </c>
      <c r="B134" s="11">
        <v>43846</v>
      </c>
      <c r="C134" s="160" t="s">
        <v>7056</v>
      </c>
      <c r="D134" s="1" t="s">
        <v>6800</v>
      </c>
      <c r="E134" s="1" t="s">
        <v>6845</v>
      </c>
      <c r="F134" s="2">
        <v>1919651668</v>
      </c>
    </row>
    <row r="135" spans="1:26" hidden="1" outlineLevel="1">
      <c r="A135" s="1">
        <v>2</v>
      </c>
      <c r="B135" s="11">
        <v>43846</v>
      </c>
      <c r="C135" s="160" t="s">
        <v>7100</v>
      </c>
      <c r="D135" s="1" t="s">
        <v>6800</v>
      </c>
      <c r="E135" s="1" t="s">
        <v>6827</v>
      </c>
      <c r="F135" s="2">
        <v>1919295092</v>
      </c>
    </row>
    <row r="136" spans="1:26" hidden="1" outlineLevel="1">
      <c r="A136" s="1">
        <v>3</v>
      </c>
      <c r="B136" s="11">
        <v>43857</v>
      </c>
      <c r="C136" s="160">
        <v>73</v>
      </c>
      <c r="D136" s="1" t="s">
        <v>6809</v>
      </c>
      <c r="E136" s="1" t="s">
        <v>6859</v>
      </c>
      <c r="F136" s="2">
        <v>39970019708</v>
      </c>
    </row>
    <row r="137" spans="1:26" hidden="1" outlineLevel="1">
      <c r="A137" s="1">
        <v>4</v>
      </c>
      <c r="B137" s="11">
        <v>43857</v>
      </c>
      <c r="C137" s="160" t="s">
        <v>7101</v>
      </c>
      <c r="D137" s="1" t="s">
        <v>6800</v>
      </c>
      <c r="E137" s="1" t="s">
        <v>6860</v>
      </c>
      <c r="F137" s="2">
        <v>1918628844</v>
      </c>
    </row>
    <row r="138" spans="1:26" hidden="1" outlineLevel="1">
      <c r="A138" s="1">
        <v>5</v>
      </c>
      <c r="B138" s="11">
        <v>43857</v>
      </c>
      <c r="C138" s="160" t="s">
        <v>7102</v>
      </c>
      <c r="D138" s="1" t="s">
        <v>6800</v>
      </c>
      <c r="E138" s="1" t="s">
        <v>6861</v>
      </c>
      <c r="F138" s="2">
        <v>40120016307</v>
      </c>
    </row>
    <row r="139" spans="1:26" hidden="1" outlineLevel="1">
      <c r="A139" s="1">
        <v>6</v>
      </c>
      <c r="F139" s="2">
        <v>40120014297</v>
      </c>
    </row>
    <row r="140" spans="1:26" hidden="1" outlineLevel="1">
      <c r="A140" s="1">
        <v>7</v>
      </c>
      <c r="F140" s="2">
        <v>40120016326</v>
      </c>
    </row>
    <row r="141" spans="1:26" hidden="1" outlineLevel="1">
      <c r="A141" s="1">
        <v>8</v>
      </c>
      <c r="B141" s="11">
        <v>43859</v>
      </c>
      <c r="C141" s="160" t="s">
        <v>7103</v>
      </c>
      <c r="D141" s="1" t="s">
        <v>6800</v>
      </c>
      <c r="E141" s="1" t="s">
        <v>6862</v>
      </c>
      <c r="F141" s="2">
        <v>1919041146</v>
      </c>
    </row>
    <row r="142" spans="1:26" hidden="1" outlineLevel="1">
      <c r="A142" s="1">
        <v>9</v>
      </c>
      <c r="B142" s="11">
        <v>43866</v>
      </c>
      <c r="C142" s="160" t="s">
        <v>7104</v>
      </c>
      <c r="D142" s="1" t="s">
        <v>6800</v>
      </c>
      <c r="E142" s="1" t="s">
        <v>446</v>
      </c>
      <c r="F142" s="2">
        <v>40120016325</v>
      </c>
    </row>
    <row r="143" spans="1:26" hidden="1" outlineLevel="1">
      <c r="A143" s="1">
        <v>10</v>
      </c>
      <c r="F143" s="2">
        <v>3997007336</v>
      </c>
    </row>
    <row r="144" spans="1:26" hidden="1" outlineLevel="1">
      <c r="A144" s="1">
        <v>11</v>
      </c>
      <c r="F144" s="2">
        <v>39970017322</v>
      </c>
    </row>
    <row r="145" spans="1:6" hidden="1" outlineLevel="1">
      <c r="A145" s="1">
        <v>12</v>
      </c>
      <c r="F145" s="2">
        <v>3997004071</v>
      </c>
    </row>
    <row r="146" spans="1:6" hidden="1" outlineLevel="1">
      <c r="A146" s="1">
        <v>13</v>
      </c>
      <c r="F146" s="2">
        <v>39970017303</v>
      </c>
    </row>
    <row r="147" spans="1:6" hidden="1" outlineLevel="1">
      <c r="A147" s="1">
        <v>14</v>
      </c>
      <c r="B147" s="11">
        <v>43868</v>
      </c>
      <c r="C147" s="160" t="s">
        <v>7105</v>
      </c>
      <c r="D147" s="1" t="s">
        <v>6800</v>
      </c>
      <c r="E147" s="1" t="s">
        <v>6821</v>
      </c>
      <c r="F147" s="2">
        <v>1919920469</v>
      </c>
    </row>
    <row r="148" spans="1:6" hidden="1" outlineLevel="1">
      <c r="A148" s="1">
        <v>15</v>
      </c>
      <c r="B148" s="11">
        <v>43874</v>
      </c>
      <c r="C148" s="160" t="s">
        <v>7106</v>
      </c>
      <c r="D148" s="1" t="s">
        <v>6800</v>
      </c>
      <c r="E148" s="1" t="s">
        <v>449</v>
      </c>
      <c r="F148" s="2">
        <v>29760052853</v>
      </c>
    </row>
    <row r="149" spans="1:6" hidden="1" outlineLevel="1">
      <c r="A149" s="1">
        <v>16</v>
      </c>
      <c r="E149" s="1" t="s">
        <v>6863</v>
      </c>
      <c r="F149" s="2">
        <v>1918628910</v>
      </c>
    </row>
    <row r="150" spans="1:6" hidden="1" outlineLevel="1">
      <c r="A150" s="1">
        <v>17</v>
      </c>
      <c r="B150" s="11">
        <v>43872</v>
      </c>
      <c r="C150" s="160">
        <v>82</v>
      </c>
      <c r="D150" s="1" t="s">
        <v>6810</v>
      </c>
      <c r="E150" s="1" t="s">
        <v>6864</v>
      </c>
      <c r="F150" s="2">
        <v>41160024424</v>
      </c>
    </row>
    <row r="151" spans="1:6" hidden="1" outlineLevel="1">
      <c r="A151" s="1">
        <v>18</v>
      </c>
      <c r="B151" s="11">
        <v>43895</v>
      </c>
      <c r="C151" s="160" t="s">
        <v>7107</v>
      </c>
      <c r="D151" s="1" t="s">
        <v>6800</v>
      </c>
      <c r="E151" s="1" t="s">
        <v>445</v>
      </c>
      <c r="F151" s="2">
        <v>29360012634</v>
      </c>
    </row>
    <row r="152" spans="1:6" hidden="1" outlineLevel="1">
      <c r="A152" s="1">
        <v>19</v>
      </c>
      <c r="B152" s="11">
        <v>43906</v>
      </c>
      <c r="C152" s="160" t="s">
        <v>7108</v>
      </c>
      <c r="D152" s="1" t="s">
        <v>6800</v>
      </c>
      <c r="E152" s="1" t="s">
        <v>6821</v>
      </c>
      <c r="F152" s="2">
        <v>1918890307</v>
      </c>
    </row>
    <row r="153" spans="1:6" hidden="1" outlineLevel="1">
      <c r="A153" s="1">
        <v>20</v>
      </c>
      <c r="B153" s="11">
        <v>43914</v>
      </c>
      <c r="C153" s="160" t="s">
        <v>7157</v>
      </c>
      <c r="D153" s="1" t="s">
        <v>6800</v>
      </c>
      <c r="E153" s="1" t="s">
        <v>6865</v>
      </c>
      <c r="F153" s="2">
        <v>1812282292</v>
      </c>
    </row>
    <row r="154" spans="1:6" hidden="1" outlineLevel="1">
      <c r="A154" s="1">
        <v>21</v>
      </c>
      <c r="B154" s="11">
        <v>43935</v>
      </c>
      <c r="C154" s="160" t="s">
        <v>7109</v>
      </c>
      <c r="D154" s="1" t="s">
        <v>6800</v>
      </c>
      <c r="E154" s="1" t="s">
        <v>444</v>
      </c>
      <c r="F154" s="2">
        <v>29610141809</v>
      </c>
    </row>
    <row r="155" spans="1:6" hidden="1" outlineLevel="1">
      <c r="A155" s="1">
        <v>22</v>
      </c>
      <c r="B155" s="11">
        <v>43938</v>
      </c>
      <c r="C155" s="160">
        <v>166</v>
      </c>
      <c r="D155" s="1" t="s">
        <v>6811</v>
      </c>
      <c r="E155" s="1" t="s">
        <v>6866</v>
      </c>
      <c r="F155" s="2">
        <v>1918613331</v>
      </c>
    </row>
    <row r="156" spans="1:6" hidden="1" outlineLevel="1">
      <c r="A156" s="1">
        <v>23</v>
      </c>
      <c r="F156" s="2">
        <v>1918601438</v>
      </c>
    </row>
    <row r="157" spans="1:6" hidden="1" outlineLevel="1">
      <c r="A157" s="1">
        <v>24</v>
      </c>
      <c r="B157" s="11">
        <v>43993</v>
      </c>
      <c r="C157" s="160" t="s">
        <v>7110</v>
      </c>
      <c r="D157" s="1" t="s">
        <v>6812</v>
      </c>
      <c r="E157" s="1" t="s">
        <v>6867</v>
      </c>
      <c r="F157" s="2" t="s">
        <v>6926</v>
      </c>
    </row>
    <row r="158" spans="1:6" hidden="1" outlineLevel="1">
      <c r="A158" s="1">
        <v>25</v>
      </c>
      <c r="B158" s="11">
        <v>44004</v>
      </c>
      <c r="C158" s="160" t="s">
        <v>7111</v>
      </c>
      <c r="D158" s="1" t="s">
        <v>6800</v>
      </c>
      <c r="E158" s="1" t="s">
        <v>6868</v>
      </c>
      <c r="F158" s="2">
        <v>1919476797</v>
      </c>
    </row>
    <row r="159" spans="1:6" hidden="1" outlineLevel="1">
      <c r="A159" s="1">
        <v>26</v>
      </c>
      <c r="E159" s="1" t="s">
        <v>6868</v>
      </c>
      <c r="F159" s="2">
        <v>1919381986</v>
      </c>
    </row>
    <row r="160" spans="1:6" hidden="1" outlineLevel="1">
      <c r="A160" s="1">
        <v>27</v>
      </c>
      <c r="B160" s="11">
        <v>44029</v>
      </c>
      <c r="C160" s="160" t="s">
        <v>7112</v>
      </c>
      <c r="D160" s="1" t="s">
        <v>6800</v>
      </c>
      <c r="E160" s="1" t="s">
        <v>6869</v>
      </c>
      <c r="F160" s="2">
        <v>1919391506</v>
      </c>
    </row>
    <row r="161" spans="1:6" hidden="1" outlineLevel="1">
      <c r="A161" s="1">
        <v>28</v>
      </c>
      <c r="B161" s="11">
        <v>44046</v>
      </c>
      <c r="C161" s="160" t="s">
        <v>7113</v>
      </c>
      <c r="D161" s="1" t="s">
        <v>6800</v>
      </c>
      <c r="E161" s="1" t="s">
        <v>6870</v>
      </c>
      <c r="F161" s="2">
        <v>2020841092</v>
      </c>
    </row>
    <row r="162" spans="1:6" hidden="1" outlineLevel="1">
      <c r="A162" s="1">
        <v>29</v>
      </c>
      <c r="B162" s="11">
        <v>44061</v>
      </c>
      <c r="C162" s="160" t="s">
        <v>7114</v>
      </c>
      <c r="D162" s="1" t="s">
        <v>6800</v>
      </c>
      <c r="E162" s="1" t="s">
        <v>6821</v>
      </c>
      <c r="F162" s="2">
        <v>1919904764</v>
      </c>
    </row>
    <row r="163" spans="1:6" hidden="1" outlineLevel="1">
      <c r="A163" s="1">
        <v>30</v>
      </c>
      <c r="B163" s="11">
        <v>44068</v>
      </c>
      <c r="C163" s="160" t="s">
        <v>7115</v>
      </c>
      <c r="D163" s="1" t="s">
        <v>6800</v>
      </c>
      <c r="E163" s="1" t="s">
        <v>6871</v>
      </c>
      <c r="F163" s="2">
        <v>1919333187</v>
      </c>
    </row>
    <row r="164" spans="1:6" hidden="1" outlineLevel="1">
      <c r="A164" s="1">
        <v>31</v>
      </c>
      <c r="B164" s="11">
        <v>44069</v>
      </c>
      <c r="C164" s="160" t="s">
        <v>7116</v>
      </c>
      <c r="D164" s="1" t="s">
        <v>6800</v>
      </c>
      <c r="E164" s="1" t="s">
        <v>6872</v>
      </c>
      <c r="F164" s="2">
        <v>2020875303</v>
      </c>
    </row>
    <row r="165" spans="1:6" hidden="1" outlineLevel="1">
      <c r="A165" s="1">
        <v>32</v>
      </c>
      <c r="B165" s="11">
        <v>44078</v>
      </c>
      <c r="C165" s="160">
        <v>5998</v>
      </c>
      <c r="D165" s="1" t="s">
        <v>443</v>
      </c>
      <c r="E165" s="1" t="s">
        <v>6873</v>
      </c>
      <c r="F165" s="2">
        <v>39970025144</v>
      </c>
    </row>
    <row r="166" spans="1:6" hidden="1" outlineLevel="1">
      <c r="A166" s="1">
        <v>33</v>
      </c>
      <c r="B166" s="11">
        <v>44075</v>
      </c>
      <c r="C166" s="160">
        <v>5767</v>
      </c>
      <c r="D166" s="1" t="s">
        <v>443</v>
      </c>
      <c r="E166" s="1" t="s">
        <v>6873</v>
      </c>
      <c r="F166" s="2">
        <v>39970024147</v>
      </c>
    </row>
    <row r="167" spans="1:6" hidden="1" outlineLevel="1">
      <c r="A167" s="1">
        <v>34</v>
      </c>
      <c r="F167" s="2">
        <v>39970026568</v>
      </c>
    </row>
    <row r="168" spans="1:6" hidden="1" outlineLevel="1">
      <c r="A168" s="1">
        <v>35</v>
      </c>
      <c r="F168" s="2">
        <v>39970026593</v>
      </c>
    </row>
    <row r="169" spans="1:6" hidden="1" outlineLevel="1">
      <c r="A169" s="1">
        <v>36</v>
      </c>
      <c r="F169" s="2">
        <v>39970026581</v>
      </c>
    </row>
    <row r="170" spans="1:6" hidden="1" outlineLevel="1">
      <c r="A170" s="1">
        <v>37</v>
      </c>
      <c r="F170" s="2">
        <v>39970024560</v>
      </c>
    </row>
    <row r="171" spans="1:6" hidden="1" outlineLevel="1">
      <c r="A171" s="1">
        <v>38</v>
      </c>
      <c r="F171" s="2">
        <v>39970024179</v>
      </c>
    </row>
    <row r="172" spans="1:6" hidden="1" outlineLevel="1">
      <c r="A172" s="1">
        <v>39</v>
      </c>
      <c r="F172" s="2">
        <v>39970026447</v>
      </c>
    </row>
    <row r="173" spans="1:6" hidden="1" outlineLevel="1">
      <c r="A173" s="1">
        <v>40</v>
      </c>
      <c r="F173" s="2">
        <v>39970024148</v>
      </c>
    </row>
    <row r="174" spans="1:6" hidden="1" outlineLevel="1">
      <c r="A174" s="1">
        <v>41</v>
      </c>
      <c r="F174" s="2">
        <v>39970026309</v>
      </c>
    </row>
    <row r="175" spans="1:6" hidden="1" outlineLevel="1">
      <c r="A175" s="1">
        <v>42</v>
      </c>
      <c r="F175" s="2">
        <v>39970026443</v>
      </c>
    </row>
    <row r="176" spans="1:6" hidden="1" outlineLevel="1">
      <c r="A176" s="1">
        <v>43</v>
      </c>
      <c r="F176" s="2">
        <v>39970026511</v>
      </c>
    </row>
    <row r="177" spans="1:6" hidden="1" outlineLevel="1">
      <c r="A177" s="1">
        <v>44</v>
      </c>
      <c r="F177" s="2">
        <v>39970026308</v>
      </c>
    </row>
    <row r="178" spans="1:6" hidden="1" outlineLevel="1">
      <c r="A178" s="1">
        <v>45</v>
      </c>
      <c r="F178" s="2">
        <v>39970024567</v>
      </c>
    </row>
    <row r="179" spans="1:6" hidden="1" outlineLevel="1">
      <c r="A179" s="1">
        <v>46</v>
      </c>
      <c r="F179" s="2">
        <v>39970024463</v>
      </c>
    </row>
    <row r="180" spans="1:6" hidden="1" outlineLevel="1">
      <c r="A180" s="1">
        <v>47</v>
      </c>
      <c r="F180" s="2">
        <v>39970026455</v>
      </c>
    </row>
    <row r="181" spans="1:6" hidden="1" outlineLevel="1">
      <c r="A181" s="1">
        <v>48</v>
      </c>
      <c r="F181" s="2">
        <v>39970026576</v>
      </c>
    </row>
    <row r="182" spans="1:6" hidden="1" outlineLevel="1">
      <c r="A182" s="1">
        <v>49</v>
      </c>
      <c r="F182" s="2">
        <v>39970026444</v>
      </c>
    </row>
    <row r="183" spans="1:6" hidden="1" outlineLevel="1">
      <c r="A183" s="1">
        <v>50</v>
      </c>
      <c r="F183" s="2">
        <v>39970026578</v>
      </c>
    </row>
    <row r="184" spans="1:6" hidden="1" outlineLevel="1">
      <c r="A184" s="1">
        <v>51</v>
      </c>
      <c r="F184" s="2">
        <v>39970026456</v>
      </c>
    </row>
    <row r="185" spans="1:6" hidden="1" outlineLevel="1">
      <c r="A185" s="1">
        <v>52</v>
      </c>
      <c r="F185" s="2">
        <v>39970024570</v>
      </c>
    </row>
    <row r="186" spans="1:6" hidden="1" outlineLevel="1">
      <c r="A186" s="1">
        <v>53</v>
      </c>
      <c r="F186" s="2">
        <v>39970026582</v>
      </c>
    </row>
    <row r="187" spans="1:6" hidden="1" outlineLevel="1">
      <c r="A187" s="1">
        <v>54</v>
      </c>
      <c r="F187" s="2">
        <v>39970024185</v>
      </c>
    </row>
    <row r="188" spans="1:6" hidden="1" outlineLevel="1">
      <c r="A188" s="1">
        <v>55</v>
      </c>
      <c r="F188" s="2">
        <v>39970026446</v>
      </c>
    </row>
    <row r="189" spans="1:6" hidden="1" outlineLevel="1">
      <c r="A189" s="1">
        <v>56</v>
      </c>
      <c r="F189" s="2">
        <v>39970026310</v>
      </c>
    </row>
    <row r="190" spans="1:6" hidden="1" outlineLevel="1">
      <c r="A190" s="1">
        <v>57</v>
      </c>
      <c r="B190" s="11">
        <v>44084</v>
      </c>
      <c r="C190" s="160">
        <v>6318</v>
      </c>
      <c r="D190" s="1" t="s">
        <v>443</v>
      </c>
      <c r="E190" s="1" t="s">
        <v>445</v>
      </c>
      <c r="F190" s="2">
        <v>29360014149</v>
      </c>
    </row>
    <row r="191" spans="1:6" hidden="1" outlineLevel="1">
      <c r="A191" s="1">
        <v>58</v>
      </c>
      <c r="F191" s="2">
        <v>29360014014</v>
      </c>
    </row>
    <row r="192" spans="1:6" hidden="1" outlineLevel="1">
      <c r="A192" s="1">
        <v>59</v>
      </c>
      <c r="F192" s="2">
        <v>29360013891</v>
      </c>
    </row>
    <row r="193" spans="1:6" hidden="1" outlineLevel="1">
      <c r="A193" s="1">
        <v>60</v>
      </c>
      <c r="F193" s="2">
        <v>29360013892</v>
      </c>
    </row>
    <row r="194" spans="1:6" hidden="1" outlineLevel="1">
      <c r="A194" s="1">
        <v>61</v>
      </c>
      <c r="B194" s="11">
        <v>44084</v>
      </c>
      <c r="C194" s="160">
        <v>6319</v>
      </c>
      <c r="D194" s="1" t="s">
        <v>443</v>
      </c>
      <c r="E194" s="1" t="s">
        <v>6873</v>
      </c>
      <c r="F194" s="2">
        <v>39970021067</v>
      </c>
    </row>
    <row r="195" spans="1:6" hidden="1" outlineLevel="1">
      <c r="A195" s="1">
        <v>62</v>
      </c>
      <c r="B195" s="11">
        <v>44092</v>
      </c>
      <c r="C195" s="160">
        <v>6775</v>
      </c>
      <c r="D195" s="1" t="s">
        <v>443</v>
      </c>
      <c r="E195" s="1" t="s">
        <v>6874</v>
      </c>
      <c r="F195" s="2">
        <v>29760061837</v>
      </c>
    </row>
    <row r="196" spans="1:6" hidden="1" outlineLevel="1">
      <c r="A196" s="1">
        <v>63</v>
      </c>
      <c r="B196" s="11">
        <v>44091</v>
      </c>
      <c r="C196" s="160" t="s">
        <v>7117</v>
      </c>
      <c r="D196" s="1" t="s">
        <v>6800</v>
      </c>
      <c r="E196" s="1" t="s">
        <v>6875</v>
      </c>
      <c r="F196" s="2">
        <v>22319090205</v>
      </c>
    </row>
    <row r="197" spans="1:6" hidden="1" outlineLevel="1">
      <c r="A197" s="1">
        <v>64</v>
      </c>
      <c r="F197" s="2">
        <v>22319090581</v>
      </c>
    </row>
    <row r="198" spans="1:6" hidden="1" outlineLevel="1">
      <c r="A198" s="1">
        <v>65</v>
      </c>
      <c r="B198" s="11">
        <v>44098</v>
      </c>
      <c r="C198" s="160" t="s">
        <v>7118</v>
      </c>
      <c r="D198" s="1" t="s">
        <v>6800</v>
      </c>
      <c r="E198" s="1" t="s">
        <v>6876</v>
      </c>
      <c r="F198" s="2">
        <v>2021467898</v>
      </c>
    </row>
    <row r="199" spans="1:6" hidden="1" outlineLevel="1">
      <c r="A199" s="1">
        <v>66</v>
      </c>
      <c r="B199" s="11">
        <v>44102</v>
      </c>
      <c r="C199" s="160" t="s">
        <v>7119</v>
      </c>
      <c r="D199" s="1" t="s">
        <v>6800</v>
      </c>
      <c r="E199" s="1" t="s">
        <v>6877</v>
      </c>
      <c r="F199" s="2">
        <v>2021318940</v>
      </c>
    </row>
    <row r="200" spans="1:6" hidden="1" outlineLevel="1">
      <c r="A200" s="1">
        <v>67</v>
      </c>
      <c r="B200" s="11">
        <v>44105</v>
      </c>
      <c r="C200" s="160">
        <v>7704</v>
      </c>
      <c r="D200" s="1" t="s">
        <v>443</v>
      </c>
      <c r="E200" s="1" t="s">
        <v>6878</v>
      </c>
      <c r="F200" s="2">
        <v>41160034193</v>
      </c>
    </row>
    <row r="201" spans="1:6" hidden="1" outlineLevel="1">
      <c r="A201" s="1">
        <v>68</v>
      </c>
      <c r="B201" s="11">
        <v>44120</v>
      </c>
      <c r="C201" s="160">
        <v>8884</v>
      </c>
      <c r="D201" s="1" t="s">
        <v>450</v>
      </c>
      <c r="E201" s="1" t="s">
        <v>6879</v>
      </c>
      <c r="F201" s="2">
        <v>29610156703</v>
      </c>
    </row>
    <row r="202" spans="1:6" hidden="1" outlineLevel="1">
      <c r="A202" s="1">
        <v>69</v>
      </c>
      <c r="F202" s="2">
        <v>29610156527</v>
      </c>
    </row>
    <row r="203" spans="1:6" hidden="1" outlineLevel="1">
      <c r="A203" s="1">
        <v>70</v>
      </c>
      <c r="B203" s="11">
        <v>44092</v>
      </c>
      <c r="C203" s="160" t="s">
        <v>7120</v>
      </c>
      <c r="D203" s="1" t="s">
        <v>6800</v>
      </c>
      <c r="E203" s="1" t="s">
        <v>6880</v>
      </c>
      <c r="F203" s="2">
        <v>2020813484</v>
      </c>
    </row>
    <row r="204" spans="1:6" hidden="1" outlineLevel="1">
      <c r="A204" s="1">
        <v>71</v>
      </c>
      <c r="B204" s="11">
        <v>44116</v>
      </c>
      <c r="C204" s="160" t="s">
        <v>7121</v>
      </c>
      <c r="D204" s="1" t="s">
        <v>6800</v>
      </c>
      <c r="E204" s="1" t="s">
        <v>6881</v>
      </c>
      <c r="F204" s="2">
        <v>2021881971</v>
      </c>
    </row>
    <row r="205" spans="1:6" hidden="1" outlineLevel="1">
      <c r="A205" s="1">
        <v>72</v>
      </c>
      <c r="E205" s="1" t="s">
        <v>6882</v>
      </c>
      <c r="F205" s="2">
        <v>2021467880</v>
      </c>
    </row>
    <row r="206" spans="1:6" hidden="1" outlineLevel="1">
      <c r="A206" s="1">
        <v>73</v>
      </c>
      <c r="B206" s="11">
        <v>44123</v>
      </c>
      <c r="C206" s="160" t="s">
        <v>7122</v>
      </c>
      <c r="D206" s="1" t="s">
        <v>6800</v>
      </c>
      <c r="E206" s="1" t="s">
        <v>6883</v>
      </c>
      <c r="F206" s="2">
        <v>2021697887</v>
      </c>
    </row>
    <row r="207" spans="1:6" hidden="1" outlineLevel="1">
      <c r="A207" s="1">
        <v>74</v>
      </c>
      <c r="B207" s="11">
        <v>44124</v>
      </c>
      <c r="C207" s="160" t="s">
        <v>7123</v>
      </c>
      <c r="D207" s="1" t="s">
        <v>6800</v>
      </c>
      <c r="E207" s="1" t="s">
        <v>6884</v>
      </c>
      <c r="F207" s="2">
        <v>2021736416</v>
      </c>
    </row>
    <row r="208" spans="1:6" hidden="1" outlineLevel="1">
      <c r="A208" s="1">
        <v>75</v>
      </c>
      <c r="E208" s="1" t="s">
        <v>6885</v>
      </c>
      <c r="F208" s="2">
        <v>2021868061</v>
      </c>
    </row>
    <row r="209" spans="1:6" hidden="1" outlineLevel="1">
      <c r="A209" s="1">
        <v>76</v>
      </c>
      <c r="F209" s="2">
        <v>2021868063</v>
      </c>
    </row>
    <row r="210" spans="1:6" hidden="1" outlineLevel="1">
      <c r="A210" s="1">
        <v>77</v>
      </c>
      <c r="B210" s="11">
        <v>44130</v>
      </c>
      <c r="C210" s="160" t="s">
        <v>7124</v>
      </c>
      <c r="D210" s="1" t="s">
        <v>6800</v>
      </c>
      <c r="E210" s="1" t="s">
        <v>6886</v>
      </c>
      <c r="F210" s="2">
        <v>2021852870</v>
      </c>
    </row>
    <row r="211" spans="1:6" hidden="1" outlineLevel="1">
      <c r="A211" s="1">
        <v>78</v>
      </c>
      <c r="F211" s="2">
        <v>2021852734</v>
      </c>
    </row>
    <row r="212" spans="1:6" hidden="1" outlineLevel="1">
      <c r="A212" s="1">
        <v>79</v>
      </c>
      <c r="B212" s="11">
        <v>44131</v>
      </c>
      <c r="C212" s="160" t="s">
        <v>7125</v>
      </c>
      <c r="D212" s="1" t="s">
        <v>6800</v>
      </c>
      <c r="E212" s="1" t="s">
        <v>6884</v>
      </c>
      <c r="F212" s="2">
        <v>2021736402</v>
      </c>
    </row>
    <row r="213" spans="1:6" hidden="1" outlineLevel="1">
      <c r="A213" s="1">
        <v>80</v>
      </c>
      <c r="B213" s="11">
        <v>44137</v>
      </c>
      <c r="C213" s="160" t="s">
        <v>7126</v>
      </c>
      <c r="D213" s="1" t="s">
        <v>6800</v>
      </c>
      <c r="E213" s="1" t="s">
        <v>6884</v>
      </c>
      <c r="F213" s="2">
        <v>2022096020</v>
      </c>
    </row>
    <row r="214" spans="1:6" hidden="1" outlineLevel="1">
      <c r="A214" s="1">
        <v>81</v>
      </c>
      <c r="E214" s="1" t="s">
        <v>6887</v>
      </c>
      <c r="F214" s="2">
        <v>2021868059</v>
      </c>
    </row>
    <row r="215" spans="1:6" hidden="1" outlineLevel="1">
      <c r="A215" s="1">
        <v>82</v>
      </c>
      <c r="B215" s="11">
        <v>44148</v>
      </c>
      <c r="C215" s="160" t="s">
        <v>7127</v>
      </c>
      <c r="D215" s="1" t="s">
        <v>6800</v>
      </c>
      <c r="E215" s="1" t="s">
        <v>6884</v>
      </c>
      <c r="F215" s="2">
        <v>2022165679</v>
      </c>
    </row>
    <row r="216" spans="1:6" hidden="1" outlineLevel="1">
      <c r="A216" s="1">
        <v>83</v>
      </c>
      <c r="B216" s="11">
        <v>44148</v>
      </c>
      <c r="C216" s="160" t="s">
        <v>7128</v>
      </c>
      <c r="D216" s="1" t="s">
        <v>6800</v>
      </c>
      <c r="E216" s="1" t="s">
        <v>6884</v>
      </c>
      <c r="F216" s="2">
        <v>2022165791</v>
      </c>
    </row>
    <row r="217" spans="1:6" hidden="1" outlineLevel="1">
      <c r="A217" s="1">
        <v>84</v>
      </c>
      <c r="B217" s="11">
        <v>44148</v>
      </c>
      <c r="C217" s="160" t="s">
        <v>7073</v>
      </c>
      <c r="D217" s="1" t="s">
        <v>6800</v>
      </c>
      <c r="E217" s="1" t="s">
        <v>6884</v>
      </c>
      <c r="F217" s="2">
        <v>2022165818</v>
      </c>
    </row>
    <row r="218" spans="1:6" hidden="1" outlineLevel="1">
      <c r="A218" s="1">
        <v>85</v>
      </c>
      <c r="B218" s="11">
        <v>44147</v>
      </c>
      <c r="C218" s="160">
        <v>11166</v>
      </c>
      <c r="D218" s="1" t="s">
        <v>443</v>
      </c>
      <c r="E218" s="1" t="s">
        <v>6888</v>
      </c>
      <c r="F218" s="2">
        <v>39970028023</v>
      </c>
    </row>
    <row r="219" spans="1:6" hidden="1" outlineLevel="1">
      <c r="A219" s="1">
        <v>86</v>
      </c>
      <c r="F219" s="2">
        <v>39970027671</v>
      </c>
    </row>
    <row r="220" spans="1:6" hidden="1" outlineLevel="1">
      <c r="A220" s="1">
        <v>87</v>
      </c>
      <c r="F220" s="2">
        <v>39970027672</v>
      </c>
    </row>
    <row r="221" spans="1:6" hidden="1" outlineLevel="1">
      <c r="A221" s="1">
        <v>88</v>
      </c>
      <c r="F221" s="2">
        <v>39970028066</v>
      </c>
    </row>
    <row r="222" spans="1:6" hidden="1" outlineLevel="1">
      <c r="A222" s="1">
        <v>89</v>
      </c>
      <c r="F222" s="2">
        <v>39970027811</v>
      </c>
    </row>
    <row r="223" spans="1:6" hidden="1" outlineLevel="1">
      <c r="A223" s="1">
        <v>90</v>
      </c>
      <c r="F223" s="2">
        <v>39970028067</v>
      </c>
    </row>
    <row r="224" spans="1:6" hidden="1" outlineLevel="1">
      <c r="A224" s="1">
        <v>91</v>
      </c>
      <c r="F224" s="2">
        <v>39970028048</v>
      </c>
    </row>
    <row r="225" spans="1:6" hidden="1" outlineLevel="1">
      <c r="A225" s="1">
        <v>92</v>
      </c>
      <c r="F225" s="2">
        <v>39970027687</v>
      </c>
    </row>
    <row r="226" spans="1:6" hidden="1" outlineLevel="1">
      <c r="A226" s="1">
        <v>93</v>
      </c>
      <c r="F226" s="2">
        <v>39970028114</v>
      </c>
    </row>
    <row r="227" spans="1:6" hidden="1" outlineLevel="1">
      <c r="A227" s="1">
        <v>94</v>
      </c>
      <c r="F227" s="2">
        <v>39970027673</v>
      </c>
    </row>
    <row r="228" spans="1:6" hidden="1" outlineLevel="1">
      <c r="A228" s="1">
        <v>95</v>
      </c>
      <c r="F228" s="2">
        <v>39970027708</v>
      </c>
    </row>
    <row r="229" spans="1:6" hidden="1" outlineLevel="1">
      <c r="A229" s="1">
        <v>96</v>
      </c>
      <c r="F229" s="2">
        <v>39970028062</v>
      </c>
    </row>
    <row r="230" spans="1:6" hidden="1" outlineLevel="1">
      <c r="A230" s="1">
        <v>97</v>
      </c>
      <c r="F230" s="2">
        <v>39970027675</v>
      </c>
    </row>
    <row r="231" spans="1:6" hidden="1" outlineLevel="1">
      <c r="A231" s="1">
        <v>98</v>
      </c>
      <c r="E231" s="1" t="s">
        <v>6889</v>
      </c>
      <c r="F231" s="2">
        <v>29360015160</v>
      </c>
    </row>
    <row r="232" spans="1:6" hidden="1" outlineLevel="1">
      <c r="A232" s="1">
        <v>99</v>
      </c>
      <c r="F232" s="2">
        <v>29360015193</v>
      </c>
    </row>
    <row r="233" spans="1:6" hidden="1" outlineLevel="1">
      <c r="A233" s="1">
        <v>100</v>
      </c>
      <c r="F233" s="2">
        <v>29360015021</v>
      </c>
    </row>
    <row r="234" spans="1:6" hidden="1" outlineLevel="1">
      <c r="A234" s="1">
        <v>101</v>
      </c>
      <c r="F234" s="2">
        <v>29360015068</v>
      </c>
    </row>
    <row r="235" spans="1:6" hidden="1" outlineLevel="1">
      <c r="A235" s="1">
        <v>102</v>
      </c>
      <c r="F235" s="2">
        <v>29360015122</v>
      </c>
    </row>
    <row r="236" spans="1:6" hidden="1" outlineLevel="1">
      <c r="A236" s="1">
        <v>103</v>
      </c>
      <c r="F236" s="2">
        <v>29360015066</v>
      </c>
    </row>
    <row r="237" spans="1:6" hidden="1" outlineLevel="1">
      <c r="A237" s="1">
        <v>104</v>
      </c>
      <c r="F237" s="2">
        <v>29360015067</v>
      </c>
    </row>
    <row r="238" spans="1:6" hidden="1" outlineLevel="1">
      <c r="A238" s="1">
        <v>105</v>
      </c>
      <c r="F238" s="2">
        <v>29360015059</v>
      </c>
    </row>
    <row r="239" spans="1:6" hidden="1" outlineLevel="1">
      <c r="A239" s="1">
        <v>106</v>
      </c>
      <c r="F239" s="2">
        <v>29360015334</v>
      </c>
    </row>
    <row r="240" spans="1:6" hidden="1" outlineLevel="1">
      <c r="A240" s="1">
        <v>107</v>
      </c>
      <c r="F240" s="2">
        <v>29360015060</v>
      </c>
    </row>
    <row r="241" spans="1:14" hidden="1" outlineLevel="1">
      <c r="A241" s="1">
        <v>108</v>
      </c>
      <c r="F241" s="2">
        <v>29360015121</v>
      </c>
    </row>
    <row r="242" spans="1:14" hidden="1" outlineLevel="1">
      <c r="A242" s="1">
        <v>109</v>
      </c>
      <c r="F242" s="2">
        <v>29360015062</v>
      </c>
    </row>
    <row r="243" spans="1:14" hidden="1" outlineLevel="1">
      <c r="A243" s="1">
        <v>110</v>
      </c>
      <c r="F243" s="2">
        <v>29360015172</v>
      </c>
    </row>
    <row r="244" spans="1:14" hidden="1" outlineLevel="1">
      <c r="A244" s="1">
        <v>111</v>
      </c>
      <c r="B244" s="11">
        <v>44154</v>
      </c>
      <c r="C244" s="160" t="s">
        <v>7129</v>
      </c>
      <c r="D244" s="1" t="s">
        <v>6800</v>
      </c>
      <c r="E244" s="1" t="s">
        <v>6890</v>
      </c>
      <c r="F244" s="2">
        <v>2021868044</v>
      </c>
    </row>
    <row r="245" spans="1:14" hidden="1" outlineLevel="1">
      <c r="A245" s="1">
        <v>112</v>
      </c>
      <c r="B245" s="11">
        <v>44154</v>
      </c>
      <c r="C245" s="160">
        <v>11915</v>
      </c>
      <c r="D245" s="1" t="s">
        <v>443</v>
      </c>
      <c r="E245" s="1" t="s">
        <v>6891</v>
      </c>
      <c r="F245" s="2">
        <v>41160036951</v>
      </c>
    </row>
    <row r="246" spans="1:14" hidden="1" outlineLevel="1">
      <c r="A246" s="1">
        <v>113</v>
      </c>
      <c r="B246" s="11">
        <v>44154</v>
      </c>
      <c r="C246" s="160">
        <v>12015</v>
      </c>
      <c r="D246" s="1" t="s">
        <v>443</v>
      </c>
      <c r="E246" s="1" t="s">
        <v>6891</v>
      </c>
      <c r="F246" s="2">
        <v>41160036915</v>
      </c>
    </row>
    <row r="247" spans="1:14" hidden="1" outlineLevel="1">
      <c r="A247" s="1">
        <v>114</v>
      </c>
      <c r="B247" s="11">
        <v>44161</v>
      </c>
      <c r="C247" s="160" t="s">
        <v>7130</v>
      </c>
      <c r="D247" s="1" t="s">
        <v>6800</v>
      </c>
      <c r="E247" s="1" t="s">
        <v>6892</v>
      </c>
      <c r="F247" s="2" t="s">
        <v>6927</v>
      </c>
    </row>
    <row r="248" spans="1:14" hidden="1" outlineLevel="1">
      <c r="A248" s="1">
        <v>115</v>
      </c>
      <c r="B248" s="11">
        <v>44161</v>
      </c>
      <c r="C248" s="160" t="s">
        <v>7131</v>
      </c>
      <c r="D248" s="1" t="s">
        <v>6800</v>
      </c>
      <c r="E248" s="1" t="s">
        <v>6893</v>
      </c>
      <c r="F248" s="2">
        <v>2022407747</v>
      </c>
      <c r="N248" s="2" t="s">
        <v>6932</v>
      </c>
    </row>
    <row r="249" spans="1:14" hidden="1" outlineLevel="1">
      <c r="A249" s="1">
        <v>116</v>
      </c>
      <c r="B249" s="11">
        <v>44160</v>
      </c>
      <c r="C249" s="160" t="s">
        <v>7132</v>
      </c>
      <c r="D249" s="1" t="s">
        <v>7159</v>
      </c>
      <c r="E249" s="1" t="s">
        <v>6893</v>
      </c>
      <c r="F249" s="2">
        <v>2022407716</v>
      </c>
      <c r="N249" s="2" t="s">
        <v>6933</v>
      </c>
    </row>
    <row r="250" spans="1:14" hidden="1" outlineLevel="1">
      <c r="A250" s="1">
        <v>117</v>
      </c>
      <c r="B250" s="11">
        <v>44166</v>
      </c>
      <c r="C250" s="160">
        <v>13089</v>
      </c>
      <c r="D250" s="1" t="s">
        <v>443</v>
      </c>
      <c r="E250" s="1" t="s">
        <v>6891</v>
      </c>
      <c r="F250" s="2">
        <v>41160038806</v>
      </c>
    </row>
    <row r="251" spans="1:14" hidden="1" outlineLevel="1">
      <c r="A251" s="1">
        <v>118</v>
      </c>
      <c r="F251" s="2">
        <v>41160039043</v>
      </c>
    </row>
    <row r="252" spans="1:14" hidden="1" outlineLevel="1">
      <c r="A252" s="1">
        <v>119</v>
      </c>
      <c r="F252" s="2">
        <v>41160038811</v>
      </c>
    </row>
    <row r="253" spans="1:14" hidden="1" outlineLevel="1">
      <c r="A253" s="1">
        <v>120</v>
      </c>
      <c r="B253" s="11">
        <v>44167</v>
      </c>
      <c r="C253" s="160">
        <v>13234</v>
      </c>
      <c r="D253" s="1" t="s">
        <v>443</v>
      </c>
      <c r="E253" s="1" t="s">
        <v>6894</v>
      </c>
      <c r="F253" s="2">
        <v>40120020687</v>
      </c>
    </row>
    <row r="254" spans="1:14" hidden="1" outlineLevel="1">
      <c r="A254" s="1">
        <v>121</v>
      </c>
      <c r="B254" s="11">
        <v>44175</v>
      </c>
      <c r="C254" s="160" t="s">
        <v>7133</v>
      </c>
      <c r="D254" s="1" t="s">
        <v>6800</v>
      </c>
      <c r="E254" s="1" t="s">
        <v>6895</v>
      </c>
      <c r="F254" s="2">
        <v>2022385934</v>
      </c>
      <c r="N254" s="2" t="s">
        <v>6934</v>
      </c>
    </row>
    <row r="255" spans="1:14" hidden="1" outlineLevel="1">
      <c r="A255" s="1">
        <v>122</v>
      </c>
      <c r="F255" s="2">
        <v>2022385910</v>
      </c>
      <c r="N255" s="2" t="s">
        <v>6934</v>
      </c>
    </row>
    <row r="256" spans="1:14" hidden="1" outlineLevel="1">
      <c r="A256" s="1">
        <v>123</v>
      </c>
      <c r="F256" s="2">
        <v>2022385911</v>
      </c>
      <c r="N256" s="2" t="s">
        <v>6935</v>
      </c>
    </row>
    <row r="257" spans="1:26" hidden="1" outlineLevel="1">
      <c r="A257" s="1">
        <v>124</v>
      </c>
      <c r="B257" s="11">
        <v>44176</v>
      </c>
      <c r="C257" s="160">
        <v>14290</v>
      </c>
      <c r="D257" s="1" t="s">
        <v>443</v>
      </c>
      <c r="E257" s="1" t="s">
        <v>6896</v>
      </c>
      <c r="F257" s="2">
        <v>41960012081</v>
      </c>
    </row>
    <row r="258" spans="1:26" hidden="1" outlineLevel="1">
      <c r="A258" s="4">
        <v>125</v>
      </c>
      <c r="B258" s="24">
        <v>44182</v>
      </c>
      <c r="C258" s="158" t="s">
        <v>7134</v>
      </c>
      <c r="D258" s="4"/>
      <c r="E258" s="4" t="s">
        <v>6897</v>
      </c>
      <c r="G258" s="4"/>
      <c r="H258" s="4"/>
      <c r="J258" s="24"/>
      <c r="K258" s="4"/>
      <c r="L258" s="24"/>
      <c r="N258" s="2" t="s">
        <v>6936</v>
      </c>
      <c r="P258" s="4"/>
      <c r="Q258" s="68"/>
      <c r="R258" s="68"/>
      <c r="S258" s="68"/>
      <c r="T258" s="68"/>
      <c r="U258" s="68"/>
      <c r="V258" s="68"/>
      <c r="W258" s="68"/>
      <c r="X258" s="68"/>
      <c r="Y258" s="68"/>
      <c r="Z258" s="68"/>
    </row>
    <row r="259" spans="1:26" hidden="1" outlineLevel="1">
      <c r="A259" s="1">
        <v>126</v>
      </c>
      <c r="B259" s="11">
        <v>44188</v>
      </c>
      <c r="C259" s="160" t="s">
        <v>7083</v>
      </c>
      <c r="D259" s="1" t="s">
        <v>6813</v>
      </c>
      <c r="E259" s="1" t="s">
        <v>6898</v>
      </c>
      <c r="F259" s="2">
        <v>2022517338</v>
      </c>
      <c r="N259" s="2" t="s">
        <v>6937</v>
      </c>
    </row>
    <row r="260" spans="1:26" hidden="1" outlineLevel="1">
      <c r="A260" s="1">
        <v>127</v>
      </c>
      <c r="B260" s="11">
        <v>44189</v>
      </c>
      <c r="C260" s="160" t="s">
        <v>7135</v>
      </c>
      <c r="D260" s="1" t="s">
        <v>6800</v>
      </c>
      <c r="E260" s="1" t="s">
        <v>6899</v>
      </c>
      <c r="F260" s="2">
        <v>2022538866</v>
      </c>
      <c r="N260" s="2" t="s">
        <v>6938</v>
      </c>
    </row>
    <row r="261" spans="1:26" hidden="1" outlineLevel="1">
      <c r="A261" s="1">
        <v>128</v>
      </c>
      <c r="B261" s="11">
        <v>44190</v>
      </c>
      <c r="C261" s="160">
        <v>15655</v>
      </c>
      <c r="D261" s="1" t="s">
        <v>443</v>
      </c>
      <c r="E261" s="1" t="s">
        <v>6896</v>
      </c>
      <c r="F261" s="2">
        <v>41960012803</v>
      </c>
    </row>
    <row r="262" spans="1:26" hidden="1" outlineLevel="1">
      <c r="A262" s="1">
        <v>129</v>
      </c>
      <c r="B262" s="11">
        <v>44214</v>
      </c>
      <c r="C262" s="160">
        <v>644</v>
      </c>
      <c r="D262" s="1" t="s">
        <v>443</v>
      </c>
      <c r="E262" s="1" t="s">
        <v>446</v>
      </c>
      <c r="F262" s="2">
        <v>39970030631</v>
      </c>
    </row>
    <row r="263" spans="1:26" hidden="1" outlineLevel="1">
      <c r="A263" s="1">
        <v>130</v>
      </c>
      <c r="E263" s="1" t="s">
        <v>6900</v>
      </c>
      <c r="F263" s="2">
        <v>41160042706</v>
      </c>
    </row>
    <row r="264" spans="1:26" hidden="1" outlineLevel="1">
      <c r="A264" s="1">
        <v>131</v>
      </c>
      <c r="B264" s="11">
        <v>44217</v>
      </c>
      <c r="C264" s="160">
        <v>1062</v>
      </c>
      <c r="D264" s="1" t="s">
        <v>443</v>
      </c>
      <c r="E264" s="1" t="s">
        <v>6901</v>
      </c>
      <c r="F264" s="2">
        <v>29610154479</v>
      </c>
    </row>
    <row r="265" spans="1:26" hidden="1" outlineLevel="1">
      <c r="A265" s="1">
        <v>132</v>
      </c>
      <c r="B265" s="11">
        <v>44219</v>
      </c>
      <c r="C265" s="160" t="s">
        <v>7136</v>
      </c>
      <c r="D265" s="1" t="s">
        <v>6800</v>
      </c>
      <c r="E265" s="1" t="s">
        <v>6902</v>
      </c>
      <c r="F265" s="2">
        <v>2022961337</v>
      </c>
    </row>
    <row r="266" spans="1:26" hidden="1" outlineLevel="1">
      <c r="A266" s="1">
        <v>133</v>
      </c>
      <c r="B266" s="11">
        <v>44225</v>
      </c>
      <c r="C266" s="160">
        <v>1757</v>
      </c>
      <c r="D266" s="1" t="s">
        <v>443</v>
      </c>
      <c r="E266" s="1" t="s">
        <v>6894</v>
      </c>
      <c r="F266" s="2">
        <v>40120019131</v>
      </c>
    </row>
    <row r="267" spans="1:26" hidden="1" outlineLevel="1">
      <c r="A267" s="1">
        <v>134</v>
      </c>
      <c r="B267" s="11">
        <v>44247</v>
      </c>
      <c r="C267" s="160" t="s">
        <v>7137</v>
      </c>
      <c r="D267" s="1" t="s">
        <v>6800</v>
      </c>
      <c r="E267" s="1" t="s">
        <v>6903</v>
      </c>
      <c r="F267" s="2">
        <v>11119090094</v>
      </c>
    </row>
    <row r="268" spans="1:26" hidden="1" outlineLevel="1">
      <c r="A268" s="1">
        <v>135</v>
      </c>
      <c r="B268" s="11">
        <v>44247</v>
      </c>
      <c r="C268" s="160" t="s">
        <v>7138</v>
      </c>
      <c r="D268" s="1" t="s">
        <v>6800</v>
      </c>
      <c r="E268" s="1" t="s">
        <v>6902</v>
      </c>
      <c r="F268" s="2">
        <v>2123369261</v>
      </c>
    </row>
    <row r="269" spans="1:26" hidden="1" outlineLevel="1">
      <c r="A269" s="1">
        <v>136</v>
      </c>
      <c r="B269" s="11">
        <v>44236</v>
      </c>
      <c r="C269" s="160">
        <v>2472</v>
      </c>
      <c r="D269" s="1" t="s">
        <v>443</v>
      </c>
      <c r="E269" s="1" t="s">
        <v>6873</v>
      </c>
      <c r="F269" s="2">
        <v>39970031132</v>
      </c>
    </row>
    <row r="270" spans="1:26" hidden="1" outlineLevel="1">
      <c r="A270" s="1">
        <v>137</v>
      </c>
      <c r="F270" s="2">
        <v>39970030967</v>
      </c>
    </row>
    <row r="271" spans="1:26" hidden="1" outlineLevel="1">
      <c r="A271" s="1">
        <v>138</v>
      </c>
      <c r="F271" s="2">
        <v>39970031106</v>
      </c>
    </row>
    <row r="272" spans="1:26" hidden="1" outlineLevel="1">
      <c r="A272" s="1">
        <v>139</v>
      </c>
      <c r="F272" s="2">
        <v>39970031103</v>
      </c>
    </row>
    <row r="273" spans="1:6" hidden="1" outlineLevel="1">
      <c r="A273" s="1">
        <v>140</v>
      </c>
      <c r="F273" s="2">
        <v>39970031083</v>
      </c>
    </row>
    <row r="274" spans="1:6" hidden="1" outlineLevel="1">
      <c r="A274" s="1">
        <v>141</v>
      </c>
      <c r="F274" s="2">
        <v>39970031105</v>
      </c>
    </row>
    <row r="275" spans="1:6" hidden="1" outlineLevel="1">
      <c r="A275" s="1">
        <v>142</v>
      </c>
      <c r="F275" s="2">
        <v>39970031057</v>
      </c>
    </row>
    <row r="276" spans="1:6" hidden="1" outlineLevel="1">
      <c r="A276" s="1">
        <v>143</v>
      </c>
      <c r="F276" s="2">
        <v>39970031131</v>
      </c>
    </row>
    <row r="277" spans="1:6" hidden="1" outlineLevel="1">
      <c r="A277" s="1">
        <v>144</v>
      </c>
      <c r="F277" s="2">
        <v>39970031072</v>
      </c>
    </row>
    <row r="278" spans="1:6" hidden="1" outlineLevel="1">
      <c r="A278" s="1">
        <v>145</v>
      </c>
      <c r="F278" s="2">
        <v>39970030970</v>
      </c>
    </row>
    <row r="279" spans="1:6" hidden="1" outlineLevel="1">
      <c r="A279" s="1">
        <v>146</v>
      </c>
      <c r="B279" s="11">
        <v>44260</v>
      </c>
      <c r="C279" s="160" t="s">
        <v>7139</v>
      </c>
      <c r="D279" s="1" t="s">
        <v>6800</v>
      </c>
      <c r="E279" s="1" t="s">
        <v>6904</v>
      </c>
      <c r="F279" s="2">
        <v>2022228472</v>
      </c>
    </row>
    <row r="280" spans="1:6" hidden="1" outlineLevel="1">
      <c r="A280" s="1">
        <v>147</v>
      </c>
      <c r="B280" s="11">
        <v>44336</v>
      </c>
      <c r="C280" s="160" t="s">
        <v>7140</v>
      </c>
      <c r="D280" s="1" t="s">
        <v>6800</v>
      </c>
      <c r="E280" s="1" t="s">
        <v>6905</v>
      </c>
      <c r="F280" s="2">
        <v>2124240840</v>
      </c>
    </row>
    <row r="281" spans="1:6" hidden="1" outlineLevel="1">
      <c r="A281" s="1">
        <v>148</v>
      </c>
      <c r="B281" s="11">
        <v>44390</v>
      </c>
      <c r="C281" s="160">
        <v>7097</v>
      </c>
      <c r="D281" s="1" t="s">
        <v>443</v>
      </c>
      <c r="E281" s="1" t="s">
        <v>444</v>
      </c>
      <c r="F281" s="2">
        <v>29610196492</v>
      </c>
    </row>
    <row r="282" spans="1:6" hidden="1" outlineLevel="1">
      <c r="A282" s="1">
        <v>149</v>
      </c>
      <c r="B282" s="11">
        <v>44403</v>
      </c>
      <c r="C282" s="160" t="s">
        <v>7141</v>
      </c>
      <c r="D282" s="1" t="s">
        <v>6800</v>
      </c>
      <c r="E282" s="1" t="s">
        <v>6906</v>
      </c>
      <c r="F282" s="2">
        <v>2124039216</v>
      </c>
    </row>
    <row r="283" spans="1:6" hidden="1" outlineLevel="1">
      <c r="A283" s="1">
        <v>150</v>
      </c>
      <c r="B283" s="11">
        <v>44403</v>
      </c>
      <c r="C283" s="160" t="s">
        <v>7067</v>
      </c>
      <c r="D283" s="1" t="s">
        <v>6800</v>
      </c>
      <c r="E283" s="1" t="s">
        <v>6907</v>
      </c>
      <c r="F283" s="2">
        <v>2125060142</v>
      </c>
    </row>
    <row r="284" spans="1:6" hidden="1" outlineLevel="1">
      <c r="A284" s="1">
        <v>151</v>
      </c>
      <c r="B284" s="11">
        <v>44403</v>
      </c>
      <c r="C284" s="160">
        <v>7355</v>
      </c>
      <c r="D284" s="1" t="s">
        <v>443</v>
      </c>
      <c r="E284" s="1" t="s">
        <v>446</v>
      </c>
      <c r="F284" s="2">
        <v>39970037025</v>
      </c>
    </row>
    <row r="285" spans="1:6" hidden="1" outlineLevel="1">
      <c r="A285" s="1">
        <v>152</v>
      </c>
      <c r="B285" s="11">
        <v>44456</v>
      </c>
      <c r="C285" s="160">
        <v>9791</v>
      </c>
      <c r="D285" s="1" t="s">
        <v>443</v>
      </c>
      <c r="E285" s="1" t="s">
        <v>449</v>
      </c>
      <c r="F285" s="2">
        <v>29760064773</v>
      </c>
    </row>
    <row r="286" spans="1:6" hidden="1" outlineLevel="1">
      <c r="A286" s="1">
        <v>153</v>
      </c>
      <c r="F286" s="2">
        <v>29760064804</v>
      </c>
    </row>
    <row r="287" spans="1:6" hidden="1" outlineLevel="1">
      <c r="A287" s="1">
        <v>154</v>
      </c>
      <c r="B287" s="11">
        <v>44453</v>
      </c>
      <c r="C287" s="160">
        <v>9420</v>
      </c>
      <c r="D287" s="1" t="s">
        <v>443</v>
      </c>
      <c r="E287" s="1" t="s">
        <v>6908</v>
      </c>
      <c r="F287" s="2">
        <v>44560005306</v>
      </c>
    </row>
    <row r="288" spans="1:6" hidden="1" outlineLevel="1">
      <c r="A288" s="1">
        <v>155</v>
      </c>
      <c r="B288" s="11">
        <v>44453</v>
      </c>
      <c r="C288" s="160">
        <v>9431</v>
      </c>
      <c r="D288" s="1" t="s">
        <v>443</v>
      </c>
      <c r="E288" s="1" t="s">
        <v>6909</v>
      </c>
      <c r="F288" s="2" t="s">
        <v>6928</v>
      </c>
    </row>
    <row r="289" spans="1:6" hidden="1" outlineLevel="1">
      <c r="A289" s="1">
        <v>156</v>
      </c>
      <c r="B289" s="11">
        <v>44468</v>
      </c>
      <c r="C289" s="160">
        <v>10863</v>
      </c>
      <c r="D289" s="1" t="s">
        <v>443</v>
      </c>
      <c r="E289" s="1" t="s">
        <v>6910</v>
      </c>
      <c r="F289" s="2">
        <v>29760063495</v>
      </c>
    </row>
    <row r="290" spans="1:6" hidden="1" outlineLevel="1">
      <c r="A290" s="1">
        <v>157</v>
      </c>
      <c r="B290" s="11">
        <v>44469</v>
      </c>
      <c r="C290" s="160">
        <v>11082</v>
      </c>
      <c r="D290" s="1" t="s">
        <v>443</v>
      </c>
      <c r="E290" s="1" t="s">
        <v>6911</v>
      </c>
      <c r="F290" s="2" t="s">
        <v>6929</v>
      </c>
    </row>
    <row r="291" spans="1:6" hidden="1" outlineLevel="1">
      <c r="A291" s="1">
        <v>158</v>
      </c>
      <c r="B291" s="11">
        <v>44475</v>
      </c>
      <c r="C291" s="160">
        <v>11593</v>
      </c>
      <c r="D291" s="1" t="s">
        <v>443</v>
      </c>
      <c r="E291" s="1" t="s">
        <v>6910</v>
      </c>
      <c r="F291" s="2">
        <v>29760064368</v>
      </c>
    </row>
    <row r="292" spans="1:6" hidden="1" outlineLevel="1">
      <c r="A292" s="1">
        <v>159</v>
      </c>
      <c r="E292" s="1" t="s">
        <v>6901</v>
      </c>
      <c r="F292" s="2">
        <v>59510005260</v>
      </c>
    </row>
    <row r="293" spans="1:6" hidden="1" outlineLevel="1">
      <c r="A293" s="1">
        <v>160</v>
      </c>
      <c r="B293" s="11">
        <v>44483</v>
      </c>
      <c r="C293" s="160">
        <v>12496</v>
      </c>
      <c r="D293" s="1" t="s">
        <v>443</v>
      </c>
      <c r="E293" s="1" t="s">
        <v>6894</v>
      </c>
      <c r="F293" s="2">
        <v>40120028823</v>
      </c>
    </row>
    <row r="294" spans="1:6" hidden="1" outlineLevel="1">
      <c r="A294" s="1">
        <v>161</v>
      </c>
      <c r="B294" s="11">
        <v>44481</v>
      </c>
      <c r="C294" s="160">
        <v>12179</v>
      </c>
      <c r="D294" s="1" t="s">
        <v>443</v>
      </c>
      <c r="E294" s="1" t="s">
        <v>6901</v>
      </c>
      <c r="F294" s="2">
        <v>59510005234</v>
      </c>
    </row>
    <row r="295" spans="1:6" hidden="1" outlineLevel="1">
      <c r="A295" s="1">
        <v>162</v>
      </c>
      <c r="D295" s="1" t="s">
        <v>443</v>
      </c>
      <c r="E295" s="1" t="s">
        <v>6901</v>
      </c>
      <c r="F295" s="2">
        <v>59510005743</v>
      </c>
    </row>
    <row r="296" spans="1:6" hidden="1" outlineLevel="1">
      <c r="A296" s="1">
        <v>163</v>
      </c>
      <c r="B296" s="11">
        <v>44477</v>
      </c>
      <c r="C296" s="160">
        <v>11815</v>
      </c>
      <c r="D296" s="1" t="s">
        <v>443</v>
      </c>
      <c r="E296" s="1" t="s">
        <v>445</v>
      </c>
      <c r="F296" s="2">
        <v>29360018296</v>
      </c>
    </row>
    <row r="297" spans="1:6" hidden="1" outlineLevel="1">
      <c r="A297" s="1">
        <v>164</v>
      </c>
      <c r="F297" s="2">
        <v>29360018638</v>
      </c>
    </row>
    <row r="298" spans="1:6" hidden="1" outlineLevel="1">
      <c r="A298" s="1">
        <v>165</v>
      </c>
      <c r="B298" s="11">
        <v>44487</v>
      </c>
      <c r="C298" s="160" t="s">
        <v>7142</v>
      </c>
      <c r="D298" s="1" t="s">
        <v>447</v>
      </c>
      <c r="E298" s="1" t="s">
        <v>6906</v>
      </c>
      <c r="F298" s="2">
        <v>2125793944</v>
      </c>
    </row>
    <row r="299" spans="1:6" hidden="1" outlineLevel="1">
      <c r="A299" s="1">
        <v>166</v>
      </c>
      <c r="F299" s="2">
        <v>2125793947</v>
      </c>
    </row>
    <row r="300" spans="1:6" hidden="1" outlineLevel="1">
      <c r="A300" s="1">
        <v>167</v>
      </c>
      <c r="F300" s="2">
        <v>2125793930</v>
      </c>
    </row>
    <row r="301" spans="1:6" hidden="1" outlineLevel="1">
      <c r="A301" s="1">
        <v>168</v>
      </c>
      <c r="B301" s="11">
        <v>44488</v>
      </c>
      <c r="C301" s="160">
        <v>12932</v>
      </c>
      <c r="D301" s="1" t="s">
        <v>443</v>
      </c>
      <c r="E301" s="1" t="s">
        <v>446</v>
      </c>
      <c r="F301" s="2">
        <v>39970044622</v>
      </c>
    </row>
    <row r="302" spans="1:6" hidden="1" outlineLevel="1">
      <c r="A302" s="1">
        <v>169</v>
      </c>
      <c r="F302" s="2">
        <v>39970044628</v>
      </c>
    </row>
    <row r="303" spans="1:6" hidden="1" outlineLevel="1">
      <c r="A303" s="1">
        <v>170</v>
      </c>
      <c r="B303" s="11">
        <v>44491</v>
      </c>
      <c r="C303" s="160">
        <v>13405</v>
      </c>
      <c r="D303" s="1" t="s">
        <v>443</v>
      </c>
      <c r="E303" s="1" t="s">
        <v>6910</v>
      </c>
      <c r="F303" s="2">
        <v>29760065585</v>
      </c>
    </row>
    <row r="304" spans="1:6" hidden="1" outlineLevel="1">
      <c r="A304" s="1">
        <v>171</v>
      </c>
      <c r="B304" s="11">
        <v>44495</v>
      </c>
      <c r="C304" s="160">
        <v>13746</v>
      </c>
      <c r="D304" s="1" t="s">
        <v>443</v>
      </c>
      <c r="E304" s="1" t="s">
        <v>6912</v>
      </c>
      <c r="F304" s="2">
        <v>6249</v>
      </c>
    </row>
    <row r="305" spans="1:6" hidden="1" outlineLevel="1">
      <c r="A305" s="1">
        <v>172</v>
      </c>
      <c r="B305" s="11">
        <v>44495</v>
      </c>
      <c r="C305" s="160">
        <v>13748</v>
      </c>
      <c r="D305" s="1" t="s">
        <v>443</v>
      </c>
      <c r="E305" s="1" t="s">
        <v>6910</v>
      </c>
      <c r="F305" s="2">
        <v>29760065724</v>
      </c>
    </row>
    <row r="306" spans="1:6" hidden="1" outlineLevel="1">
      <c r="A306" s="1">
        <v>173</v>
      </c>
      <c r="F306" s="2">
        <v>29760065667</v>
      </c>
    </row>
    <row r="307" spans="1:6" hidden="1" outlineLevel="1">
      <c r="A307" s="1">
        <v>174</v>
      </c>
      <c r="B307" s="11">
        <v>44498</v>
      </c>
      <c r="C307" s="160" t="s">
        <v>7143</v>
      </c>
      <c r="D307" s="1" t="s">
        <v>447</v>
      </c>
      <c r="E307" s="1" t="s">
        <v>6906</v>
      </c>
      <c r="F307" s="2">
        <v>2125933002</v>
      </c>
    </row>
    <row r="308" spans="1:6" hidden="1" outlineLevel="1">
      <c r="A308" s="1">
        <v>175</v>
      </c>
      <c r="F308" s="2">
        <v>2125933015</v>
      </c>
    </row>
    <row r="309" spans="1:6" hidden="1" outlineLevel="1">
      <c r="A309" s="1">
        <v>176</v>
      </c>
      <c r="E309" s="1" t="s">
        <v>6913</v>
      </c>
      <c r="F309" s="2">
        <v>2126008418</v>
      </c>
    </row>
    <row r="310" spans="1:6" hidden="1" outlineLevel="1">
      <c r="A310" s="1">
        <v>177</v>
      </c>
      <c r="B310" s="11">
        <v>44496</v>
      </c>
      <c r="C310" s="160">
        <v>13985</v>
      </c>
      <c r="D310" s="1" t="s">
        <v>443</v>
      </c>
      <c r="E310" s="1" t="s">
        <v>6914</v>
      </c>
      <c r="F310" s="2">
        <v>39970042522</v>
      </c>
    </row>
    <row r="311" spans="1:6" hidden="1" outlineLevel="1">
      <c r="A311" s="1">
        <v>178</v>
      </c>
      <c r="F311" s="2">
        <v>39970042491</v>
      </c>
    </row>
    <row r="312" spans="1:6" hidden="1" outlineLevel="1">
      <c r="A312" s="1">
        <v>179</v>
      </c>
      <c r="E312" s="1" t="s">
        <v>445</v>
      </c>
      <c r="F312" s="2">
        <v>29360018798</v>
      </c>
    </row>
    <row r="313" spans="1:6" hidden="1" outlineLevel="1">
      <c r="A313" s="1">
        <v>180</v>
      </c>
      <c r="F313" s="2">
        <v>23960018886</v>
      </c>
    </row>
    <row r="314" spans="1:6" hidden="1" outlineLevel="1">
      <c r="A314" s="1">
        <v>181</v>
      </c>
      <c r="B314" s="11">
        <v>44496</v>
      </c>
      <c r="C314" s="160">
        <v>13916</v>
      </c>
      <c r="D314" s="1" t="s">
        <v>443</v>
      </c>
      <c r="E314" s="1" t="s">
        <v>6915</v>
      </c>
      <c r="F314" s="2">
        <v>41160050599</v>
      </c>
    </row>
    <row r="315" spans="1:6" hidden="1" outlineLevel="1">
      <c r="A315" s="1">
        <v>182</v>
      </c>
      <c r="B315" s="11">
        <v>44497</v>
      </c>
      <c r="C315" s="160">
        <v>14091</v>
      </c>
      <c r="D315" s="1" t="s">
        <v>443</v>
      </c>
      <c r="E315" s="1" t="s">
        <v>444</v>
      </c>
      <c r="F315" s="2">
        <v>59510003451</v>
      </c>
    </row>
    <row r="316" spans="1:6" hidden="1" outlineLevel="1">
      <c r="A316" s="1">
        <v>183</v>
      </c>
      <c r="F316" s="2">
        <v>59510009697</v>
      </c>
    </row>
    <row r="317" spans="1:6" hidden="1" outlineLevel="1">
      <c r="A317" s="1">
        <v>184</v>
      </c>
      <c r="F317" s="2">
        <v>59510009696</v>
      </c>
    </row>
    <row r="318" spans="1:6" hidden="1" outlineLevel="1">
      <c r="A318" s="1">
        <v>185</v>
      </c>
      <c r="B318" s="11">
        <v>44498</v>
      </c>
      <c r="C318" s="160">
        <v>14212</v>
      </c>
      <c r="D318" s="1" t="s">
        <v>443</v>
      </c>
      <c r="E318" s="1" t="s">
        <v>449</v>
      </c>
      <c r="F318" s="2">
        <v>29760065568</v>
      </c>
    </row>
    <row r="319" spans="1:6" hidden="1" outlineLevel="1">
      <c r="A319" s="1">
        <v>186</v>
      </c>
      <c r="B319" s="11">
        <v>44498</v>
      </c>
      <c r="C319" s="160">
        <v>14286</v>
      </c>
      <c r="D319" s="1" t="s">
        <v>443</v>
      </c>
      <c r="E319" s="1" t="s">
        <v>6894</v>
      </c>
      <c r="F319" s="2">
        <v>40120029250</v>
      </c>
    </row>
    <row r="320" spans="1:6" hidden="1" outlineLevel="1">
      <c r="A320" s="1">
        <v>187</v>
      </c>
      <c r="F320" s="2">
        <v>40120029213</v>
      </c>
    </row>
    <row r="321" spans="1:6" hidden="1" outlineLevel="1">
      <c r="A321" s="1">
        <v>188</v>
      </c>
      <c r="B321" s="11">
        <v>44510</v>
      </c>
      <c r="C321" s="160" t="s">
        <v>7144</v>
      </c>
      <c r="D321" s="1" t="s">
        <v>447</v>
      </c>
      <c r="E321" s="1" t="s">
        <v>6906</v>
      </c>
      <c r="F321" s="2">
        <v>2125996009</v>
      </c>
    </row>
    <row r="322" spans="1:6" hidden="1" outlineLevel="1">
      <c r="A322" s="1">
        <v>189</v>
      </c>
      <c r="F322" s="2">
        <v>2125996008</v>
      </c>
    </row>
    <row r="323" spans="1:6" hidden="1" outlineLevel="1">
      <c r="A323" s="1">
        <v>190</v>
      </c>
      <c r="F323" s="2">
        <v>2125996007</v>
      </c>
    </row>
    <row r="324" spans="1:6" hidden="1" outlineLevel="1">
      <c r="A324" s="1">
        <v>191</v>
      </c>
      <c r="F324" s="2">
        <v>2125965997</v>
      </c>
    </row>
    <row r="325" spans="1:6" hidden="1" outlineLevel="1">
      <c r="A325" s="1">
        <v>192</v>
      </c>
      <c r="B325" s="11">
        <v>44516</v>
      </c>
      <c r="C325" s="160">
        <v>16020</v>
      </c>
      <c r="D325" s="1" t="s">
        <v>443</v>
      </c>
      <c r="E325" s="1" t="s">
        <v>6916</v>
      </c>
      <c r="F325" s="2" t="s">
        <v>6930</v>
      </c>
    </row>
    <row r="326" spans="1:6" hidden="1" outlineLevel="1">
      <c r="A326" s="1">
        <v>193</v>
      </c>
      <c r="B326" s="11">
        <v>44517</v>
      </c>
      <c r="C326" s="160">
        <v>16218</v>
      </c>
      <c r="D326" s="1" t="s">
        <v>443</v>
      </c>
      <c r="E326" s="1" t="s">
        <v>446</v>
      </c>
      <c r="F326" s="2">
        <v>39970044174</v>
      </c>
    </row>
    <row r="327" spans="1:6" hidden="1" outlineLevel="1">
      <c r="A327" s="1">
        <v>194</v>
      </c>
      <c r="B327" s="11">
        <v>44518</v>
      </c>
      <c r="C327" s="160">
        <v>16364</v>
      </c>
      <c r="D327" s="1" t="s">
        <v>443</v>
      </c>
      <c r="E327" s="1" t="s">
        <v>6910</v>
      </c>
      <c r="F327" s="2">
        <v>29760065865</v>
      </c>
    </row>
    <row r="328" spans="1:6" hidden="1" outlineLevel="1">
      <c r="A328" s="1">
        <v>195</v>
      </c>
      <c r="B328" s="11">
        <v>44519</v>
      </c>
      <c r="C328" s="160">
        <v>16556</v>
      </c>
      <c r="D328" s="1" t="s">
        <v>443</v>
      </c>
      <c r="E328" s="1" t="s">
        <v>444</v>
      </c>
      <c r="F328" s="2">
        <v>296102003530</v>
      </c>
    </row>
    <row r="329" spans="1:6" hidden="1" outlineLevel="1">
      <c r="A329" s="1">
        <v>196</v>
      </c>
      <c r="D329" s="1" t="s">
        <v>6814</v>
      </c>
      <c r="E329" s="1" t="s">
        <v>6894</v>
      </c>
      <c r="F329" s="2">
        <v>40120016325</v>
      </c>
    </row>
    <row r="330" spans="1:6" hidden="1" outlineLevel="1">
      <c r="A330" s="1">
        <v>197</v>
      </c>
      <c r="B330" s="11">
        <v>44533</v>
      </c>
      <c r="C330" s="160" t="s">
        <v>7145</v>
      </c>
      <c r="D330" s="1" t="s">
        <v>447</v>
      </c>
      <c r="E330" s="1" t="s">
        <v>6917</v>
      </c>
      <c r="F330" s="2">
        <v>2126354732</v>
      </c>
    </row>
    <row r="331" spans="1:6" hidden="1" outlineLevel="1">
      <c r="A331" s="1">
        <v>198</v>
      </c>
      <c r="B331" s="11">
        <v>44531</v>
      </c>
      <c r="C331" s="160">
        <v>18158</v>
      </c>
      <c r="D331" s="1" t="s">
        <v>443</v>
      </c>
      <c r="E331" s="1" t="s">
        <v>6896</v>
      </c>
      <c r="F331" s="2">
        <v>41960021000</v>
      </c>
    </row>
    <row r="332" spans="1:6" hidden="1" outlineLevel="1">
      <c r="A332" s="1">
        <v>199</v>
      </c>
      <c r="B332" s="11">
        <v>44530</v>
      </c>
      <c r="C332" s="160">
        <v>17932</v>
      </c>
      <c r="D332" s="1" t="s">
        <v>443</v>
      </c>
      <c r="F332" s="2">
        <v>40120030123</v>
      </c>
    </row>
    <row r="333" spans="1:6" hidden="1" outlineLevel="1">
      <c r="A333" s="1">
        <v>200</v>
      </c>
      <c r="D333" s="1" t="s">
        <v>443</v>
      </c>
      <c r="E333" s="1" t="s">
        <v>6894</v>
      </c>
      <c r="F333" s="2">
        <v>40120030297</v>
      </c>
    </row>
    <row r="334" spans="1:6" hidden="1" outlineLevel="1">
      <c r="A334" s="1">
        <v>201</v>
      </c>
      <c r="B334" s="11">
        <v>44530</v>
      </c>
      <c r="C334" s="160">
        <v>17989</v>
      </c>
      <c r="D334" s="1" t="s">
        <v>443</v>
      </c>
      <c r="E334" s="1" t="s">
        <v>445</v>
      </c>
      <c r="F334" s="2">
        <v>29360019008</v>
      </c>
    </row>
    <row r="335" spans="1:6" hidden="1" outlineLevel="1">
      <c r="A335" s="1">
        <v>202</v>
      </c>
      <c r="B335" s="11">
        <v>44530</v>
      </c>
      <c r="C335" s="160">
        <v>17932</v>
      </c>
      <c r="D335" s="1" t="s">
        <v>443</v>
      </c>
      <c r="E335" s="1" t="s">
        <v>446</v>
      </c>
      <c r="F335" s="2">
        <v>39970045088</v>
      </c>
    </row>
    <row r="336" spans="1:6" hidden="1" outlineLevel="1">
      <c r="A336" s="1">
        <v>203</v>
      </c>
      <c r="B336" s="11">
        <v>44530</v>
      </c>
      <c r="C336" s="160">
        <v>17989</v>
      </c>
      <c r="D336" s="1" t="s">
        <v>6815</v>
      </c>
      <c r="E336" s="1" t="s">
        <v>446</v>
      </c>
      <c r="F336" s="2">
        <v>39970045071</v>
      </c>
    </row>
    <row r="337" spans="1:16" hidden="1" outlineLevel="1">
      <c r="A337" s="1">
        <v>204</v>
      </c>
      <c r="B337" s="11">
        <v>44536</v>
      </c>
      <c r="C337" s="160">
        <v>18814</v>
      </c>
      <c r="D337" s="1" t="s">
        <v>443</v>
      </c>
      <c r="E337" s="1" t="s">
        <v>6918</v>
      </c>
      <c r="F337" s="2">
        <v>40760012551</v>
      </c>
    </row>
    <row r="338" spans="1:16" hidden="1" outlineLevel="1">
      <c r="A338" s="1">
        <v>205</v>
      </c>
      <c r="B338" s="11">
        <v>44538</v>
      </c>
      <c r="C338" s="160">
        <v>19235</v>
      </c>
      <c r="D338" s="1" t="s">
        <v>443</v>
      </c>
      <c r="E338" s="1" t="s">
        <v>6919</v>
      </c>
      <c r="F338" s="2">
        <v>29360016943</v>
      </c>
    </row>
    <row r="339" spans="1:16" hidden="1" outlineLevel="1">
      <c r="A339" s="1">
        <v>206</v>
      </c>
      <c r="F339" s="2">
        <v>29360016932</v>
      </c>
    </row>
    <row r="340" spans="1:16" hidden="1" outlineLevel="1">
      <c r="A340" s="1">
        <v>207</v>
      </c>
      <c r="E340" s="1" t="s">
        <v>6920</v>
      </c>
      <c r="F340" s="2">
        <v>41160056937</v>
      </c>
    </row>
    <row r="341" spans="1:16" hidden="1" outlineLevel="1">
      <c r="A341" s="1">
        <v>208</v>
      </c>
      <c r="B341" s="11">
        <v>44538</v>
      </c>
      <c r="C341" s="160">
        <v>19234</v>
      </c>
      <c r="D341" s="1" t="s">
        <v>443</v>
      </c>
      <c r="E341" s="1" t="s">
        <v>6921</v>
      </c>
      <c r="F341" s="2">
        <v>42010021776</v>
      </c>
    </row>
    <row r="342" spans="1:16" hidden="1" outlineLevel="1">
      <c r="A342" s="1">
        <v>209</v>
      </c>
      <c r="B342" s="11">
        <v>44544</v>
      </c>
      <c r="D342" s="1" t="s">
        <v>6816</v>
      </c>
      <c r="E342" s="1" t="s">
        <v>6922</v>
      </c>
      <c r="F342" s="2">
        <v>29610204199</v>
      </c>
    </row>
    <row r="343" spans="1:16" hidden="1" outlineLevel="1">
      <c r="A343" s="1">
        <v>210</v>
      </c>
      <c r="B343" s="11">
        <v>44543</v>
      </c>
      <c r="C343" s="160">
        <v>19835</v>
      </c>
      <c r="D343" s="1" t="s">
        <v>443</v>
      </c>
      <c r="E343" s="1" t="s">
        <v>6909</v>
      </c>
      <c r="F343" s="2" t="s">
        <v>6931</v>
      </c>
    </row>
    <row r="344" spans="1:16" hidden="1" outlineLevel="1">
      <c r="A344" s="1">
        <v>211</v>
      </c>
      <c r="B344" s="11">
        <v>44550</v>
      </c>
      <c r="C344" s="160" t="s">
        <v>7146</v>
      </c>
      <c r="D344" s="1" t="s">
        <v>447</v>
      </c>
      <c r="E344" s="1" t="s">
        <v>448</v>
      </c>
      <c r="F344" s="2">
        <v>2126340028</v>
      </c>
    </row>
    <row r="345" spans="1:16" hidden="1" outlineLevel="1">
      <c r="A345" s="1">
        <v>212</v>
      </c>
      <c r="F345" s="2">
        <v>2126340005</v>
      </c>
    </row>
    <row r="346" spans="1:16" hidden="1" outlineLevel="1">
      <c r="A346" s="1">
        <v>213</v>
      </c>
      <c r="E346" s="1" t="s">
        <v>453</v>
      </c>
      <c r="F346" s="2">
        <v>2126598223</v>
      </c>
    </row>
    <row r="347" spans="1:16" hidden="1" outlineLevel="1">
      <c r="A347" s="1">
        <v>214</v>
      </c>
      <c r="B347" s="11">
        <v>44551</v>
      </c>
      <c r="C347" s="160">
        <v>21106</v>
      </c>
      <c r="D347" s="1" t="s">
        <v>443</v>
      </c>
      <c r="E347" s="1" t="s">
        <v>445</v>
      </c>
      <c r="F347" s="2">
        <v>29360018958</v>
      </c>
    </row>
    <row r="348" spans="1:16" hidden="1" outlineLevel="1">
      <c r="A348" s="1">
        <v>215</v>
      </c>
      <c r="B348" s="11">
        <v>44551</v>
      </c>
      <c r="C348" s="160">
        <v>21221</v>
      </c>
      <c r="D348" s="1" t="s">
        <v>443</v>
      </c>
      <c r="E348" s="1" t="s">
        <v>449</v>
      </c>
      <c r="F348" s="2">
        <v>29760066605</v>
      </c>
    </row>
    <row r="349" spans="1:16" hidden="1" outlineLevel="1">
      <c r="A349" s="1">
        <v>216</v>
      </c>
      <c r="B349" s="11">
        <v>44552</v>
      </c>
      <c r="C349" s="160">
        <v>21331</v>
      </c>
      <c r="D349" s="1" t="s">
        <v>443</v>
      </c>
      <c r="E349" s="1" t="s">
        <v>6894</v>
      </c>
      <c r="F349" s="2">
        <v>40120028045</v>
      </c>
    </row>
    <row r="350" spans="1:16" collapsed="1">
      <c r="A350" s="8">
        <v>2022</v>
      </c>
      <c r="B350" s="58"/>
      <c r="C350" s="159"/>
      <c r="D350" s="8"/>
      <c r="E350" s="8"/>
      <c r="F350" s="8"/>
      <c r="G350" s="8"/>
      <c r="H350" s="8"/>
      <c r="I350" s="8"/>
      <c r="J350" s="58"/>
      <c r="K350" s="8"/>
      <c r="L350" s="58"/>
      <c r="M350" s="8"/>
      <c r="N350" s="8"/>
      <c r="O350" s="8"/>
      <c r="P350" s="8"/>
    </row>
    <row r="351" spans="1:16">
      <c r="A351" s="1">
        <v>1</v>
      </c>
      <c r="B351" s="11">
        <v>44571</v>
      </c>
      <c r="C351" s="160">
        <v>56</v>
      </c>
      <c r="D351" s="1" t="s">
        <v>443</v>
      </c>
      <c r="E351" s="1" t="s">
        <v>444</v>
      </c>
      <c r="F351" s="2">
        <v>29610210093</v>
      </c>
    </row>
    <row r="352" spans="1:16">
      <c r="A352" s="1">
        <v>2</v>
      </c>
      <c r="B352" s="11">
        <v>44572</v>
      </c>
      <c r="C352" s="160">
        <v>122</v>
      </c>
      <c r="D352" s="1" t="s">
        <v>443</v>
      </c>
      <c r="E352" s="1" t="s">
        <v>445</v>
      </c>
      <c r="F352" s="2">
        <v>29360018223</v>
      </c>
    </row>
    <row r="353" spans="1:6">
      <c r="A353" s="1">
        <v>3</v>
      </c>
      <c r="E353" s="1" t="s">
        <v>446</v>
      </c>
      <c r="F353" s="2">
        <v>39970045339</v>
      </c>
    </row>
    <row r="354" spans="1:6">
      <c r="A354" s="1">
        <v>4</v>
      </c>
      <c r="F354" s="2">
        <v>39970047353</v>
      </c>
    </row>
    <row r="355" spans="1:6">
      <c r="A355" s="1">
        <v>5</v>
      </c>
      <c r="B355" s="11">
        <v>44582</v>
      </c>
      <c r="C355" s="160" t="s">
        <v>7147</v>
      </c>
      <c r="D355" s="1" t="s">
        <v>447</v>
      </c>
      <c r="E355" s="1" t="s">
        <v>448</v>
      </c>
      <c r="F355" s="2">
        <v>2126364857</v>
      </c>
    </row>
    <row r="356" spans="1:6">
      <c r="A356" s="1">
        <v>6</v>
      </c>
      <c r="D356" s="1" t="s">
        <v>447</v>
      </c>
      <c r="E356" s="1" t="s">
        <v>448</v>
      </c>
      <c r="F356" s="2">
        <v>2126364839</v>
      </c>
    </row>
    <row r="357" spans="1:6">
      <c r="A357" s="1">
        <v>7</v>
      </c>
      <c r="B357" s="11">
        <v>44585</v>
      </c>
      <c r="C357" s="160">
        <v>1467</v>
      </c>
      <c r="D357" s="1" t="s">
        <v>443</v>
      </c>
      <c r="E357" s="1" t="s">
        <v>449</v>
      </c>
      <c r="F357" s="2">
        <v>29760067281</v>
      </c>
    </row>
    <row r="358" spans="1:6">
      <c r="A358" s="1">
        <v>8</v>
      </c>
      <c r="F358" s="2">
        <v>29760067199</v>
      </c>
    </row>
    <row r="359" spans="1:6">
      <c r="A359" s="1">
        <v>9</v>
      </c>
      <c r="B359" s="11">
        <v>44586</v>
      </c>
      <c r="C359" s="160">
        <v>1577</v>
      </c>
      <c r="D359" s="1" t="s">
        <v>450</v>
      </c>
      <c r="E359" s="1" t="s">
        <v>451</v>
      </c>
      <c r="F359" s="2" t="s">
        <v>452</v>
      </c>
    </row>
    <row r="360" spans="1:6">
      <c r="A360" s="1">
        <v>10</v>
      </c>
      <c r="B360" s="11">
        <v>44601</v>
      </c>
      <c r="C360" s="160">
        <v>2766</v>
      </c>
      <c r="D360" s="1" t="s">
        <v>450</v>
      </c>
      <c r="E360" s="1" t="s">
        <v>446</v>
      </c>
      <c r="F360" s="2">
        <v>39970046488</v>
      </c>
    </row>
    <row r="361" spans="1:6">
      <c r="A361" s="1">
        <v>11</v>
      </c>
      <c r="B361" s="11">
        <v>44608</v>
      </c>
      <c r="C361" s="160">
        <v>3288</v>
      </c>
      <c r="D361" s="1" t="s">
        <v>450</v>
      </c>
      <c r="E361" s="1" t="s">
        <v>446</v>
      </c>
      <c r="F361" s="2">
        <v>57660000268</v>
      </c>
    </row>
    <row r="362" spans="1:6">
      <c r="A362" s="1">
        <v>12</v>
      </c>
      <c r="B362" s="11">
        <v>44608</v>
      </c>
      <c r="C362" s="160" t="s">
        <v>7148</v>
      </c>
      <c r="D362" s="1" t="s">
        <v>447</v>
      </c>
      <c r="E362" s="1" t="s">
        <v>453</v>
      </c>
      <c r="F362" s="2">
        <v>2126598111</v>
      </c>
    </row>
    <row r="363" spans="1:6">
      <c r="A363" s="1">
        <v>13</v>
      </c>
      <c r="B363" s="11">
        <v>44617</v>
      </c>
      <c r="C363" s="160">
        <v>3685</v>
      </c>
      <c r="D363" s="1" t="s">
        <v>450</v>
      </c>
      <c r="E363" s="1" t="s">
        <v>454</v>
      </c>
      <c r="F363" s="2">
        <v>29610213609</v>
      </c>
    </row>
    <row r="364" spans="1:6">
      <c r="A364" s="1">
        <v>14</v>
      </c>
      <c r="B364" s="11">
        <v>44621</v>
      </c>
      <c r="C364" s="160">
        <v>3908</v>
      </c>
      <c r="D364" s="1" t="s">
        <v>450</v>
      </c>
      <c r="E364" s="1" t="s">
        <v>455</v>
      </c>
      <c r="F364" s="2">
        <v>230010637</v>
      </c>
    </row>
    <row r="365" spans="1:6">
      <c r="A365" s="1">
        <v>15</v>
      </c>
      <c r="B365" s="11">
        <v>44623</v>
      </c>
      <c r="C365" s="160">
        <v>4051</v>
      </c>
      <c r="D365" s="1" t="s">
        <v>450</v>
      </c>
      <c r="E365" s="1" t="s">
        <v>456</v>
      </c>
      <c r="F365" s="2">
        <v>41960022903</v>
      </c>
    </row>
    <row r="366" spans="1:6">
      <c r="A366" s="1">
        <v>16</v>
      </c>
      <c r="B366" s="11">
        <v>44638</v>
      </c>
      <c r="C366" s="160">
        <v>4726</v>
      </c>
      <c r="D366" s="1" t="s">
        <v>450</v>
      </c>
      <c r="E366" s="1" t="s">
        <v>6923</v>
      </c>
      <c r="F366" s="2">
        <v>29760069052</v>
      </c>
    </row>
    <row r="367" spans="1:6">
      <c r="A367" s="1">
        <v>17</v>
      </c>
      <c r="B367" s="11">
        <v>44642</v>
      </c>
      <c r="C367" s="160">
        <v>4877</v>
      </c>
      <c r="D367" s="1" t="s">
        <v>450</v>
      </c>
      <c r="E367" s="1" t="s">
        <v>6924</v>
      </c>
      <c r="F367" s="2">
        <v>29610215550</v>
      </c>
    </row>
    <row r="368" spans="1:6">
      <c r="A368" s="1">
        <v>18</v>
      </c>
      <c r="F368" s="2">
        <v>29610215728</v>
      </c>
    </row>
    <row r="369" spans="1:16">
      <c r="A369" s="1">
        <v>19</v>
      </c>
      <c r="B369" s="11">
        <v>44648</v>
      </c>
      <c r="C369" s="160" t="s">
        <v>8361</v>
      </c>
      <c r="D369" s="1" t="s">
        <v>447</v>
      </c>
      <c r="E369" s="1" t="s">
        <v>8360</v>
      </c>
      <c r="F369" s="2">
        <v>2227187816</v>
      </c>
    </row>
    <row r="370" spans="1:16">
      <c r="A370" s="1">
        <v>20</v>
      </c>
      <c r="B370" s="11">
        <v>44652</v>
      </c>
      <c r="D370" s="1" t="s">
        <v>8694</v>
      </c>
      <c r="E370" s="1" t="s">
        <v>8695</v>
      </c>
      <c r="F370" s="2">
        <v>39970045356</v>
      </c>
    </row>
    <row r="371" spans="1:16">
      <c r="A371" s="1">
        <v>21</v>
      </c>
      <c r="B371" s="11">
        <v>44664</v>
      </c>
      <c r="C371" s="160" t="s">
        <v>8696</v>
      </c>
      <c r="D371" s="1" t="s">
        <v>447</v>
      </c>
      <c r="E371" s="1" t="s">
        <v>8360</v>
      </c>
      <c r="F371" s="2">
        <v>2227428971</v>
      </c>
      <c r="I371" s="2" t="s">
        <v>46</v>
      </c>
      <c r="J371" s="11">
        <v>44652</v>
      </c>
      <c r="P371" s="1" t="s">
        <v>8697</v>
      </c>
    </row>
    <row r="372" spans="1:16">
      <c r="A372" s="1">
        <v>22</v>
      </c>
      <c r="E372" s="1" t="s">
        <v>8698</v>
      </c>
      <c r="F372" s="2">
        <v>2227333478</v>
      </c>
    </row>
  </sheetData>
  <dataValidations count="1">
    <dataValidation type="list" allowBlank="1" showErrorMessage="1" sqref="I2:I1048576">
      <formula1>Текущий_статус</formula1>
    </dataValidation>
  </dataValidation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9"/>
  <dimension ref="A1:M80"/>
  <sheetViews>
    <sheetView workbookViewId="0">
      <pane xSplit="2" ySplit="1" topLeftCell="C59" activePane="bottomRight" state="frozen"/>
      <selection pane="topRight" activeCell="C1" sqref="C1"/>
      <selection pane="bottomLeft" activeCell="A2" sqref="A2"/>
      <selection pane="bottomRight" activeCell="H80" sqref="H80"/>
    </sheetView>
  </sheetViews>
  <sheetFormatPr defaultRowHeight="15"/>
  <cols>
    <col min="1" max="1" width="9.140625" style="1"/>
    <col min="2" max="2" width="15.5703125" style="1" customWidth="1"/>
    <col min="3" max="3" width="13.140625" style="1" customWidth="1"/>
    <col min="4" max="4" width="22.5703125" style="1" customWidth="1"/>
    <col min="5" max="5" width="13.85546875" style="1" customWidth="1"/>
    <col min="6" max="6" width="9.140625" style="1"/>
    <col min="7" max="7" width="26" style="1" customWidth="1"/>
    <col min="8" max="8" width="16.140625" style="1" customWidth="1"/>
    <col min="9" max="9" width="17.85546875" style="1" customWidth="1"/>
    <col min="10" max="10" width="19" style="2" customWidth="1"/>
    <col min="11" max="11" width="15.28515625" style="2" customWidth="1"/>
    <col min="12" max="12" width="11" style="2" customWidth="1"/>
    <col min="13" max="13" width="31.28515625" style="1" customWidth="1"/>
  </cols>
  <sheetData>
    <row r="1" spans="1:13" s="204" customFormat="1" ht="25.5">
      <c r="A1" s="218" t="s">
        <v>1</v>
      </c>
      <c r="B1" s="218" t="s">
        <v>2</v>
      </c>
      <c r="C1" s="218" t="s">
        <v>3</v>
      </c>
      <c r="D1" s="218" t="s">
        <v>17</v>
      </c>
      <c r="E1" s="218" t="s">
        <v>18</v>
      </c>
      <c r="F1" s="218" t="s">
        <v>19</v>
      </c>
      <c r="G1" s="218" t="s">
        <v>5</v>
      </c>
      <c r="H1" s="218" t="s">
        <v>6</v>
      </c>
      <c r="I1" s="219" t="s">
        <v>7</v>
      </c>
      <c r="J1" s="218" t="s">
        <v>8</v>
      </c>
      <c r="K1" s="218" t="s">
        <v>9</v>
      </c>
      <c r="L1" s="219" t="s">
        <v>16</v>
      </c>
      <c r="M1" s="218" t="s">
        <v>12</v>
      </c>
    </row>
    <row r="2" spans="1:13" ht="38.25">
      <c r="A2" s="33">
        <v>1</v>
      </c>
      <c r="B2" s="212" t="s">
        <v>8219</v>
      </c>
      <c r="C2" s="212" t="s">
        <v>2328</v>
      </c>
      <c r="D2" s="212" t="s">
        <v>8220</v>
      </c>
      <c r="E2" s="212" t="s">
        <v>54</v>
      </c>
      <c r="F2" s="212" t="s">
        <v>58</v>
      </c>
      <c r="G2" s="29">
        <v>90920006</v>
      </c>
      <c r="H2" s="212" t="s">
        <v>46</v>
      </c>
      <c r="I2" s="7">
        <v>44562</v>
      </c>
      <c r="J2" s="211" t="s">
        <v>267</v>
      </c>
      <c r="K2" s="213"/>
      <c r="L2" s="214">
        <v>44595</v>
      </c>
      <c r="M2" s="27"/>
    </row>
    <row r="3" spans="1:13">
      <c r="A3" s="33"/>
      <c r="B3" s="212"/>
      <c r="C3" s="212"/>
      <c r="D3" s="212"/>
      <c r="E3" s="212" t="s">
        <v>55</v>
      </c>
      <c r="F3" s="212" t="s">
        <v>58</v>
      </c>
      <c r="G3" s="215">
        <v>211012104919</v>
      </c>
      <c r="H3" s="212" t="s">
        <v>46</v>
      </c>
      <c r="I3" s="7">
        <v>44562</v>
      </c>
      <c r="J3" s="216" t="s">
        <v>267</v>
      </c>
      <c r="K3" s="213"/>
      <c r="L3" s="214">
        <v>44595</v>
      </c>
      <c r="M3" s="27"/>
    </row>
    <row r="4" spans="1:13" ht="25.5">
      <c r="A4" s="33"/>
      <c r="B4" s="212"/>
      <c r="C4" s="212"/>
      <c r="D4" s="212"/>
      <c r="E4" s="212" t="s">
        <v>56</v>
      </c>
      <c r="F4" s="212" t="s">
        <v>58</v>
      </c>
      <c r="G4" s="215">
        <v>210122</v>
      </c>
      <c r="H4" s="212" t="s">
        <v>46</v>
      </c>
      <c r="I4" s="7">
        <v>44562</v>
      </c>
      <c r="J4" s="216" t="s">
        <v>267</v>
      </c>
      <c r="K4" s="213"/>
      <c r="L4" s="214">
        <v>44595</v>
      </c>
      <c r="M4" s="27"/>
    </row>
    <row r="5" spans="1:13" ht="38.25">
      <c r="A5" s="33">
        <v>2</v>
      </c>
      <c r="B5" s="212"/>
      <c r="C5" s="212"/>
      <c r="D5" s="212" t="s">
        <v>8220</v>
      </c>
      <c r="E5" s="212" t="s">
        <v>54</v>
      </c>
      <c r="F5" s="212" t="s">
        <v>58</v>
      </c>
      <c r="G5" s="29">
        <v>110920016</v>
      </c>
      <c r="H5" s="212" t="s">
        <v>8221</v>
      </c>
      <c r="I5" s="7">
        <v>44562</v>
      </c>
      <c r="J5" s="216"/>
      <c r="K5" s="213"/>
      <c r="L5" s="214"/>
      <c r="M5" s="27"/>
    </row>
    <row r="6" spans="1:13">
      <c r="A6" s="33"/>
      <c r="B6" s="212"/>
      <c r="C6" s="212"/>
      <c r="D6" s="212"/>
      <c r="E6" s="212" t="s">
        <v>55</v>
      </c>
      <c r="F6" s="212" t="s">
        <v>58</v>
      </c>
      <c r="G6" s="29" t="s">
        <v>8222</v>
      </c>
      <c r="H6" s="212" t="s">
        <v>8221</v>
      </c>
      <c r="I6" s="7">
        <v>44562</v>
      </c>
      <c r="J6" s="216"/>
      <c r="K6" s="213"/>
      <c r="L6" s="214"/>
      <c r="M6" s="27"/>
    </row>
    <row r="7" spans="1:13" ht="25.5">
      <c r="A7" s="33"/>
      <c r="B7" s="212"/>
      <c r="C7" s="212"/>
      <c r="D7" s="212"/>
      <c r="E7" s="212" t="s">
        <v>56</v>
      </c>
      <c r="F7" s="212" t="s">
        <v>58</v>
      </c>
      <c r="G7" s="29">
        <v>2200001532</v>
      </c>
      <c r="H7" s="212" t="s">
        <v>8221</v>
      </c>
      <c r="I7" s="7">
        <v>44562</v>
      </c>
      <c r="J7" s="216"/>
      <c r="K7" s="213"/>
      <c r="L7" s="214"/>
      <c r="M7" s="27"/>
    </row>
    <row r="8" spans="1:13" ht="38.25">
      <c r="A8" s="33">
        <v>3</v>
      </c>
      <c r="B8" s="212"/>
      <c r="C8" s="212"/>
      <c r="D8" s="212" t="s">
        <v>8220</v>
      </c>
      <c r="E8" s="212" t="s">
        <v>54</v>
      </c>
      <c r="F8" s="212" t="s">
        <v>58</v>
      </c>
      <c r="G8" s="29">
        <v>41220004</v>
      </c>
      <c r="H8" s="212" t="s">
        <v>8221</v>
      </c>
      <c r="I8" s="7">
        <v>44562</v>
      </c>
      <c r="J8" s="216"/>
      <c r="K8" s="213"/>
      <c r="L8" s="214"/>
      <c r="M8" s="27"/>
    </row>
    <row r="9" spans="1:13">
      <c r="A9" s="33"/>
      <c r="B9" s="212"/>
      <c r="C9" s="212"/>
      <c r="D9" s="212"/>
      <c r="E9" s="212" t="s">
        <v>55</v>
      </c>
      <c r="F9" s="212" t="s">
        <v>58</v>
      </c>
      <c r="G9" s="29">
        <v>211012110458</v>
      </c>
      <c r="H9" s="212" t="s">
        <v>8221</v>
      </c>
      <c r="I9" s="7">
        <v>44562</v>
      </c>
      <c r="J9" s="216"/>
      <c r="K9" s="213"/>
      <c r="L9" s="214"/>
      <c r="M9" s="27"/>
    </row>
    <row r="10" spans="1:13" ht="25.5">
      <c r="A10" s="33"/>
      <c r="B10" s="212"/>
      <c r="C10" s="212"/>
      <c r="D10" s="212"/>
      <c r="E10" s="212" t="s">
        <v>56</v>
      </c>
      <c r="F10" s="212" t="s">
        <v>58</v>
      </c>
      <c r="G10" s="29">
        <v>3200000864</v>
      </c>
      <c r="H10" s="212" t="s">
        <v>8221</v>
      </c>
      <c r="I10" s="7">
        <v>44562</v>
      </c>
      <c r="J10" s="216"/>
      <c r="K10" s="213"/>
      <c r="L10" s="214"/>
      <c r="M10" s="27"/>
    </row>
    <row r="11" spans="1:13" ht="38.25">
      <c r="A11" s="33">
        <v>4</v>
      </c>
      <c r="B11" s="212"/>
      <c r="C11" s="212"/>
      <c r="D11" s="212" t="s">
        <v>8220</v>
      </c>
      <c r="E11" s="212" t="s">
        <v>54</v>
      </c>
      <c r="F11" s="212" t="s">
        <v>58</v>
      </c>
      <c r="G11" s="29">
        <v>100920005</v>
      </c>
      <c r="H11" s="212" t="s">
        <v>8221</v>
      </c>
      <c r="I11" s="7">
        <v>44562</v>
      </c>
      <c r="J11" s="216"/>
      <c r="K11" s="213"/>
      <c r="L11" s="214"/>
      <c r="M11" s="27"/>
    </row>
    <row r="12" spans="1:13">
      <c r="A12" s="33"/>
      <c r="B12" s="212"/>
      <c r="C12" s="212"/>
      <c r="D12" s="212"/>
      <c r="E12" s="212" t="s">
        <v>55</v>
      </c>
      <c r="F12" s="212" t="s">
        <v>58</v>
      </c>
      <c r="G12" s="29">
        <v>211014065236</v>
      </c>
      <c r="H12" s="212" t="s">
        <v>8221</v>
      </c>
      <c r="I12" s="7">
        <v>44562</v>
      </c>
      <c r="J12" s="216"/>
      <c r="K12" s="213"/>
      <c r="L12" s="214"/>
      <c r="M12" s="27"/>
    </row>
    <row r="13" spans="1:13" ht="25.5">
      <c r="A13" s="33"/>
      <c r="B13" s="212"/>
      <c r="C13" s="212"/>
      <c r="D13" s="212"/>
      <c r="E13" s="212" t="s">
        <v>56</v>
      </c>
      <c r="F13" s="212" t="s">
        <v>58</v>
      </c>
      <c r="G13" s="29">
        <v>120000936</v>
      </c>
      <c r="H13" s="212" t="s">
        <v>8221</v>
      </c>
      <c r="I13" s="7">
        <v>44562</v>
      </c>
      <c r="J13" s="216"/>
      <c r="K13" s="213"/>
      <c r="L13" s="214"/>
      <c r="M13" s="27"/>
    </row>
    <row r="14" spans="1:13" ht="38.25">
      <c r="A14" s="33">
        <v>5</v>
      </c>
      <c r="B14" s="212"/>
      <c r="C14" s="212"/>
      <c r="D14" s="212" t="s">
        <v>8220</v>
      </c>
      <c r="E14" s="212" t="s">
        <v>54</v>
      </c>
      <c r="F14" s="212" t="s">
        <v>58</v>
      </c>
      <c r="G14" s="29">
        <v>80920015</v>
      </c>
      <c r="H14" s="212" t="s">
        <v>8221</v>
      </c>
      <c r="I14" s="7">
        <v>44562</v>
      </c>
      <c r="J14" s="216" t="s">
        <v>3239</v>
      </c>
      <c r="K14" s="213"/>
      <c r="L14" s="214"/>
      <c r="M14" s="27"/>
    </row>
    <row r="15" spans="1:13">
      <c r="A15" s="33"/>
      <c r="B15" s="212"/>
      <c r="C15" s="212"/>
      <c r="D15" s="212"/>
      <c r="E15" s="212" t="s">
        <v>55</v>
      </c>
      <c r="F15" s="212" t="s">
        <v>58</v>
      </c>
      <c r="G15" s="29">
        <v>211014070050</v>
      </c>
      <c r="H15" s="212" t="s">
        <v>8221</v>
      </c>
      <c r="I15" s="7">
        <v>44562</v>
      </c>
      <c r="J15" s="216" t="s">
        <v>3239</v>
      </c>
      <c r="K15" s="213"/>
      <c r="L15" s="214"/>
      <c r="M15" s="27"/>
    </row>
    <row r="16" spans="1:13" ht="25.5">
      <c r="A16" s="33"/>
      <c r="B16" s="212"/>
      <c r="C16" s="212"/>
      <c r="D16" s="212"/>
      <c r="E16" s="212" t="s">
        <v>56</v>
      </c>
      <c r="F16" s="212" t="s">
        <v>58</v>
      </c>
      <c r="G16" s="29">
        <v>1200001788</v>
      </c>
      <c r="H16" s="212" t="s">
        <v>8221</v>
      </c>
      <c r="I16" s="7">
        <v>44562</v>
      </c>
      <c r="J16" s="216" t="s">
        <v>3239</v>
      </c>
      <c r="K16" s="213"/>
      <c r="L16" s="214"/>
      <c r="M16" s="27"/>
    </row>
    <row r="17" spans="1:13" ht="38.25">
      <c r="A17" s="33">
        <v>6</v>
      </c>
      <c r="B17" s="212"/>
      <c r="C17" s="212"/>
      <c r="D17" s="212" t="s">
        <v>8220</v>
      </c>
      <c r="E17" s="212" t="s">
        <v>54</v>
      </c>
      <c r="F17" s="212" t="s">
        <v>58</v>
      </c>
      <c r="G17" s="29">
        <v>31220032</v>
      </c>
      <c r="H17" s="212" t="s">
        <v>8221</v>
      </c>
      <c r="I17" s="7">
        <v>44562</v>
      </c>
      <c r="J17" s="216"/>
      <c r="K17" s="213"/>
      <c r="L17" s="214"/>
      <c r="M17" s="27"/>
    </row>
    <row r="18" spans="1:13">
      <c r="A18" s="33"/>
      <c r="B18" s="212"/>
      <c r="C18" s="212"/>
      <c r="D18" s="212"/>
      <c r="E18" s="212" t="s">
        <v>55</v>
      </c>
      <c r="F18" s="212" t="s">
        <v>58</v>
      </c>
      <c r="G18" s="29">
        <v>211012094711</v>
      </c>
      <c r="H18" s="212" t="s">
        <v>8221</v>
      </c>
      <c r="I18" s="7">
        <v>44562</v>
      </c>
      <c r="J18" s="216"/>
      <c r="K18" s="213"/>
      <c r="L18" s="214"/>
      <c r="M18" s="27"/>
    </row>
    <row r="19" spans="1:13" ht="25.5">
      <c r="A19" s="33"/>
      <c r="B19" s="212"/>
      <c r="C19" s="212"/>
      <c r="D19" s="212"/>
      <c r="E19" s="212" t="s">
        <v>56</v>
      </c>
      <c r="F19" s="212" t="s">
        <v>58</v>
      </c>
      <c r="G19" s="29">
        <v>3200002437</v>
      </c>
      <c r="H19" s="212" t="s">
        <v>8221</v>
      </c>
      <c r="I19" s="7">
        <v>44562</v>
      </c>
      <c r="J19" s="216"/>
      <c r="K19" s="213"/>
      <c r="L19" s="214"/>
      <c r="M19" s="27"/>
    </row>
    <row r="20" spans="1:13" ht="38.25">
      <c r="A20" s="33">
        <v>7</v>
      </c>
      <c r="B20" s="212"/>
      <c r="C20" s="212"/>
      <c r="D20" s="212" t="s">
        <v>8220</v>
      </c>
      <c r="E20" s="212" t="s">
        <v>54</v>
      </c>
      <c r="F20" s="212" t="s">
        <v>58</v>
      </c>
      <c r="G20" s="29">
        <v>41220016</v>
      </c>
      <c r="H20" s="212" t="s">
        <v>8221</v>
      </c>
      <c r="I20" s="7">
        <v>44562</v>
      </c>
      <c r="J20" s="216"/>
      <c r="K20" s="213"/>
      <c r="L20" s="214"/>
      <c r="M20" s="27"/>
    </row>
    <row r="21" spans="1:13">
      <c r="A21" s="33"/>
      <c r="B21" s="212"/>
      <c r="C21" s="212"/>
      <c r="D21" s="212"/>
      <c r="E21" s="212" t="s">
        <v>55</v>
      </c>
      <c r="F21" s="212" t="s">
        <v>58</v>
      </c>
      <c r="G21" s="29">
        <v>211012095202</v>
      </c>
      <c r="H21" s="212" t="s">
        <v>8221</v>
      </c>
      <c r="I21" s="7">
        <v>44562</v>
      </c>
      <c r="J21" s="216"/>
      <c r="K21" s="213"/>
      <c r="L21" s="214"/>
      <c r="M21" s="27"/>
    </row>
    <row r="22" spans="1:13" ht="25.5">
      <c r="A22" s="33"/>
      <c r="B22" s="212"/>
      <c r="C22" s="212"/>
      <c r="D22" s="212"/>
      <c r="E22" s="212" t="s">
        <v>56</v>
      </c>
      <c r="F22" s="212" t="s">
        <v>58</v>
      </c>
      <c r="G22" s="29">
        <v>1200000932</v>
      </c>
      <c r="H22" s="212" t="s">
        <v>8221</v>
      </c>
      <c r="I22" s="7">
        <v>44562</v>
      </c>
      <c r="J22" s="216"/>
      <c r="K22" s="213"/>
      <c r="L22" s="214"/>
      <c r="M22" s="27"/>
    </row>
    <row r="23" spans="1:13" ht="38.25">
      <c r="A23" s="33">
        <v>8</v>
      </c>
      <c r="B23" s="212"/>
      <c r="C23" s="212"/>
      <c r="D23" s="212" t="s">
        <v>8220</v>
      </c>
      <c r="E23" s="212" t="s">
        <v>54</v>
      </c>
      <c r="F23" s="212" t="s">
        <v>58</v>
      </c>
      <c r="G23" s="29">
        <v>41220009</v>
      </c>
      <c r="H23" s="212" t="s">
        <v>8221</v>
      </c>
      <c r="I23" s="7">
        <v>44562</v>
      </c>
      <c r="J23" s="216" t="s">
        <v>3239</v>
      </c>
      <c r="K23" s="213"/>
      <c r="L23" s="214"/>
      <c r="M23" s="27"/>
    </row>
    <row r="24" spans="1:13">
      <c r="A24" s="33"/>
      <c r="B24" s="212"/>
      <c r="C24" s="212"/>
      <c r="D24" s="212"/>
      <c r="E24" s="212" t="s">
        <v>55</v>
      </c>
      <c r="F24" s="212" t="s">
        <v>58</v>
      </c>
      <c r="G24" s="29">
        <v>211012094749</v>
      </c>
      <c r="H24" s="212" t="s">
        <v>8221</v>
      </c>
      <c r="I24" s="7">
        <v>44562</v>
      </c>
      <c r="J24" s="216" t="s">
        <v>3239</v>
      </c>
      <c r="K24" s="213"/>
      <c r="L24" s="214"/>
      <c r="M24" s="27"/>
    </row>
    <row r="25" spans="1:13" ht="25.5">
      <c r="A25" s="33"/>
      <c r="B25" s="212"/>
      <c r="C25" s="212"/>
      <c r="D25" s="212"/>
      <c r="E25" s="212" t="s">
        <v>56</v>
      </c>
      <c r="F25" s="212" t="s">
        <v>58</v>
      </c>
      <c r="G25" s="29">
        <v>1200001580</v>
      </c>
      <c r="H25" s="212" t="s">
        <v>8221</v>
      </c>
      <c r="I25" s="7">
        <v>44562</v>
      </c>
      <c r="J25" s="216" t="s">
        <v>3239</v>
      </c>
      <c r="K25" s="213"/>
      <c r="L25" s="214"/>
      <c r="M25" s="27"/>
    </row>
    <row r="26" spans="1:13" ht="38.25">
      <c r="A26" s="33">
        <v>9</v>
      </c>
      <c r="B26" s="212"/>
      <c r="C26" s="212"/>
      <c r="D26" s="212" t="s">
        <v>8220</v>
      </c>
      <c r="E26" s="212" t="s">
        <v>54</v>
      </c>
      <c r="F26" s="212" t="s">
        <v>58</v>
      </c>
      <c r="G26" s="29">
        <v>140920006</v>
      </c>
      <c r="H26" s="212" t="s">
        <v>8221</v>
      </c>
      <c r="I26" s="7">
        <v>44562</v>
      </c>
      <c r="J26" s="216" t="s">
        <v>8223</v>
      </c>
      <c r="K26" s="213"/>
      <c r="L26" s="214"/>
      <c r="M26" s="27"/>
    </row>
    <row r="27" spans="1:13">
      <c r="A27" s="33"/>
      <c r="B27" s="212"/>
      <c r="C27" s="212"/>
      <c r="D27" s="212"/>
      <c r="E27" s="212" t="s">
        <v>55</v>
      </c>
      <c r="F27" s="212" t="s">
        <v>58</v>
      </c>
      <c r="G27" s="29">
        <v>211012110253</v>
      </c>
      <c r="H27" s="212" t="s">
        <v>8221</v>
      </c>
      <c r="I27" s="7">
        <v>44562</v>
      </c>
      <c r="J27" s="216" t="s">
        <v>8223</v>
      </c>
      <c r="K27" s="213"/>
      <c r="L27" s="214"/>
      <c r="M27" s="27"/>
    </row>
    <row r="28" spans="1:13" ht="25.5">
      <c r="A28" s="33"/>
      <c r="B28" s="212"/>
      <c r="C28" s="212"/>
      <c r="D28" s="212"/>
      <c r="E28" s="212" t="s">
        <v>56</v>
      </c>
      <c r="F28" s="212" t="s">
        <v>58</v>
      </c>
      <c r="G28" s="29">
        <v>7200002437</v>
      </c>
      <c r="H28" s="212" t="s">
        <v>8221</v>
      </c>
      <c r="I28" s="7">
        <v>44562</v>
      </c>
      <c r="J28" s="216" t="s">
        <v>8223</v>
      </c>
      <c r="K28" s="213"/>
      <c r="L28" s="214"/>
      <c r="M28" s="27"/>
    </row>
    <row r="29" spans="1:13" ht="38.25">
      <c r="A29" s="33">
        <v>10</v>
      </c>
      <c r="B29" s="212"/>
      <c r="C29" s="212"/>
      <c r="D29" s="212" t="s">
        <v>8220</v>
      </c>
      <c r="E29" s="212" t="s">
        <v>54</v>
      </c>
      <c r="F29" s="212" t="s">
        <v>58</v>
      </c>
      <c r="G29" s="29">
        <v>41220008</v>
      </c>
      <c r="H29" s="212" t="s">
        <v>8221</v>
      </c>
      <c r="I29" s="7">
        <v>44562</v>
      </c>
      <c r="J29" s="216"/>
      <c r="K29" s="213"/>
      <c r="L29" s="214"/>
      <c r="M29" s="27"/>
    </row>
    <row r="30" spans="1:13">
      <c r="A30" s="33"/>
      <c r="B30" s="212"/>
      <c r="C30" s="212"/>
      <c r="D30" s="212"/>
      <c r="E30" s="212" t="s">
        <v>55</v>
      </c>
      <c r="F30" s="212" t="s">
        <v>58</v>
      </c>
      <c r="G30" s="29">
        <v>211012104701</v>
      </c>
      <c r="H30" s="212" t="s">
        <v>8221</v>
      </c>
      <c r="I30" s="7">
        <v>44562</v>
      </c>
      <c r="J30" s="216"/>
      <c r="K30" s="213"/>
      <c r="L30" s="214"/>
      <c r="M30" s="27"/>
    </row>
    <row r="31" spans="1:13" ht="25.5">
      <c r="A31" s="33"/>
      <c r="B31" s="212"/>
      <c r="C31" s="212"/>
      <c r="D31" s="172"/>
      <c r="E31" s="212" t="s">
        <v>56</v>
      </c>
      <c r="F31" s="212" t="s">
        <v>58</v>
      </c>
      <c r="G31" s="29">
        <v>4200000855</v>
      </c>
      <c r="H31" s="212" t="s">
        <v>8221</v>
      </c>
      <c r="I31" s="7">
        <v>44562</v>
      </c>
      <c r="J31" s="216"/>
      <c r="K31" s="213"/>
      <c r="L31" s="214"/>
      <c r="M31" s="27"/>
    </row>
    <row r="32" spans="1:13" ht="38.25">
      <c r="A32" s="33">
        <v>11</v>
      </c>
      <c r="B32" s="212"/>
      <c r="C32" s="212"/>
      <c r="D32" s="212" t="s">
        <v>8220</v>
      </c>
      <c r="E32" s="212" t="s">
        <v>54</v>
      </c>
      <c r="F32" s="212" t="s">
        <v>58</v>
      </c>
      <c r="G32" s="29">
        <v>31220027</v>
      </c>
      <c r="H32" s="212" t="s">
        <v>8221</v>
      </c>
      <c r="I32" s="7">
        <v>44562</v>
      </c>
      <c r="J32" s="216" t="s">
        <v>8224</v>
      </c>
      <c r="K32" s="213"/>
      <c r="L32" s="214">
        <v>44606</v>
      </c>
      <c r="M32" s="27"/>
    </row>
    <row r="33" spans="1:13">
      <c r="A33" s="33"/>
      <c r="B33" s="212"/>
      <c r="C33" s="212"/>
      <c r="D33" s="212"/>
      <c r="E33" s="212" t="s">
        <v>55</v>
      </c>
      <c r="F33" s="212" t="s">
        <v>58</v>
      </c>
      <c r="G33" s="29">
        <v>211012105029</v>
      </c>
      <c r="H33" s="212" t="s">
        <v>8221</v>
      </c>
      <c r="I33" s="7">
        <v>44562</v>
      </c>
      <c r="J33" s="216" t="s">
        <v>8224</v>
      </c>
      <c r="K33" s="213"/>
      <c r="L33" s="214">
        <v>44606</v>
      </c>
      <c r="M33" s="27"/>
    </row>
    <row r="34" spans="1:13" ht="25.5">
      <c r="A34" s="33"/>
      <c r="B34" s="212"/>
      <c r="C34" s="212"/>
      <c r="D34" s="212"/>
      <c r="E34" s="212" t="s">
        <v>56</v>
      </c>
      <c r="F34" s="212" t="s">
        <v>58</v>
      </c>
      <c r="G34" s="29">
        <v>7200000919</v>
      </c>
      <c r="H34" s="212" t="s">
        <v>8221</v>
      </c>
      <c r="I34" s="7">
        <v>44562</v>
      </c>
      <c r="J34" s="216" t="s">
        <v>8224</v>
      </c>
      <c r="K34" s="213"/>
      <c r="L34" s="214">
        <v>44606</v>
      </c>
      <c r="M34" s="27"/>
    </row>
    <row r="35" spans="1:13" ht="25.5">
      <c r="A35" s="33">
        <v>12</v>
      </c>
      <c r="B35" s="212"/>
      <c r="C35" s="212"/>
      <c r="D35" s="212" t="s">
        <v>8225</v>
      </c>
      <c r="E35" s="212" t="s">
        <v>54</v>
      </c>
      <c r="F35" s="212" t="s">
        <v>58</v>
      </c>
      <c r="G35" s="29" t="s">
        <v>8226</v>
      </c>
      <c r="H35" s="212" t="s">
        <v>8221</v>
      </c>
      <c r="I35" s="7">
        <v>44562</v>
      </c>
      <c r="J35" s="216" t="s">
        <v>8227</v>
      </c>
      <c r="K35" s="213"/>
      <c r="L35" s="214">
        <v>44576</v>
      </c>
      <c r="M35" s="27" t="s">
        <v>8228</v>
      </c>
    </row>
    <row r="36" spans="1:13" ht="38.25">
      <c r="A36" s="33"/>
      <c r="B36" s="212"/>
      <c r="C36" s="212"/>
      <c r="D36" s="212"/>
      <c r="E36" s="212" t="s">
        <v>55</v>
      </c>
      <c r="F36" s="212" t="s">
        <v>58</v>
      </c>
      <c r="G36" s="29" t="s">
        <v>8229</v>
      </c>
      <c r="H36" s="212" t="s">
        <v>8221</v>
      </c>
      <c r="I36" s="7">
        <v>44562</v>
      </c>
      <c r="J36" s="216" t="s">
        <v>8227</v>
      </c>
      <c r="K36" s="213"/>
      <c r="L36" s="214">
        <v>44576</v>
      </c>
      <c r="M36" s="27"/>
    </row>
    <row r="37" spans="1:13" ht="25.5">
      <c r="A37" s="33"/>
      <c r="B37" s="212"/>
      <c r="C37" s="212"/>
      <c r="D37" s="212"/>
      <c r="E37" s="212" t="s">
        <v>56</v>
      </c>
      <c r="F37" s="212" t="s">
        <v>58</v>
      </c>
      <c r="G37" s="29">
        <v>2100016</v>
      </c>
      <c r="H37" s="212" t="s">
        <v>8221</v>
      </c>
      <c r="I37" s="7">
        <v>44562</v>
      </c>
      <c r="J37" s="216" t="s">
        <v>8227</v>
      </c>
      <c r="K37" s="213"/>
      <c r="L37" s="214">
        <v>44576</v>
      </c>
      <c r="M37" s="27"/>
    </row>
    <row r="38" spans="1:13">
      <c r="A38" s="33">
        <v>13</v>
      </c>
      <c r="B38" s="212"/>
      <c r="C38" s="212"/>
      <c r="D38" s="212" t="s">
        <v>8225</v>
      </c>
      <c r="E38" s="212" t="s">
        <v>54</v>
      </c>
      <c r="F38" s="212" t="s">
        <v>58</v>
      </c>
      <c r="G38" s="29" t="s">
        <v>8226</v>
      </c>
      <c r="H38" s="212" t="s">
        <v>8221</v>
      </c>
      <c r="I38" s="7">
        <v>44562</v>
      </c>
      <c r="J38" s="216" t="s">
        <v>8230</v>
      </c>
      <c r="K38" s="213"/>
      <c r="L38" s="214">
        <v>44599</v>
      </c>
      <c r="M38" s="27"/>
    </row>
    <row r="39" spans="1:13" ht="51">
      <c r="A39" s="33"/>
      <c r="B39" s="212"/>
      <c r="C39" s="212"/>
      <c r="D39" s="212"/>
      <c r="E39" s="212" t="s">
        <v>55</v>
      </c>
      <c r="F39" s="212" t="s">
        <v>58</v>
      </c>
      <c r="G39" s="29" t="s">
        <v>8231</v>
      </c>
      <c r="H39" s="212" t="s">
        <v>8221</v>
      </c>
      <c r="I39" s="7">
        <v>44562</v>
      </c>
      <c r="J39" s="216" t="s">
        <v>8230</v>
      </c>
      <c r="K39" s="213"/>
      <c r="L39" s="214">
        <v>44599</v>
      </c>
      <c r="M39" s="27"/>
    </row>
    <row r="40" spans="1:13" ht="25.5">
      <c r="A40" s="33"/>
      <c r="B40" s="212"/>
      <c r="C40" s="212"/>
      <c r="D40" s="212"/>
      <c r="E40" s="212" t="s">
        <v>56</v>
      </c>
      <c r="F40" s="212" t="s">
        <v>58</v>
      </c>
      <c r="G40" s="29"/>
      <c r="H40" s="212" t="s">
        <v>8221</v>
      </c>
      <c r="I40" s="7">
        <v>44562</v>
      </c>
      <c r="J40" s="216" t="s">
        <v>8230</v>
      </c>
      <c r="K40" s="213"/>
      <c r="L40" s="214">
        <v>44599</v>
      </c>
      <c r="M40" s="27"/>
    </row>
    <row r="41" spans="1:13" ht="25.5">
      <c r="A41" s="33">
        <v>14</v>
      </c>
      <c r="B41" s="212" t="s">
        <v>8232</v>
      </c>
      <c r="C41" s="212" t="s">
        <v>3923</v>
      </c>
      <c r="D41" s="212" t="s">
        <v>8225</v>
      </c>
      <c r="E41" s="212" t="s">
        <v>54</v>
      </c>
      <c r="F41" s="212" t="s">
        <v>58</v>
      </c>
      <c r="G41" s="29" t="s">
        <v>8226</v>
      </c>
      <c r="H41" s="212" t="s">
        <v>53</v>
      </c>
      <c r="I41" s="7">
        <v>44607</v>
      </c>
      <c r="J41" s="216"/>
      <c r="K41" s="213"/>
      <c r="L41" s="214"/>
      <c r="M41" s="27"/>
    </row>
    <row r="42" spans="1:13" ht="51">
      <c r="A42" s="33"/>
      <c r="B42" s="212"/>
      <c r="C42" s="212"/>
      <c r="D42" s="212"/>
      <c r="E42" s="212" t="s">
        <v>55</v>
      </c>
      <c r="F42" s="212" t="s">
        <v>58</v>
      </c>
      <c r="G42" s="29" t="s">
        <v>8233</v>
      </c>
      <c r="H42" s="212" t="s">
        <v>53</v>
      </c>
      <c r="I42" s="7">
        <v>44607</v>
      </c>
      <c r="J42" s="216" t="s">
        <v>8234</v>
      </c>
      <c r="K42" s="213"/>
      <c r="L42" s="214">
        <v>44607</v>
      </c>
      <c r="M42" s="27"/>
    </row>
    <row r="43" spans="1:13" ht="38.25">
      <c r="A43" s="33"/>
      <c r="B43" s="212"/>
      <c r="C43" s="212"/>
      <c r="D43" s="212"/>
      <c r="E43" s="212" t="s">
        <v>56</v>
      </c>
      <c r="F43" s="212" t="s">
        <v>58</v>
      </c>
      <c r="G43" s="29">
        <v>2100041</v>
      </c>
      <c r="H43" s="212" t="s">
        <v>53</v>
      </c>
      <c r="I43" s="7">
        <v>44607</v>
      </c>
      <c r="J43" s="216" t="s">
        <v>8234</v>
      </c>
      <c r="K43" s="213"/>
      <c r="L43" s="214">
        <v>44607</v>
      </c>
      <c r="M43" s="27"/>
    </row>
    <row r="44" spans="1:13">
      <c r="A44" s="33">
        <v>15</v>
      </c>
      <c r="B44" s="212"/>
      <c r="C44" s="212"/>
      <c r="D44" s="212"/>
      <c r="E44" s="212" t="s">
        <v>54</v>
      </c>
      <c r="F44" s="212" t="s">
        <v>58</v>
      </c>
      <c r="G44" s="29"/>
      <c r="H44" s="212" t="s">
        <v>8221</v>
      </c>
      <c r="I44" s="7"/>
      <c r="J44" s="216"/>
      <c r="K44" s="213"/>
      <c r="L44" s="214"/>
      <c r="M44" s="27"/>
    </row>
    <row r="45" spans="1:13">
      <c r="A45" s="33"/>
      <c r="B45" s="212"/>
      <c r="C45" s="212"/>
      <c r="D45" s="212"/>
      <c r="E45" s="212" t="s">
        <v>55</v>
      </c>
      <c r="F45" s="212" t="s">
        <v>58</v>
      </c>
      <c r="G45" s="29"/>
      <c r="H45" s="212" t="s">
        <v>8221</v>
      </c>
      <c r="I45" s="7"/>
      <c r="J45" s="216"/>
      <c r="K45" s="213"/>
      <c r="L45" s="214"/>
      <c r="M45" s="27"/>
    </row>
    <row r="46" spans="1:13" ht="25.5">
      <c r="A46" s="33"/>
      <c r="B46" s="212"/>
      <c r="C46" s="212"/>
      <c r="D46" s="212"/>
      <c r="E46" s="212" t="s">
        <v>56</v>
      </c>
      <c r="F46" s="212" t="s">
        <v>58</v>
      </c>
      <c r="G46" s="29"/>
      <c r="H46" s="212" t="s">
        <v>8221</v>
      </c>
      <c r="I46" s="7"/>
      <c r="J46" s="216"/>
      <c r="K46" s="213"/>
      <c r="L46" s="214"/>
      <c r="M46" s="27"/>
    </row>
    <row r="47" spans="1:13" ht="25.5">
      <c r="A47" s="33">
        <v>16</v>
      </c>
      <c r="B47" s="212" t="s">
        <v>8235</v>
      </c>
      <c r="C47" s="212" t="s">
        <v>3923</v>
      </c>
      <c r="D47" s="217" t="s">
        <v>8225</v>
      </c>
      <c r="E47" s="212" t="s">
        <v>54</v>
      </c>
      <c r="F47" s="212" t="s">
        <v>58</v>
      </c>
      <c r="G47" s="29" t="s">
        <v>8236</v>
      </c>
      <c r="H47" s="212" t="s">
        <v>8221</v>
      </c>
      <c r="I47" s="7"/>
      <c r="J47" s="216"/>
      <c r="K47" s="213"/>
      <c r="L47" s="214"/>
      <c r="M47" s="27"/>
    </row>
    <row r="48" spans="1:13" ht="38.25">
      <c r="A48" s="33"/>
      <c r="B48" s="212"/>
      <c r="C48" s="212"/>
      <c r="D48" s="212"/>
      <c r="E48" s="212" t="s">
        <v>55</v>
      </c>
      <c r="F48" s="212" t="s">
        <v>58</v>
      </c>
      <c r="G48" s="29" t="s">
        <v>8237</v>
      </c>
      <c r="H48" s="212" t="s">
        <v>8221</v>
      </c>
      <c r="I48" s="7"/>
      <c r="J48" s="216"/>
      <c r="K48" s="213"/>
      <c r="L48" s="214"/>
      <c r="M48" s="27"/>
    </row>
    <row r="49" spans="1:13" ht="25.5">
      <c r="A49" s="33"/>
      <c r="B49" s="212"/>
      <c r="C49" s="212"/>
      <c r="D49" s="212"/>
      <c r="E49" s="212" t="s">
        <v>56</v>
      </c>
      <c r="F49" s="212" t="s">
        <v>58</v>
      </c>
      <c r="G49" s="29" t="s">
        <v>8238</v>
      </c>
      <c r="H49" s="212" t="s">
        <v>8221</v>
      </c>
      <c r="I49" s="7"/>
      <c r="J49" s="216"/>
      <c r="K49" s="213"/>
      <c r="L49" s="214"/>
      <c r="M49" s="27"/>
    </row>
    <row r="50" spans="1:13" ht="25.5">
      <c r="A50" s="33">
        <v>17</v>
      </c>
      <c r="B50" s="212" t="s">
        <v>8239</v>
      </c>
      <c r="C50" s="212" t="s">
        <v>3923</v>
      </c>
      <c r="D50" s="217" t="s">
        <v>8225</v>
      </c>
      <c r="E50" s="212" t="s">
        <v>54</v>
      </c>
      <c r="F50" s="212" t="s">
        <v>58</v>
      </c>
      <c r="G50" s="29" t="s">
        <v>8236</v>
      </c>
      <c r="H50" s="212" t="s">
        <v>8221</v>
      </c>
      <c r="I50" s="7"/>
      <c r="J50" s="216"/>
      <c r="K50" s="213"/>
      <c r="L50" s="214"/>
      <c r="M50" s="27"/>
    </row>
    <row r="51" spans="1:13" ht="38.25">
      <c r="A51" s="33"/>
      <c r="B51" s="212"/>
      <c r="C51" s="212"/>
      <c r="D51" s="212"/>
      <c r="E51" s="212" t="s">
        <v>55</v>
      </c>
      <c r="F51" s="212" t="s">
        <v>58</v>
      </c>
      <c r="G51" s="29" t="s">
        <v>8240</v>
      </c>
      <c r="H51" s="212" t="s">
        <v>8221</v>
      </c>
      <c r="I51" s="7"/>
      <c r="J51" s="216"/>
      <c r="K51" s="213"/>
      <c r="L51" s="214"/>
      <c r="M51" s="27"/>
    </row>
    <row r="52" spans="1:13" ht="25.5">
      <c r="A52" s="33"/>
      <c r="B52" s="212"/>
      <c r="C52" s="212"/>
      <c r="D52" s="212"/>
      <c r="E52" s="212" t="s">
        <v>56</v>
      </c>
      <c r="F52" s="212" t="s">
        <v>58</v>
      </c>
      <c r="G52" s="29" t="s">
        <v>8241</v>
      </c>
      <c r="H52" s="212" t="s">
        <v>8221</v>
      </c>
      <c r="I52" s="7"/>
      <c r="J52" s="216"/>
      <c r="K52" s="213"/>
      <c r="L52" s="214"/>
      <c r="M52" s="27"/>
    </row>
    <row r="53" spans="1:13">
      <c r="A53" s="33"/>
      <c r="B53" s="212"/>
      <c r="C53" s="212"/>
      <c r="D53" s="212"/>
      <c r="E53" s="212" t="s">
        <v>54</v>
      </c>
      <c r="F53" s="212" t="s">
        <v>58</v>
      </c>
      <c r="G53" s="29" t="s">
        <v>8242</v>
      </c>
      <c r="H53" s="212" t="s">
        <v>8221</v>
      </c>
      <c r="I53" s="7"/>
      <c r="J53" s="216"/>
      <c r="K53" s="213"/>
      <c r="L53" s="214"/>
      <c r="M53" s="27"/>
    </row>
    <row r="54" spans="1:13" ht="25.5">
      <c r="A54" s="33"/>
      <c r="B54" s="212"/>
      <c r="C54" s="212"/>
      <c r="D54" s="212"/>
      <c r="E54" s="212" t="s">
        <v>55</v>
      </c>
      <c r="F54" s="212" t="s">
        <v>58</v>
      </c>
      <c r="G54" s="29" t="s">
        <v>8243</v>
      </c>
      <c r="H54" s="212" t="s">
        <v>8221</v>
      </c>
      <c r="I54" s="7"/>
      <c r="J54" s="216"/>
      <c r="K54" s="213"/>
      <c r="L54" s="214"/>
      <c r="M54" s="27"/>
    </row>
    <row r="55" spans="1:13" ht="25.5">
      <c r="A55" s="33"/>
      <c r="B55" s="212"/>
      <c r="C55" s="212"/>
      <c r="D55" s="212"/>
      <c r="E55" s="212" t="s">
        <v>56</v>
      </c>
      <c r="F55" s="212" t="s">
        <v>58</v>
      </c>
      <c r="G55" s="29"/>
      <c r="H55" s="212" t="s">
        <v>8221</v>
      </c>
      <c r="I55" s="7"/>
      <c r="J55" s="216"/>
      <c r="K55" s="213"/>
      <c r="L55" s="214"/>
      <c r="M55" s="27"/>
    </row>
    <row r="56" spans="1:13" ht="25.5">
      <c r="A56" s="33">
        <v>18</v>
      </c>
      <c r="B56" s="212" t="s">
        <v>8244</v>
      </c>
      <c r="C56" s="212" t="s">
        <v>3923</v>
      </c>
      <c r="D56" s="212" t="s">
        <v>8245</v>
      </c>
      <c r="E56" s="212" t="s">
        <v>54</v>
      </c>
      <c r="F56" s="212" t="s">
        <v>58</v>
      </c>
      <c r="G56" s="29" t="s">
        <v>8236</v>
      </c>
      <c r="H56" s="212" t="s">
        <v>53</v>
      </c>
      <c r="I56" s="7"/>
      <c r="J56" s="216"/>
      <c r="K56" s="213"/>
      <c r="L56" s="214"/>
      <c r="M56" s="27"/>
    </row>
    <row r="57" spans="1:13" ht="38.25">
      <c r="A57" s="33"/>
      <c r="B57" s="212"/>
      <c r="C57" s="212"/>
      <c r="D57" s="212"/>
      <c r="E57" s="212" t="s">
        <v>55</v>
      </c>
      <c r="F57" s="212" t="s">
        <v>58</v>
      </c>
      <c r="G57" s="29" t="s">
        <v>8246</v>
      </c>
      <c r="H57" s="212" t="s">
        <v>53</v>
      </c>
      <c r="I57" s="7"/>
      <c r="J57" s="216"/>
      <c r="K57" s="213"/>
      <c r="L57" s="214"/>
      <c r="M57" s="27"/>
    </row>
    <row r="58" spans="1:13" ht="25.5">
      <c r="A58" s="33"/>
      <c r="B58" s="212"/>
      <c r="C58" s="212"/>
      <c r="D58" s="212"/>
      <c r="E58" s="212" t="s">
        <v>56</v>
      </c>
      <c r="F58" s="212" t="s">
        <v>58</v>
      </c>
      <c r="G58" s="29" t="s">
        <v>8247</v>
      </c>
      <c r="H58" s="212" t="s">
        <v>53</v>
      </c>
      <c r="I58" s="7"/>
      <c r="J58" s="216"/>
      <c r="K58" s="213"/>
      <c r="L58" s="214"/>
      <c r="M58" s="27"/>
    </row>
    <row r="59" spans="1:13" ht="25.5">
      <c r="A59" s="33">
        <v>19</v>
      </c>
      <c r="B59" s="212" t="s">
        <v>8248</v>
      </c>
      <c r="C59" s="212" t="s">
        <v>3923</v>
      </c>
      <c r="D59" s="212" t="s">
        <v>8249</v>
      </c>
      <c r="E59" s="212" t="s">
        <v>54</v>
      </c>
      <c r="F59" s="212" t="s">
        <v>57</v>
      </c>
      <c r="G59" s="29">
        <v>1201540015</v>
      </c>
      <c r="H59" s="212" t="s">
        <v>53</v>
      </c>
      <c r="I59" s="7"/>
      <c r="J59" s="216"/>
      <c r="K59" s="213"/>
      <c r="L59" s="214"/>
      <c r="M59" s="27"/>
    </row>
    <row r="60" spans="1:13">
      <c r="A60" s="33"/>
      <c r="B60" s="212"/>
      <c r="C60" s="212"/>
      <c r="D60" s="212"/>
      <c r="E60" s="212" t="s">
        <v>55</v>
      </c>
      <c r="F60" s="212" t="s">
        <v>57</v>
      </c>
      <c r="G60" s="29">
        <v>211012123106</v>
      </c>
      <c r="H60" s="212" t="s">
        <v>53</v>
      </c>
      <c r="I60" s="7"/>
      <c r="J60" s="216"/>
      <c r="K60" s="213"/>
      <c r="L60" s="214"/>
      <c r="M60" s="27"/>
    </row>
    <row r="61" spans="1:13" ht="25.5">
      <c r="A61" s="33"/>
      <c r="B61" s="212"/>
      <c r="C61" s="212"/>
      <c r="D61" s="212"/>
      <c r="E61" s="212" t="s">
        <v>56</v>
      </c>
      <c r="F61" s="212" t="s">
        <v>57</v>
      </c>
      <c r="G61" s="29">
        <v>7200000913</v>
      </c>
      <c r="H61" s="212" t="s">
        <v>53</v>
      </c>
      <c r="I61" s="7"/>
      <c r="J61" s="216"/>
      <c r="K61" s="213"/>
      <c r="L61" s="214"/>
      <c r="M61" s="27"/>
    </row>
    <row r="62" spans="1:13" ht="38.25">
      <c r="A62" s="33">
        <v>20</v>
      </c>
      <c r="B62" s="212" t="s">
        <v>8362</v>
      </c>
      <c r="C62" s="212" t="s">
        <v>8363</v>
      </c>
      <c r="D62" s="212" t="s">
        <v>8364</v>
      </c>
      <c r="E62" s="212"/>
      <c r="F62" s="212"/>
      <c r="G62" s="29" t="s">
        <v>8226</v>
      </c>
      <c r="H62" s="212" t="s">
        <v>8221</v>
      </c>
    </row>
    <row r="63" spans="1:13" ht="25.5">
      <c r="A63" s="33"/>
      <c r="B63" s="212"/>
      <c r="C63" s="212"/>
      <c r="D63" s="212" t="s">
        <v>8365</v>
      </c>
      <c r="E63" s="212"/>
      <c r="F63" s="212"/>
      <c r="G63" s="29" t="s">
        <v>8226</v>
      </c>
      <c r="H63" s="212" t="s">
        <v>8221</v>
      </c>
    </row>
    <row r="64" spans="1:13" ht="25.5">
      <c r="A64" s="33"/>
      <c r="B64" s="212"/>
      <c r="C64" s="212"/>
      <c r="D64" s="212" t="s">
        <v>8366</v>
      </c>
      <c r="E64" s="212"/>
      <c r="F64" s="212"/>
      <c r="G64" s="29" t="s">
        <v>8226</v>
      </c>
      <c r="H64" s="212" t="s">
        <v>8221</v>
      </c>
    </row>
    <row r="65" spans="1:8" ht="25.5">
      <c r="A65" s="33"/>
      <c r="B65" s="212"/>
      <c r="C65" s="212"/>
      <c r="D65" s="212" t="s">
        <v>8367</v>
      </c>
      <c r="E65" s="212"/>
      <c r="F65" s="212"/>
      <c r="G65" s="29" t="s">
        <v>8226</v>
      </c>
      <c r="H65" s="212" t="s">
        <v>8221</v>
      </c>
    </row>
    <row r="66" spans="1:8" ht="25.5">
      <c r="A66" s="33">
        <v>21</v>
      </c>
      <c r="B66" s="212" t="s">
        <v>8368</v>
      </c>
      <c r="C66" s="212" t="s">
        <v>8369</v>
      </c>
      <c r="D66" s="212" t="s">
        <v>8370</v>
      </c>
      <c r="E66" s="212" t="s">
        <v>54</v>
      </c>
      <c r="F66" s="212"/>
      <c r="G66" s="29"/>
      <c r="H66" s="212" t="s">
        <v>8221</v>
      </c>
    </row>
    <row r="67" spans="1:8">
      <c r="A67" s="33"/>
      <c r="B67" s="212"/>
      <c r="C67" s="212"/>
      <c r="D67" s="212"/>
      <c r="E67" s="212" t="s">
        <v>55</v>
      </c>
      <c r="F67" s="212"/>
      <c r="G67" s="29"/>
      <c r="H67" s="212" t="s">
        <v>8221</v>
      </c>
    </row>
    <row r="68" spans="1:8" ht="25.5">
      <c r="A68" s="33"/>
      <c r="B68" s="212"/>
      <c r="C68" s="212"/>
      <c r="D68" s="212"/>
      <c r="E68" s="212" t="s">
        <v>56</v>
      </c>
      <c r="F68" s="212"/>
      <c r="G68" s="29"/>
      <c r="H68" s="212" t="s">
        <v>8221</v>
      </c>
    </row>
    <row r="69" spans="1:8" ht="25.5">
      <c r="A69" s="33"/>
      <c r="B69" s="212"/>
      <c r="C69" s="212"/>
      <c r="D69" s="212" t="s">
        <v>8370</v>
      </c>
      <c r="E69" s="212" t="s">
        <v>54</v>
      </c>
      <c r="F69" s="212"/>
      <c r="G69" s="29"/>
      <c r="H69" s="212" t="s">
        <v>8221</v>
      </c>
    </row>
    <row r="70" spans="1:8">
      <c r="A70" s="33"/>
      <c r="B70" s="212"/>
      <c r="C70" s="212"/>
      <c r="D70" s="212"/>
      <c r="E70" s="212" t="s">
        <v>55</v>
      </c>
      <c r="F70" s="212"/>
      <c r="G70" s="29"/>
      <c r="H70" s="212" t="s">
        <v>8221</v>
      </c>
    </row>
    <row r="71" spans="1:8" ht="25.5">
      <c r="A71" s="33"/>
      <c r="B71" s="212"/>
      <c r="C71" s="212"/>
      <c r="D71" s="212"/>
      <c r="E71" s="212" t="s">
        <v>56</v>
      </c>
      <c r="F71" s="212"/>
      <c r="G71" s="29"/>
      <c r="H71" s="212" t="s">
        <v>8221</v>
      </c>
    </row>
    <row r="72" spans="1:8" ht="25.5">
      <c r="A72" s="33">
        <v>22</v>
      </c>
      <c r="B72" s="212" t="s">
        <v>8699</v>
      </c>
      <c r="C72" s="212" t="s">
        <v>3923</v>
      </c>
      <c r="D72" s="212" t="s">
        <v>8700</v>
      </c>
      <c r="E72" s="212" t="s">
        <v>54</v>
      </c>
      <c r="F72" s="212" t="s">
        <v>58</v>
      </c>
      <c r="G72" s="29"/>
      <c r="H72" s="212" t="s">
        <v>8221</v>
      </c>
    </row>
    <row r="73" spans="1:8" ht="51">
      <c r="A73" s="33"/>
      <c r="B73" s="212"/>
      <c r="C73" s="212"/>
      <c r="D73" s="212"/>
      <c r="E73" s="212" t="s">
        <v>55</v>
      </c>
      <c r="F73" s="212" t="s">
        <v>58</v>
      </c>
      <c r="G73" s="29" t="s">
        <v>8701</v>
      </c>
      <c r="H73" s="212" t="s">
        <v>8221</v>
      </c>
    </row>
    <row r="74" spans="1:8" ht="25.5">
      <c r="A74" s="33"/>
      <c r="B74" s="212"/>
      <c r="C74" s="212"/>
      <c r="D74" s="212"/>
      <c r="E74" s="212" t="s">
        <v>56</v>
      </c>
      <c r="F74" s="212" t="s">
        <v>58</v>
      </c>
      <c r="G74" s="29" t="s">
        <v>8702</v>
      </c>
      <c r="H74" s="212" t="s">
        <v>8221</v>
      </c>
    </row>
    <row r="75" spans="1:8">
      <c r="A75" s="33"/>
      <c r="B75" s="212"/>
      <c r="C75" s="212"/>
      <c r="D75" s="212"/>
      <c r="E75" s="212" t="s">
        <v>54</v>
      </c>
      <c r="F75" s="212" t="s">
        <v>58</v>
      </c>
      <c r="G75" s="29"/>
      <c r="H75" s="212" t="s">
        <v>8221</v>
      </c>
    </row>
    <row r="76" spans="1:8" ht="51">
      <c r="A76" s="33"/>
      <c r="B76" s="212"/>
      <c r="C76" s="212"/>
      <c r="D76" s="212"/>
      <c r="E76" s="212" t="s">
        <v>55</v>
      </c>
      <c r="F76" s="212" t="s">
        <v>58</v>
      </c>
      <c r="G76" s="29" t="s">
        <v>8703</v>
      </c>
      <c r="H76" s="212" t="s">
        <v>8221</v>
      </c>
    </row>
    <row r="77" spans="1:8" ht="25.5">
      <c r="A77" s="33"/>
      <c r="B77" s="212"/>
      <c r="C77" s="212"/>
      <c r="D77" s="212"/>
      <c r="E77" s="212" t="s">
        <v>56</v>
      </c>
      <c r="F77" s="212" t="s">
        <v>58</v>
      </c>
      <c r="G77" s="29" t="s">
        <v>8704</v>
      </c>
      <c r="H77" s="212" t="s">
        <v>8221</v>
      </c>
    </row>
    <row r="78" spans="1:8" ht="25.5">
      <c r="A78" s="33">
        <v>23</v>
      </c>
      <c r="B78" s="212" t="s">
        <v>8705</v>
      </c>
      <c r="C78" s="212" t="s">
        <v>3923</v>
      </c>
      <c r="D78" s="212" t="s">
        <v>8706</v>
      </c>
      <c r="E78" s="212" t="s">
        <v>54</v>
      </c>
      <c r="F78" s="212" t="s">
        <v>58</v>
      </c>
      <c r="G78" s="29"/>
      <c r="H78" s="212" t="s">
        <v>53</v>
      </c>
    </row>
    <row r="79" spans="1:8" ht="51">
      <c r="A79" s="33"/>
      <c r="B79" s="212"/>
      <c r="C79" s="212"/>
      <c r="D79" s="212"/>
      <c r="E79" s="212" t="s">
        <v>55</v>
      </c>
      <c r="F79" s="212" t="s">
        <v>58</v>
      </c>
      <c r="G79" s="29" t="s">
        <v>8707</v>
      </c>
      <c r="H79" s="212" t="s">
        <v>53</v>
      </c>
    </row>
    <row r="80" spans="1:8" ht="25.5">
      <c r="A80" s="33"/>
      <c r="B80" s="212"/>
      <c r="C80" s="212"/>
      <c r="D80" s="212"/>
      <c r="E80" s="212" t="s">
        <v>56</v>
      </c>
      <c r="F80" s="212" t="s">
        <v>58</v>
      </c>
      <c r="G80" s="29" t="s">
        <v>8708</v>
      </c>
      <c r="H80" s="212" t="s">
        <v>53</v>
      </c>
    </row>
  </sheetData>
  <dataValidations count="6">
    <dataValidation type="list" allowBlank="1" sqref="H81:H1048576">
      <formula1>Текущий_статус_ГБО</formula1>
    </dataValidation>
    <dataValidation type="list" allowBlank="1" sqref="E81:E1048576">
      <formula1>Состав_комплекта</formula1>
    </dataValidation>
    <dataValidation type="list" allowBlank="1" sqref="F81:F1048576">
      <formula1>Тип_газа</formula1>
    </dataValidation>
    <dataValidation type="list" allowBlank="1" sqref="F1:F61">
      <formula1>"ТИП ГАЗА,ПРОПАН,МЕТАН"</formula1>
    </dataValidation>
    <dataValidation type="list" allowBlank="1" sqref="H1:H80">
      <formula1>"Текущий статус,Склад ГЕО,Склад ГИТ,Брак,Отправлен уст  Новоспасское,Отправлен уст Саранск,Выдан уст-ку,Выдан клиенту,Ремонт у производителя"</formula1>
    </dataValidation>
    <dataValidation type="list" allowBlank="1" sqref="E1:E61">
      <formula1>"Состав комплекта,Редуктор,Форсунки,Электронная часть"</formula1>
    </dataValidation>
  </dataValidation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0"/>
  <dimension ref="A1:M191"/>
  <sheetViews>
    <sheetView workbookViewId="0">
      <pane xSplit="2" ySplit="1" topLeftCell="C169" activePane="bottomRight" state="frozen"/>
      <selection pane="topRight" activeCell="C1" sqref="C1"/>
      <selection pane="bottomLeft" activeCell="A2" sqref="A2"/>
      <selection pane="bottomRight" activeCell="J181" sqref="J181"/>
    </sheetView>
  </sheetViews>
  <sheetFormatPr defaultRowHeight="15"/>
  <cols>
    <col min="1" max="1" width="9.140625" style="1"/>
    <col min="2" max="2" width="16.28515625" style="1" customWidth="1"/>
    <col min="3" max="3" width="11.5703125" style="1" customWidth="1"/>
    <col min="4" max="4" width="20.5703125" style="1" customWidth="1"/>
    <col min="5" max="5" width="9.140625" style="1"/>
    <col min="6" max="6" width="13.140625" style="1" customWidth="1"/>
    <col min="7" max="7" width="15.42578125" style="1" customWidth="1"/>
    <col min="8" max="8" width="14.85546875" style="1" customWidth="1"/>
    <col min="9" max="9" width="12.85546875" style="1" customWidth="1"/>
    <col min="10" max="10" width="14.42578125" style="2" customWidth="1"/>
    <col min="11" max="11" width="16.85546875" style="2" customWidth="1"/>
    <col min="12" max="12" width="9.140625" style="2"/>
    <col min="13" max="13" width="27.5703125" style="1" customWidth="1"/>
  </cols>
  <sheetData>
    <row r="1" spans="1:13" s="204" customFormat="1" ht="25.5">
      <c r="A1" s="218" t="s">
        <v>1</v>
      </c>
      <c r="B1" s="218" t="s">
        <v>2</v>
      </c>
      <c r="C1" s="218" t="s">
        <v>3</v>
      </c>
      <c r="D1" s="218" t="s">
        <v>20</v>
      </c>
      <c r="E1" s="218" t="s">
        <v>19</v>
      </c>
      <c r="F1" s="218" t="s">
        <v>5</v>
      </c>
      <c r="G1" s="218" t="s">
        <v>21</v>
      </c>
      <c r="H1" s="218" t="s">
        <v>6</v>
      </c>
      <c r="I1" s="219" t="s">
        <v>7</v>
      </c>
      <c r="J1" s="218" t="s">
        <v>8</v>
      </c>
      <c r="K1" s="218" t="s">
        <v>9</v>
      </c>
      <c r="L1" s="219" t="s">
        <v>16</v>
      </c>
      <c r="M1" s="218" t="s">
        <v>12</v>
      </c>
    </row>
    <row r="2" spans="1:13" ht="63.75">
      <c r="A2" s="33">
        <v>1</v>
      </c>
      <c r="B2" s="212" t="s">
        <v>8250</v>
      </c>
      <c r="C2" s="212"/>
      <c r="D2" s="212" t="s">
        <v>8251</v>
      </c>
      <c r="E2" s="212" t="s">
        <v>57</v>
      </c>
      <c r="F2" s="29">
        <v>114938</v>
      </c>
      <c r="G2" s="7"/>
      <c r="H2" s="212" t="s">
        <v>8221</v>
      </c>
      <c r="I2" s="7">
        <v>44571</v>
      </c>
      <c r="J2" s="220"/>
      <c r="K2" s="213"/>
      <c r="L2" s="221"/>
      <c r="M2" s="212" t="s">
        <v>8252</v>
      </c>
    </row>
    <row r="3" spans="1:13" ht="38.25">
      <c r="A3" s="33">
        <v>2</v>
      </c>
      <c r="B3" s="212" t="s">
        <v>8250</v>
      </c>
      <c r="C3" s="212"/>
      <c r="D3" s="212" t="s">
        <v>8253</v>
      </c>
      <c r="E3" s="212" t="s">
        <v>57</v>
      </c>
      <c r="F3" s="215">
        <v>152</v>
      </c>
      <c r="G3" s="222">
        <v>43493</v>
      </c>
      <c r="H3" s="212" t="s">
        <v>8221</v>
      </c>
      <c r="I3" s="7">
        <v>44571</v>
      </c>
      <c r="J3" s="220"/>
      <c r="K3" s="213"/>
      <c r="L3" s="221"/>
      <c r="M3" s="212"/>
    </row>
    <row r="4" spans="1:13" ht="38.25">
      <c r="A4" s="33">
        <v>1</v>
      </c>
      <c r="B4" s="212" t="s">
        <v>8250</v>
      </c>
      <c r="C4" s="212"/>
      <c r="D4" s="212" t="s">
        <v>8254</v>
      </c>
      <c r="E4" s="212" t="s">
        <v>57</v>
      </c>
      <c r="F4" s="29">
        <v>9917</v>
      </c>
      <c r="G4" s="33" t="s">
        <v>8255</v>
      </c>
      <c r="H4" s="212" t="s">
        <v>8221</v>
      </c>
      <c r="I4" s="7">
        <v>44571</v>
      </c>
      <c r="J4" s="220"/>
      <c r="K4" s="213"/>
      <c r="L4" s="221"/>
      <c r="M4" s="212" t="s">
        <v>8256</v>
      </c>
    </row>
    <row r="5" spans="1:13" ht="38.25">
      <c r="A5" s="33">
        <v>3</v>
      </c>
      <c r="B5" s="212" t="s">
        <v>8250</v>
      </c>
      <c r="C5" s="212"/>
      <c r="D5" s="212" t="s">
        <v>8257</v>
      </c>
      <c r="E5" s="212" t="s">
        <v>57</v>
      </c>
      <c r="F5" s="29">
        <v>143</v>
      </c>
      <c r="G5" s="33" t="s">
        <v>8258</v>
      </c>
      <c r="H5" s="212" t="s">
        <v>8221</v>
      </c>
      <c r="I5" s="7">
        <v>44571</v>
      </c>
      <c r="J5" s="220"/>
      <c r="K5" s="213"/>
      <c r="L5" s="221"/>
      <c r="M5" s="212" t="s">
        <v>8259</v>
      </c>
    </row>
    <row r="6" spans="1:13" ht="51">
      <c r="A6" s="33">
        <v>4</v>
      </c>
      <c r="B6" s="212" t="s">
        <v>8250</v>
      </c>
      <c r="C6" s="212"/>
      <c r="D6" s="212" t="s">
        <v>8260</v>
      </c>
      <c r="E6" s="212" t="s">
        <v>57</v>
      </c>
      <c r="F6" s="29">
        <v>1443</v>
      </c>
      <c r="G6" s="7">
        <v>44042</v>
      </c>
      <c r="H6" s="212" t="s">
        <v>8221</v>
      </c>
      <c r="I6" s="7">
        <v>44571</v>
      </c>
      <c r="J6" s="220"/>
      <c r="K6" s="213"/>
      <c r="L6" s="221"/>
      <c r="M6" s="212"/>
    </row>
    <row r="7" spans="1:13" ht="38.25">
      <c r="A7" s="33">
        <v>5</v>
      </c>
      <c r="B7" s="212" t="s">
        <v>8250</v>
      </c>
      <c r="C7" s="212"/>
      <c r="D7" s="212" t="s">
        <v>8261</v>
      </c>
      <c r="E7" s="212" t="s">
        <v>58</v>
      </c>
      <c r="F7" s="215" t="s">
        <v>8262</v>
      </c>
      <c r="G7" s="223" t="s">
        <v>8263</v>
      </c>
      <c r="H7" s="212" t="s">
        <v>8221</v>
      </c>
      <c r="I7" s="7">
        <v>44571</v>
      </c>
      <c r="J7" s="220"/>
      <c r="K7" s="213"/>
      <c r="L7" s="221"/>
      <c r="M7" s="212"/>
    </row>
    <row r="8" spans="1:13" ht="38.25">
      <c r="A8" s="33">
        <v>6</v>
      </c>
      <c r="B8" s="212" t="s">
        <v>8250</v>
      </c>
      <c r="C8" s="212"/>
      <c r="D8" s="212" t="s">
        <v>8261</v>
      </c>
      <c r="E8" s="212" t="s">
        <v>58</v>
      </c>
      <c r="F8" s="29" t="s">
        <v>8264</v>
      </c>
      <c r="G8" s="33" t="s">
        <v>8263</v>
      </c>
      <c r="H8" s="212" t="s">
        <v>8221</v>
      </c>
      <c r="I8" s="7">
        <v>44571</v>
      </c>
      <c r="J8" s="220"/>
      <c r="K8" s="213"/>
      <c r="L8" s="221"/>
      <c r="M8" s="212"/>
    </row>
    <row r="9" spans="1:13" ht="51">
      <c r="A9" s="33">
        <v>7</v>
      </c>
      <c r="B9" s="212" t="s">
        <v>8250</v>
      </c>
      <c r="C9" s="224"/>
      <c r="D9" s="225" t="s">
        <v>8265</v>
      </c>
      <c r="E9" s="225" t="s">
        <v>58</v>
      </c>
      <c r="F9" s="226" t="s">
        <v>8266</v>
      </c>
      <c r="G9" s="227"/>
      <c r="H9" s="225" t="s">
        <v>8221</v>
      </c>
      <c r="I9" s="7">
        <v>44571</v>
      </c>
      <c r="J9" s="228"/>
      <c r="K9" s="228"/>
      <c r="L9" s="229"/>
      <c r="M9" s="225" t="s">
        <v>8267</v>
      </c>
    </row>
    <row r="10" spans="1:13" ht="51">
      <c r="A10" s="33">
        <v>8</v>
      </c>
      <c r="B10" s="212" t="s">
        <v>8250</v>
      </c>
      <c r="C10" s="230"/>
      <c r="D10" s="231" t="s">
        <v>8268</v>
      </c>
      <c r="E10" s="231" t="s">
        <v>58</v>
      </c>
      <c r="F10" s="232" t="s">
        <v>8269</v>
      </c>
      <c r="G10" s="233" t="s">
        <v>8270</v>
      </c>
      <c r="H10" s="231" t="s">
        <v>8221</v>
      </c>
      <c r="I10" s="7">
        <v>44571</v>
      </c>
      <c r="J10" s="234"/>
      <c r="K10" s="234"/>
      <c r="L10" s="235"/>
      <c r="M10" s="225" t="s">
        <v>8271</v>
      </c>
    </row>
    <row r="11" spans="1:13" ht="51">
      <c r="A11" s="33">
        <v>9</v>
      </c>
      <c r="B11" s="212" t="s">
        <v>8250</v>
      </c>
      <c r="C11" s="212"/>
      <c r="D11" s="212" t="s">
        <v>8272</v>
      </c>
      <c r="E11" s="212" t="s">
        <v>58</v>
      </c>
      <c r="F11" s="29">
        <v>210062050</v>
      </c>
      <c r="G11" s="33" t="s">
        <v>8255</v>
      </c>
      <c r="H11" s="212" t="s">
        <v>8221</v>
      </c>
      <c r="I11" s="7">
        <v>44571</v>
      </c>
      <c r="J11" s="220" t="s">
        <v>3931</v>
      </c>
      <c r="K11" s="213"/>
      <c r="L11" s="221">
        <v>44595</v>
      </c>
      <c r="M11" s="212"/>
    </row>
    <row r="12" spans="1:13" ht="51">
      <c r="A12" s="33">
        <v>10</v>
      </c>
      <c r="B12" s="212" t="s">
        <v>8250</v>
      </c>
      <c r="C12" s="212"/>
      <c r="D12" s="212" t="s">
        <v>8272</v>
      </c>
      <c r="E12" s="212" t="s">
        <v>58</v>
      </c>
      <c r="F12" s="29">
        <v>210062111</v>
      </c>
      <c r="G12" s="33" t="s">
        <v>8255</v>
      </c>
      <c r="H12" s="212" t="s">
        <v>8221</v>
      </c>
      <c r="I12" s="7">
        <v>44571</v>
      </c>
      <c r="J12" s="220" t="s">
        <v>8273</v>
      </c>
      <c r="K12" s="213"/>
      <c r="L12" s="221"/>
      <c r="M12" s="212"/>
    </row>
    <row r="13" spans="1:13" ht="51">
      <c r="A13" s="33">
        <v>11</v>
      </c>
      <c r="B13" s="212" t="s">
        <v>8250</v>
      </c>
      <c r="C13" s="212"/>
      <c r="D13" s="212" t="s">
        <v>8272</v>
      </c>
      <c r="E13" s="212" t="s">
        <v>58</v>
      </c>
      <c r="F13" s="29"/>
      <c r="G13" s="7"/>
      <c r="H13" s="212" t="s">
        <v>8221</v>
      </c>
      <c r="I13" s="7">
        <v>44571</v>
      </c>
      <c r="J13" s="220"/>
      <c r="K13" s="213"/>
      <c r="L13" s="221"/>
      <c r="M13" s="212"/>
    </row>
    <row r="14" spans="1:13" ht="38.25">
      <c r="A14" s="33">
        <v>12</v>
      </c>
      <c r="B14" s="212" t="s">
        <v>8250</v>
      </c>
      <c r="C14" s="212"/>
      <c r="D14" s="212" t="s">
        <v>8274</v>
      </c>
      <c r="E14" s="212" t="s">
        <v>58</v>
      </c>
      <c r="F14" s="29" t="s">
        <v>8275</v>
      </c>
      <c r="G14" s="7">
        <v>44256</v>
      </c>
      <c r="H14" s="212" t="s">
        <v>8221</v>
      </c>
      <c r="I14" s="7">
        <v>44571</v>
      </c>
      <c r="J14" s="220" t="s">
        <v>8276</v>
      </c>
      <c r="K14" s="213"/>
      <c r="L14" s="221">
        <v>44596</v>
      </c>
      <c r="M14" s="212"/>
    </row>
    <row r="15" spans="1:13" ht="38.25">
      <c r="A15" s="33">
        <v>13</v>
      </c>
      <c r="B15" s="212" t="s">
        <v>8250</v>
      </c>
      <c r="C15" s="212"/>
      <c r="D15" s="212" t="s">
        <v>8277</v>
      </c>
      <c r="E15" s="212" t="s">
        <v>58</v>
      </c>
      <c r="F15" s="29"/>
      <c r="G15" s="7"/>
      <c r="H15" s="212" t="s">
        <v>8221</v>
      </c>
      <c r="I15" s="7">
        <v>44571</v>
      </c>
      <c r="J15" s="220"/>
      <c r="K15" s="213"/>
      <c r="L15" s="221"/>
      <c r="M15" s="212"/>
    </row>
    <row r="16" spans="1:13" ht="38.25">
      <c r="A16" s="33">
        <v>14</v>
      </c>
      <c r="B16" s="212" t="s">
        <v>8250</v>
      </c>
      <c r="C16" s="212"/>
      <c r="D16" s="212" t="s">
        <v>8278</v>
      </c>
      <c r="E16" s="212" t="s">
        <v>58</v>
      </c>
      <c r="F16" s="29">
        <v>210096096</v>
      </c>
      <c r="G16" s="7">
        <v>44227</v>
      </c>
      <c r="H16" s="212" t="s">
        <v>8221</v>
      </c>
      <c r="I16" s="7">
        <v>44571</v>
      </c>
      <c r="J16" s="220"/>
      <c r="K16" s="213"/>
      <c r="L16" s="221"/>
      <c r="M16" s="212"/>
    </row>
    <row r="17" spans="1:13" ht="38.25">
      <c r="A17" s="33">
        <v>15</v>
      </c>
      <c r="B17" s="212" t="s">
        <v>8250</v>
      </c>
      <c r="C17" s="212"/>
      <c r="D17" s="212" t="s">
        <v>8278</v>
      </c>
      <c r="E17" s="212" t="s">
        <v>58</v>
      </c>
      <c r="F17" s="29">
        <v>210096049</v>
      </c>
      <c r="G17" s="7">
        <v>44227</v>
      </c>
      <c r="H17" s="212" t="s">
        <v>8221</v>
      </c>
      <c r="I17" s="7">
        <v>44571</v>
      </c>
      <c r="J17" s="220" t="s">
        <v>3239</v>
      </c>
      <c r="K17" s="213"/>
      <c r="L17" s="221"/>
      <c r="M17" s="212"/>
    </row>
    <row r="18" spans="1:13" ht="38.25">
      <c r="A18" s="33">
        <v>16</v>
      </c>
      <c r="B18" s="212" t="s">
        <v>8250</v>
      </c>
      <c r="C18" s="212"/>
      <c r="D18" s="212" t="s">
        <v>8278</v>
      </c>
      <c r="E18" s="212" t="s">
        <v>58</v>
      </c>
      <c r="F18" s="29">
        <v>210096026</v>
      </c>
      <c r="G18" s="7">
        <v>44227</v>
      </c>
      <c r="H18" s="212" t="s">
        <v>8221</v>
      </c>
      <c r="I18" s="7">
        <v>44571</v>
      </c>
      <c r="J18" s="220" t="s">
        <v>3239</v>
      </c>
      <c r="K18" s="213"/>
      <c r="L18" s="221">
        <v>44631</v>
      </c>
      <c r="M18" s="212"/>
    </row>
    <row r="19" spans="1:13" ht="76.5">
      <c r="A19" s="33">
        <v>17</v>
      </c>
      <c r="B19" s="212" t="s">
        <v>8250</v>
      </c>
      <c r="C19" s="212"/>
      <c r="D19" s="212" t="s">
        <v>8279</v>
      </c>
      <c r="E19" s="212" t="s">
        <v>58</v>
      </c>
      <c r="F19" s="29"/>
      <c r="G19" s="7"/>
      <c r="H19" s="212" t="s">
        <v>8221</v>
      </c>
      <c r="I19" s="7">
        <v>44571</v>
      </c>
      <c r="J19" s="220" t="s">
        <v>8280</v>
      </c>
      <c r="K19" s="213"/>
      <c r="L19" s="221">
        <v>44589</v>
      </c>
      <c r="M19" s="212" t="s">
        <v>8281</v>
      </c>
    </row>
    <row r="20" spans="1:13" ht="76.5">
      <c r="A20" s="33">
        <v>18</v>
      </c>
      <c r="B20" s="212" t="s">
        <v>8250</v>
      </c>
      <c r="C20" s="212"/>
      <c r="D20" s="212" t="s">
        <v>8279</v>
      </c>
      <c r="E20" s="212" t="s">
        <v>58</v>
      </c>
      <c r="F20" s="29"/>
      <c r="G20" s="7"/>
      <c r="H20" s="212" t="s">
        <v>8221</v>
      </c>
      <c r="I20" s="7">
        <v>44571</v>
      </c>
      <c r="J20" s="220" t="s">
        <v>8280</v>
      </c>
      <c r="K20" s="213"/>
      <c r="L20" s="221">
        <v>44589</v>
      </c>
      <c r="M20" s="212" t="s">
        <v>8281</v>
      </c>
    </row>
    <row r="21" spans="1:13" ht="63.75">
      <c r="A21" s="33">
        <v>19</v>
      </c>
      <c r="B21" s="212" t="s">
        <v>8250</v>
      </c>
      <c r="C21" s="212"/>
      <c r="D21" s="212" t="s">
        <v>8282</v>
      </c>
      <c r="E21" s="212" t="s">
        <v>58</v>
      </c>
      <c r="F21" s="29"/>
      <c r="G21" s="7"/>
      <c r="H21" s="212" t="s">
        <v>8221</v>
      </c>
      <c r="I21" s="7">
        <v>44571</v>
      </c>
      <c r="J21" s="220" t="s">
        <v>8280</v>
      </c>
      <c r="K21" s="213"/>
      <c r="L21" s="221">
        <v>44589</v>
      </c>
      <c r="M21" s="212" t="s">
        <v>8281</v>
      </c>
    </row>
    <row r="22" spans="1:13" ht="76.5">
      <c r="A22" s="33">
        <v>20</v>
      </c>
      <c r="B22" s="212" t="s">
        <v>8250</v>
      </c>
      <c r="C22" s="212"/>
      <c r="D22" s="212" t="s">
        <v>8279</v>
      </c>
      <c r="E22" s="212" t="s">
        <v>58</v>
      </c>
      <c r="F22" s="29"/>
      <c r="G22" s="7"/>
      <c r="H22" s="212" t="s">
        <v>8221</v>
      </c>
      <c r="I22" s="7">
        <v>44571</v>
      </c>
      <c r="J22" s="220" t="s">
        <v>8280</v>
      </c>
      <c r="K22" s="213"/>
      <c r="L22" s="221">
        <v>44589</v>
      </c>
      <c r="M22" s="212" t="s">
        <v>8281</v>
      </c>
    </row>
    <row r="23" spans="1:13" ht="76.5">
      <c r="A23" s="33">
        <v>21</v>
      </c>
      <c r="B23" s="212" t="s">
        <v>8250</v>
      </c>
      <c r="C23" s="212"/>
      <c r="D23" s="212" t="s">
        <v>8279</v>
      </c>
      <c r="E23" s="212" t="s">
        <v>58</v>
      </c>
      <c r="F23" s="29"/>
      <c r="G23" s="7"/>
      <c r="H23" s="212" t="s">
        <v>8221</v>
      </c>
      <c r="I23" s="7">
        <v>44571</v>
      </c>
      <c r="J23" s="220" t="s">
        <v>8280</v>
      </c>
      <c r="K23" s="213"/>
      <c r="L23" s="221">
        <v>44589</v>
      </c>
      <c r="M23" s="212" t="s">
        <v>8281</v>
      </c>
    </row>
    <row r="24" spans="1:13" ht="76.5">
      <c r="A24" s="33">
        <v>22</v>
      </c>
      <c r="B24" s="212" t="s">
        <v>8250</v>
      </c>
      <c r="C24" s="212"/>
      <c r="D24" s="212" t="s">
        <v>8283</v>
      </c>
      <c r="E24" s="212" t="s">
        <v>58</v>
      </c>
      <c r="F24" s="29" t="s">
        <v>8284</v>
      </c>
      <c r="G24" s="33" t="s">
        <v>8285</v>
      </c>
      <c r="H24" s="212" t="s">
        <v>8221</v>
      </c>
      <c r="I24" s="7">
        <v>44571</v>
      </c>
      <c r="J24" s="220" t="s">
        <v>8286</v>
      </c>
      <c r="K24" s="213"/>
      <c r="L24" s="221">
        <v>44596</v>
      </c>
      <c r="M24" s="212"/>
    </row>
    <row r="25" spans="1:13" ht="63.75">
      <c r="A25" s="33">
        <v>23</v>
      </c>
      <c r="B25" s="212" t="s">
        <v>8250</v>
      </c>
      <c r="C25" s="212"/>
      <c r="D25" s="212" t="s">
        <v>8287</v>
      </c>
      <c r="E25" s="212" t="s">
        <v>58</v>
      </c>
      <c r="F25" s="29" t="s">
        <v>8288</v>
      </c>
      <c r="G25" s="33" t="s">
        <v>8289</v>
      </c>
      <c r="H25" s="212" t="s">
        <v>8221</v>
      </c>
      <c r="I25" s="7">
        <v>44571</v>
      </c>
      <c r="J25" s="220" t="s">
        <v>8290</v>
      </c>
      <c r="K25" s="213"/>
      <c r="L25" s="221">
        <v>44596</v>
      </c>
      <c r="M25" s="212"/>
    </row>
    <row r="26" spans="1:13" ht="38.25">
      <c r="A26" s="33">
        <v>24</v>
      </c>
      <c r="B26" s="212" t="s">
        <v>8250</v>
      </c>
      <c r="C26" s="212"/>
      <c r="D26" s="212" t="s">
        <v>8291</v>
      </c>
      <c r="E26" s="212" t="s">
        <v>58</v>
      </c>
      <c r="F26" s="29" t="s">
        <v>8292</v>
      </c>
      <c r="G26" s="33" t="s">
        <v>8293</v>
      </c>
      <c r="H26" s="212" t="s">
        <v>8221</v>
      </c>
      <c r="I26" s="7">
        <v>44571</v>
      </c>
      <c r="J26" s="220"/>
      <c r="K26" s="213"/>
      <c r="L26" s="221"/>
      <c r="M26" s="212"/>
    </row>
    <row r="27" spans="1:13" ht="38.25">
      <c r="A27" s="33">
        <v>25</v>
      </c>
      <c r="B27" s="212" t="s">
        <v>8250</v>
      </c>
      <c r="C27" s="212"/>
      <c r="D27" s="212" t="s">
        <v>8291</v>
      </c>
      <c r="E27" s="212" t="s">
        <v>58</v>
      </c>
      <c r="F27" s="29" t="s">
        <v>8294</v>
      </c>
      <c r="G27" s="33" t="s">
        <v>8293</v>
      </c>
      <c r="H27" s="212" t="s">
        <v>8221</v>
      </c>
      <c r="I27" s="7">
        <v>44571</v>
      </c>
      <c r="J27" s="220" t="s">
        <v>8223</v>
      </c>
      <c r="K27" s="213"/>
      <c r="L27" s="221"/>
      <c r="M27" s="212"/>
    </row>
    <row r="28" spans="1:13" ht="38.25">
      <c r="A28" s="33">
        <v>26</v>
      </c>
      <c r="B28" s="212" t="s">
        <v>8250</v>
      </c>
      <c r="C28" s="212"/>
      <c r="D28" s="212" t="s">
        <v>8291</v>
      </c>
      <c r="E28" s="212" t="s">
        <v>58</v>
      </c>
      <c r="F28" s="29" t="s">
        <v>8295</v>
      </c>
      <c r="G28" s="33" t="s">
        <v>8293</v>
      </c>
      <c r="H28" s="212" t="s">
        <v>8221</v>
      </c>
      <c r="I28" s="7">
        <v>44571</v>
      </c>
      <c r="J28" s="220" t="s">
        <v>8223</v>
      </c>
      <c r="K28" s="213"/>
      <c r="L28" s="221"/>
      <c r="M28" s="212"/>
    </row>
    <row r="29" spans="1:13" ht="38.25">
      <c r="A29" s="33">
        <v>27</v>
      </c>
      <c r="B29" s="212" t="s">
        <v>8250</v>
      </c>
      <c r="C29" s="212"/>
      <c r="D29" s="212" t="s">
        <v>8291</v>
      </c>
      <c r="E29" s="212" t="s">
        <v>58</v>
      </c>
      <c r="F29" s="29" t="s">
        <v>8296</v>
      </c>
      <c r="G29" s="33" t="s">
        <v>8293</v>
      </c>
      <c r="H29" s="212" t="s">
        <v>8221</v>
      </c>
      <c r="I29" s="7">
        <v>44571</v>
      </c>
      <c r="J29" s="220" t="s">
        <v>8223</v>
      </c>
      <c r="K29" s="213"/>
      <c r="L29" s="221"/>
      <c r="M29" s="212"/>
    </row>
    <row r="30" spans="1:13" ht="38.25">
      <c r="A30" s="33">
        <v>28</v>
      </c>
      <c r="B30" s="212" t="s">
        <v>8250</v>
      </c>
      <c r="C30" s="212"/>
      <c r="D30" s="212" t="s">
        <v>8291</v>
      </c>
      <c r="E30" s="212" t="s">
        <v>58</v>
      </c>
      <c r="F30" s="29" t="s">
        <v>8297</v>
      </c>
      <c r="G30" s="33" t="s">
        <v>8293</v>
      </c>
      <c r="H30" s="212" t="s">
        <v>8221</v>
      </c>
      <c r="I30" s="7">
        <v>44571</v>
      </c>
      <c r="J30" s="220"/>
      <c r="K30" s="213"/>
      <c r="L30" s="221"/>
      <c r="M30" s="212"/>
    </row>
    <row r="31" spans="1:13" ht="38.25">
      <c r="A31" s="33">
        <v>29</v>
      </c>
      <c r="B31" s="212" t="s">
        <v>8250</v>
      </c>
      <c r="C31" s="212"/>
      <c r="D31" s="212" t="s">
        <v>8291</v>
      </c>
      <c r="E31" s="212" t="s">
        <v>58</v>
      </c>
      <c r="F31" s="29" t="s">
        <v>8298</v>
      </c>
      <c r="G31" s="33" t="s">
        <v>8293</v>
      </c>
      <c r="H31" s="212" t="s">
        <v>8221</v>
      </c>
      <c r="I31" s="7">
        <v>44571</v>
      </c>
      <c r="J31" s="220"/>
      <c r="K31" s="213"/>
      <c r="L31" s="221"/>
      <c r="M31" s="212"/>
    </row>
    <row r="32" spans="1:13" ht="38.25">
      <c r="A32" s="33">
        <v>30</v>
      </c>
      <c r="B32" s="212" t="s">
        <v>8250</v>
      </c>
      <c r="C32" s="212"/>
      <c r="D32" s="212" t="s">
        <v>8291</v>
      </c>
      <c r="E32" s="212" t="s">
        <v>58</v>
      </c>
      <c r="F32" s="29" t="s">
        <v>8299</v>
      </c>
      <c r="G32" s="33" t="s">
        <v>8293</v>
      </c>
      <c r="H32" s="212" t="s">
        <v>8221</v>
      </c>
      <c r="I32" s="7">
        <v>44571</v>
      </c>
      <c r="J32" s="220"/>
      <c r="K32" s="213"/>
      <c r="L32" s="221"/>
      <c r="M32" s="212"/>
    </row>
    <row r="33" spans="1:13" ht="38.25">
      <c r="A33" s="33">
        <v>31</v>
      </c>
      <c r="B33" s="212" t="s">
        <v>8250</v>
      </c>
      <c r="C33" s="212"/>
      <c r="D33" s="212" t="s">
        <v>8291</v>
      </c>
      <c r="E33" s="212" t="s">
        <v>58</v>
      </c>
      <c r="F33" s="29" t="s">
        <v>8300</v>
      </c>
      <c r="G33" s="33" t="s">
        <v>8293</v>
      </c>
      <c r="H33" s="212" t="s">
        <v>8221</v>
      </c>
      <c r="I33" s="7">
        <v>44571</v>
      </c>
      <c r="J33" s="220" t="s">
        <v>8301</v>
      </c>
      <c r="K33" s="213"/>
      <c r="L33" s="221">
        <v>44606</v>
      </c>
      <c r="M33" s="212"/>
    </row>
    <row r="34" spans="1:13" ht="38.25">
      <c r="A34" s="33">
        <v>32</v>
      </c>
      <c r="B34" s="212" t="s">
        <v>8250</v>
      </c>
      <c r="C34" s="212"/>
      <c r="D34" s="212" t="s">
        <v>8291</v>
      </c>
      <c r="E34" s="212" t="s">
        <v>58</v>
      </c>
      <c r="F34" s="29" t="s">
        <v>8302</v>
      </c>
      <c r="G34" s="33" t="s">
        <v>8293</v>
      </c>
      <c r="H34" s="212" t="s">
        <v>8221</v>
      </c>
      <c r="I34" s="7">
        <v>44571</v>
      </c>
      <c r="J34" s="220" t="s">
        <v>8301</v>
      </c>
      <c r="K34" s="213"/>
      <c r="L34" s="221">
        <v>44606</v>
      </c>
      <c r="M34" s="212"/>
    </row>
    <row r="35" spans="1:13" ht="38.25">
      <c r="A35" s="33">
        <v>33</v>
      </c>
      <c r="B35" s="212" t="s">
        <v>8250</v>
      </c>
      <c r="C35" s="212"/>
      <c r="D35" s="212" t="s">
        <v>8291</v>
      </c>
      <c r="E35" s="212" t="s">
        <v>58</v>
      </c>
      <c r="F35" s="29" t="s">
        <v>8303</v>
      </c>
      <c r="G35" s="33" t="s">
        <v>8293</v>
      </c>
      <c r="H35" s="212" t="s">
        <v>8221</v>
      </c>
      <c r="I35" s="7">
        <v>44571</v>
      </c>
      <c r="J35" s="220" t="s">
        <v>8301</v>
      </c>
      <c r="K35" s="213"/>
      <c r="L35" s="221">
        <v>44606</v>
      </c>
      <c r="M35" s="212"/>
    </row>
    <row r="36" spans="1:13" ht="38.25">
      <c r="A36" s="33">
        <v>34</v>
      </c>
      <c r="B36" s="212" t="s">
        <v>8250</v>
      </c>
      <c r="C36" s="212"/>
      <c r="D36" s="212" t="s">
        <v>8291</v>
      </c>
      <c r="E36" s="212" t="s">
        <v>58</v>
      </c>
      <c r="F36" s="29" t="s">
        <v>8304</v>
      </c>
      <c r="G36" s="33" t="s">
        <v>8305</v>
      </c>
      <c r="H36" s="212" t="s">
        <v>8221</v>
      </c>
      <c r="I36" s="7">
        <v>44571</v>
      </c>
      <c r="J36" s="220"/>
      <c r="K36" s="213"/>
      <c r="L36" s="221"/>
      <c r="M36" s="212"/>
    </row>
    <row r="37" spans="1:13" ht="38.25">
      <c r="A37" s="33">
        <v>35</v>
      </c>
      <c r="B37" s="212" t="s">
        <v>8250</v>
      </c>
      <c r="C37" s="212"/>
      <c r="D37" s="212" t="s">
        <v>8291</v>
      </c>
      <c r="E37" s="212" t="s">
        <v>58</v>
      </c>
      <c r="F37" s="29" t="s">
        <v>8306</v>
      </c>
      <c r="G37" s="33" t="s">
        <v>8305</v>
      </c>
      <c r="H37" s="212" t="s">
        <v>8221</v>
      </c>
      <c r="I37" s="7">
        <v>44571</v>
      </c>
      <c r="J37" s="220"/>
      <c r="K37" s="213"/>
      <c r="L37" s="221"/>
      <c r="M37" s="212"/>
    </row>
    <row r="38" spans="1:13" ht="38.25">
      <c r="A38" s="33">
        <v>36</v>
      </c>
      <c r="B38" s="212" t="s">
        <v>8250</v>
      </c>
      <c r="C38" s="212"/>
      <c r="D38" s="212" t="s">
        <v>8291</v>
      </c>
      <c r="E38" s="212" t="s">
        <v>58</v>
      </c>
      <c r="F38" s="29" t="s">
        <v>8307</v>
      </c>
      <c r="G38" s="33" t="s">
        <v>8305</v>
      </c>
      <c r="H38" s="212" t="s">
        <v>8221</v>
      </c>
      <c r="I38" s="7">
        <v>44571</v>
      </c>
      <c r="J38" s="220"/>
      <c r="K38" s="213"/>
      <c r="L38" s="221"/>
      <c r="M38" s="212"/>
    </row>
    <row r="39" spans="1:13" ht="38.25">
      <c r="A39" s="33">
        <v>37</v>
      </c>
      <c r="B39" s="212" t="s">
        <v>8250</v>
      </c>
      <c r="C39" s="212"/>
      <c r="D39" s="212" t="s">
        <v>8291</v>
      </c>
      <c r="E39" s="212" t="s">
        <v>58</v>
      </c>
      <c r="F39" s="29" t="s">
        <v>8308</v>
      </c>
      <c r="G39" s="33" t="s">
        <v>8305</v>
      </c>
      <c r="H39" s="212" t="s">
        <v>8221</v>
      </c>
      <c r="I39" s="7">
        <v>44571</v>
      </c>
      <c r="J39" s="220"/>
      <c r="K39" s="213"/>
      <c r="L39" s="221"/>
      <c r="M39" s="212"/>
    </row>
    <row r="40" spans="1:13" ht="38.25">
      <c r="A40" s="33">
        <v>38</v>
      </c>
      <c r="B40" s="212" t="s">
        <v>8250</v>
      </c>
      <c r="C40" s="212"/>
      <c r="D40" s="212" t="s">
        <v>8309</v>
      </c>
      <c r="E40" s="212" t="s">
        <v>58</v>
      </c>
      <c r="F40" s="29" t="s">
        <v>8310</v>
      </c>
      <c r="G40" s="33" t="s">
        <v>8293</v>
      </c>
      <c r="H40" s="212" t="s">
        <v>53</v>
      </c>
      <c r="I40" s="7">
        <v>44571</v>
      </c>
      <c r="J40" s="220"/>
      <c r="K40" s="213"/>
      <c r="L40" s="221"/>
      <c r="M40" s="212"/>
    </row>
    <row r="41" spans="1:13" ht="38.25">
      <c r="A41" s="33">
        <v>39</v>
      </c>
      <c r="B41" s="212" t="s">
        <v>8250</v>
      </c>
      <c r="C41" s="212"/>
      <c r="D41" s="212" t="s">
        <v>8309</v>
      </c>
      <c r="E41" s="212" t="s">
        <v>58</v>
      </c>
      <c r="F41" s="29" t="s">
        <v>8311</v>
      </c>
      <c r="G41" s="33" t="s">
        <v>8293</v>
      </c>
      <c r="H41" s="212" t="s">
        <v>53</v>
      </c>
      <c r="I41" s="7">
        <v>44571</v>
      </c>
      <c r="J41" s="220"/>
      <c r="K41" s="213"/>
      <c r="L41" s="221"/>
      <c r="M41" s="212"/>
    </row>
    <row r="42" spans="1:13" ht="38.25">
      <c r="A42" s="33">
        <v>40</v>
      </c>
      <c r="B42" s="212" t="s">
        <v>8250</v>
      </c>
      <c r="C42" s="212"/>
      <c r="D42" s="212" t="s">
        <v>8312</v>
      </c>
      <c r="E42" s="212" t="s">
        <v>58</v>
      </c>
      <c r="F42" s="29" t="s">
        <v>8313</v>
      </c>
      <c r="G42" s="33" t="s">
        <v>8314</v>
      </c>
      <c r="H42" s="212" t="s">
        <v>53</v>
      </c>
      <c r="I42" s="7">
        <v>44571</v>
      </c>
      <c r="J42" s="220"/>
      <c r="K42" s="213"/>
      <c r="L42" s="221"/>
      <c r="M42" s="212"/>
    </row>
    <row r="43" spans="1:13">
      <c r="A43" s="31"/>
      <c r="B43" s="220"/>
      <c r="C43" s="220"/>
      <c r="D43" s="220"/>
      <c r="E43" s="220"/>
      <c r="F43" s="30"/>
      <c r="G43" s="236"/>
      <c r="H43" s="220"/>
      <c r="I43" s="236"/>
      <c r="J43" s="220"/>
      <c r="K43" s="213"/>
      <c r="L43" s="221"/>
      <c r="M43" s="220"/>
    </row>
    <row r="44" spans="1:13" ht="76.5">
      <c r="A44" s="33">
        <v>1</v>
      </c>
      <c r="B44" s="212" t="s">
        <v>8250</v>
      </c>
      <c r="C44" s="212"/>
      <c r="D44" s="212" t="s">
        <v>8315</v>
      </c>
      <c r="E44" s="212" t="s">
        <v>58</v>
      </c>
      <c r="F44" s="29">
        <v>498</v>
      </c>
      <c r="G44" s="7">
        <v>44467</v>
      </c>
      <c r="H44" s="212" t="s">
        <v>8221</v>
      </c>
      <c r="I44" s="7">
        <v>44571</v>
      </c>
      <c r="J44" s="220" t="s">
        <v>8223</v>
      </c>
      <c r="K44" s="213"/>
      <c r="L44" s="221"/>
      <c r="M44" s="212"/>
    </row>
    <row r="45" spans="1:13" ht="76.5">
      <c r="A45" s="33">
        <v>2</v>
      </c>
      <c r="B45" s="212" t="s">
        <v>8250</v>
      </c>
      <c r="C45" s="212"/>
      <c r="D45" s="212" t="s">
        <v>8315</v>
      </c>
      <c r="E45" s="212" t="s">
        <v>58</v>
      </c>
      <c r="F45" s="29">
        <v>1003</v>
      </c>
      <c r="G45" s="7">
        <v>44469</v>
      </c>
      <c r="H45" s="212" t="s">
        <v>8221</v>
      </c>
      <c r="I45" s="7">
        <v>44571</v>
      </c>
      <c r="J45" s="220"/>
      <c r="K45" s="213"/>
      <c r="L45" s="221"/>
      <c r="M45" s="212"/>
    </row>
    <row r="46" spans="1:13" ht="76.5">
      <c r="A46" s="33">
        <v>3</v>
      </c>
      <c r="B46" s="212" t="s">
        <v>8250</v>
      </c>
      <c r="C46" s="212"/>
      <c r="D46" s="212" t="s">
        <v>8315</v>
      </c>
      <c r="E46" s="212" t="s">
        <v>58</v>
      </c>
      <c r="F46" s="29">
        <v>996</v>
      </c>
      <c r="G46" s="7">
        <v>44469</v>
      </c>
      <c r="H46" s="212" t="s">
        <v>8221</v>
      </c>
      <c r="I46" s="7">
        <v>44571</v>
      </c>
      <c r="J46" s="220"/>
      <c r="K46" s="213"/>
      <c r="L46" s="221"/>
      <c r="M46" s="212"/>
    </row>
    <row r="47" spans="1:13" ht="76.5">
      <c r="A47" s="33">
        <v>4</v>
      </c>
      <c r="B47" s="212" t="s">
        <v>8250</v>
      </c>
      <c r="C47" s="212"/>
      <c r="D47" s="212" t="s">
        <v>8315</v>
      </c>
      <c r="E47" s="212" t="s">
        <v>58</v>
      </c>
      <c r="F47" s="29">
        <v>1703</v>
      </c>
      <c r="G47" s="7">
        <v>44470</v>
      </c>
      <c r="H47" s="212" t="s">
        <v>8221</v>
      </c>
      <c r="I47" s="7">
        <v>44571</v>
      </c>
      <c r="J47" s="220"/>
      <c r="K47" s="213"/>
      <c r="L47" s="221"/>
      <c r="M47" s="212"/>
    </row>
    <row r="48" spans="1:13" ht="76.5">
      <c r="A48" s="33">
        <v>5</v>
      </c>
      <c r="B48" s="212" t="s">
        <v>8250</v>
      </c>
      <c r="C48" s="212"/>
      <c r="D48" s="212" t="s">
        <v>8315</v>
      </c>
      <c r="E48" s="212" t="s">
        <v>58</v>
      </c>
      <c r="F48" s="29">
        <v>1005</v>
      </c>
      <c r="G48" s="7">
        <v>44469</v>
      </c>
      <c r="H48" s="212" t="s">
        <v>8221</v>
      </c>
      <c r="I48" s="7">
        <v>44571</v>
      </c>
      <c r="J48" s="220" t="s">
        <v>3239</v>
      </c>
      <c r="K48" s="213"/>
      <c r="L48" s="221"/>
      <c r="M48" s="212"/>
    </row>
    <row r="49" spans="1:13" ht="76.5">
      <c r="A49" s="33">
        <v>6</v>
      </c>
      <c r="B49" s="212" t="s">
        <v>8250</v>
      </c>
      <c r="C49" s="212"/>
      <c r="D49" s="212" t="s">
        <v>8315</v>
      </c>
      <c r="E49" s="212" t="s">
        <v>58</v>
      </c>
      <c r="F49" s="29">
        <v>993</v>
      </c>
      <c r="G49" s="7">
        <v>44469</v>
      </c>
      <c r="H49" s="212" t="s">
        <v>8221</v>
      </c>
      <c r="I49" s="7">
        <v>44571</v>
      </c>
      <c r="J49" s="220" t="s">
        <v>8223</v>
      </c>
      <c r="K49" s="213"/>
      <c r="L49" s="221"/>
      <c r="M49" s="212"/>
    </row>
    <row r="50" spans="1:13" ht="76.5">
      <c r="A50" s="33">
        <v>7</v>
      </c>
      <c r="B50" s="212" t="s">
        <v>8250</v>
      </c>
      <c r="C50" s="212"/>
      <c r="D50" s="212" t="s">
        <v>8315</v>
      </c>
      <c r="E50" s="212" t="s">
        <v>58</v>
      </c>
      <c r="F50" s="29">
        <v>990</v>
      </c>
      <c r="G50" s="7">
        <v>44469</v>
      </c>
      <c r="H50" s="212" t="s">
        <v>8221</v>
      </c>
      <c r="I50" s="7">
        <v>44571</v>
      </c>
      <c r="J50" s="220"/>
      <c r="K50" s="213"/>
      <c r="L50" s="221"/>
      <c r="M50" s="212"/>
    </row>
    <row r="51" spans="1:13" ht="76.5">
      <c r="A51" s="33">
        <v>8</v>
      </c>
      <c r="B51" s="212" t="s">
        <v>8250</v>
      </c>
      <c r="C51" s="212"/>
      <c r="D51" s="212" t="s">
        <v>8315</v>
      </c>
      <c r="E51" s="212" t="s">
        <v>58</v>
      </c>
      <c r="F51" s="29">
        <v>1817</v>
      </c>
      <c r="G51" s="7">
        <v>44473</v>
      </c>
      <c r="H51" s="212" t="s">
        <v>8221</v>
      </c>
      <c r="I51" s="7">
        <v>44571</v>
      </c>
      <c r="J51" s="220" t="s">
        <v>3239</v>
      </c>
      <c r="K51" s="213"/>
      <c r="L51" s="221"/>
      <c r="M51" s="212"/>
    </row>
    <row r="52" spans="1:13" ht="76.5">
      <c r="A52" s="33">
        <v>9</v>
      </c>
      <c r="B52" s="212" t="s">
        <v>8250</v>
      </c>
      <c r="C52" s="212"/>
      <c r="D52" s="212" t="s">
        <v>8315</v>
      </c>
      <c r="E52" s="212" t="s">
        <v>58</v>
      </c>
      <c r="F52" s="29">
        <v>1004</v>
      </c>
      <c r="G52" s="7">
        <v>44469</v>
      </c>
      <c r="H52" s="212" t="s">
        <v>8221</v>
      </c>
      <c r="I52" s="7">
        <v>44571</v>
      </c>
      <c r="J52" s="220" t="s">
        <v>8223</v>
      </c>
      <c r="K52" s="213"/>
      <c r="L52" s="221"/>
      <c r="M52" s="212"/>
    </row>
    <row r="53" spans="1:13" ht="76.5">
      <c r="A53" s="33">
        <v>10</v>
      </c>
      <c r="B53" s="212" t="s">
        <v>8250</v>
      </c>
      <c r="C53" s="212"/>
      <c r="D53" s="212" t="s">
        <v>8315</v>
      </c>
      <c r="E53" s="212" t="s">
        <v>58</v>
      </c>
      <c r="F53" s="29">
        <v>992</v>
      </c>
      <c r="G53" s="7">
        <v>44469</v>
      </c>
      <c r="H53" s="212" t="s">
        <v>8221</v>
      </c>
      <c r="I53" s="7">
        <v>44571</v>
      </c>
      <c r="J53" s="220"/>
      <c r="K53" s="213"/>
      <c r="L53" s="221"/>
      <c r="M53" s="212"/>
    </row>
    <row r="54" spans="1:13" ht="76.5">
      <c r="A54" s="33">
        <v>11</v>
      </c>
      <c r="B54" s="212" t="s">
        <v>8250</v>
      </c>
      <c r="C54" s="212"/>
      <c r="D54" s="212" t="s">
        <v>8315</v>
      </c>
      <c r="E54" s="212" t="s">
        <v>58</v>
      </c>
      <c r="F54" s="29">
        <v>1001</v>
      </c>
      <c r="G54" s="7">
        <v>44469</v>
      </c>
      <c r="H54" s="212" t="s">
        <v>8221</v>
      </c>
      <c r="I54" s="7">
        <v>44571</v>
      </c>
      <c r="J54" s="220"/>
      <c r="K54" s="213"/>
      <c r="L54" s="221"/>
      <c r="M54" s="212"/>
    </row>
    <row r="55" spans="1:13" ht="76.5">
      <c r="A55" s="33">
        <v>12</v>
      </c>
      <c r="B55" s="212" t="s">
        <v>8250</v>
      </c>
      <c r="C55" s="212"/>
      <c r="D55" s="212" t="s">
        <v>8315</v>
      </c>
      <c r="E55" s="212" t="s">
        <v>58</v>
      </c>
      <c r="F55" s="29">
        <v>997</v>
      </c>
      <c r="G55" s="7">
        <v>44469</v>
      </c>
      <c r="H55" s="212" t="s">
        <v>8221</v>
      </c>
      <c r="I55" s="7">
        <v>44571</v>
      </c>
      <c r="J55" s="220"/>
      <c r="K55" s="213"/>
      <c r="L55" s="221"/>
      <c r="M55" s="212"/>
    </row>
    <row r="56" spans="1:13" ht="76.5">
      <c r="A56" s="33">
        <v>13</v>
      </c>
      <c r="B56" s="212" t="s">
        <v>8250</v>
      </c>
      <c r="C56" s="212"/>
      <c r="D56" s="212" t="s">
        <v>8315</v>
      </c>
      <c r="E56" s="212" t="s">
        <v>58</v>
      </c>
      <c r="F56" s="29">
        <v>995</v>
      </c>
      <c r="G56" s="7">
        <v>44469</v>
      </c>
      <c r="H56" s="212" t="s">
        <v>8221</v>
      </c>
      <c r="I56" s="7">
        <v>44571</v>
      </c>
      <c r="J56" s="220"/>
      <c r="K56" s="213"/>
      <c r="L56" s="221"/>
      <c r="M56" s="212"/>
    </row>
    <row r="57" spans="1:13" ht="76.5">
      <c r="A57" s="33">
        <v>14</v>
      </c>
      <c r="B57" s="212" t="s">
        <v>8250</v>
      </c>
      <c r="C57" s="212"/>
      <c r="D57" s="212" t="s">
        <v>8315</v>
      </c>
      <c r="E57" s="212" t="s">
        <v>58</v>
      </c>
      <c r="F57" s="29">
        <v>680</v>
      </c>
      <c r="G57" s="7">
        <v>44469</v>
      </c>
      <c r="H57" s="212" t="s">
        <v>8221</v>
      </c>
      <c r="I57" s="7">
        <v>44571</v>
      </c>
      <c r="J57" s="220"/>
      <c r="K57" s="213"/>
      <c r="L57" s="221"/>
      <c r="M57" s="212"/>
    </row>
    <row r="58" spans="1:13" ht="76.5">
      <c r="A58" s="33">
        <v>15</v>
      </c>
      <c r="B58" s="212" t="s">
        <v>8250</v>
      </c>
      <c r="C58" s="212"/>
      <c r="D58" s="212" t="s">
        <v>8315</v>
      </c>
      <c r="E58" s="212" t="s">
        <v>58</v>
      </c>
      <c r="F58" s="29">
        <v>757</v>
      </c>
      <c r="G58" s="7">
        <v>44468</v>
      </c>
      <c r="H58" s="212" t="s">
        <v>8221</v>
      </c>
      <c r="I58" s="7">
        <v>44571</v>
      </c>
      <c r="J58" s="220"/>
      <c r="K58" s="213"/>
      <c r="L58" s="221"/>
      <c r="M58" s="212"/>
    </row>
    <row r="59" spans="1:13" ht="76.5">
      <c r="A59" s="33">
        <v>16</v>
      </c>
      <c r="B59" s="212" t="s">
        <v>8250</v>
      </c>
      <c r="C59" s="212"/>
      <c r="D59" s="212" t="s">
        <v>8315</v>
      </c>
      <c r="E59" s="212" t="s">
        <v>58</v>
      </c>
      <c r="F59" s="29">
        <v>573</v>
      </c>
      <c r="G59" s="7">
        <v>43868</v>
      </c>
      <c r="H59" s="212" t="s">
        <v>8221</v>
      </c>
      <c r="I59" s="7">
        <v>44571</v>
      </c>
      <c r="J59" s="220"/>
      <c r="K59" s="213"/>
      <c r="L59" s="221"/>
      <c r="M59" s="212"/>
    </row>
    <row r="60" spans="1:13" ht="76.5">
      <c r="A60" s="33">
        <v>17</v>
      </c>
      <c r="B60" s="212" t="s">
        <v>8250</v>
      </c>
      <c r="C60" s="212"/>
      <c r="D60" s="212" t="s">
        <v>8315</v>
      </c>
      <c r="E60" s="212" t="s">
        <v>58</v>
      </c>
      <c r="F60" s="29" t="s">
        <v>8316</v>
      </c>
      <c r="G60" s="7"/>
      <c r="H60" s="212" t="s">
        <v>8221</v>
      </c>
      <c r="I60" s="7">
        <v>44571</v>
      </c>
      <c r="J60" s="220"/>
      <c r="K60" s="213"/>
      <c r="L60" s="221"/>
      <c r="M60" s="212" t="s">
        <v>8317</v>
      </c>
    </row>
    <row r="61" spans="1:13" ht="76.5">
      <c r="A61" s="33">
        <v>18</v>
      </c>
      <c r="B61" s="212" t="s">
        <v>8250</v>
      </c>
      <c r="C61" s="212"/>
      <c r="D61" s="212" t="s">
        <v>8315</v>
      </c>
      <c r="E61" s="212" t="s">
        <v>58</v>
      </c>
      <c r="F61" s="29" t="s">
        <v>8316</v>
      </c>
      <c r="G61" s="7"/>
      <c r="H61" s="212" t="s">
        <v>8221</v>
      </c>
      <c r="I61" s="7">
        <v>44571</v>
      </c>
      <c r="J61" s="220"/>
      <c r="K61" s="213"/>
      <c r="L61" s="221"/>
      <c r="M61" s="212" t="s">
        <v>8317</v>
      </c>
    </row>
    <row r="62" spans="1:13" ht="76.5">
      <c r="A62" s="33">
        <v>19</v>
      </c>
      <c r="B62" s="212" t="s">
        <v>8250</v>
      </c>
      <c r="C62" s="212"/>
      <c r="D62" s="212" t="s">
        <v>8315</v>
      </c>
      <c r="E62" s="212" t="s">
        <v>58</v>
      </c>
      <c r="F62" s="29" t="s">
        <v>8316</v>
      </c>
      <c r="G62" s="7"/>
      <c r="H62" s="212" t="s">
        <v>8221</v>
      </c>
      <c r="I62" s="7">
        <v>44571</v>
      </c>
      <c r="J62" s="220"/>
      <c r="K62" s="213"/>
      <c r="L62" s="221"/>
      <c r="M62" s="212" t="s">
        <v>8317</v>
      </c>
    </row>
    <row r="63" spans="1:13" ht="76.5">
      <c r="A63" s="33">
        <v>20</v>
      </c>
      <c r="B63" s="212" t="s">
        <v>8250</v>
      </c>
      <c r="C63" s="212"/>
      <c r="D63" s="212" t="s">
        <v>8315</v>
      </c>
      <c r="E63" s="212" t="s">
        <v>58</v>
      </c>
      <c r="F63" s="29" t="s">
        <v>8316</v>
      </c>
      <c r="G63" s="7"/>
      <c r="H63" s="212" t="s">
        <v>8221</v>
      </c>
      <c r="I63" s="7">
        <v>44571</v>
      </c>
      <c r="J63" s="220"/>
      <c r="K63" s="213"/>
      <c r="L63" s="221"/>
      <c r="M63" s="212" t="s">
        <v>8317</v>
      </c>
    </row>
    <row r="64" spans="1:13" ht="76.5">
      <c r="A64" s="33">
        <v>21</v>
      </c>
      <c r="B64" s="212" t="s">
        <v>8250</v>
      </c>
      <c r="C64" s="212"/>
      <c r="D64" s="212" t="s">
        <v>8315</v>
      </c>
      <c r="E64" s="212" t="s">
        <v>58</v>
      </c>
      <c r="F64" s="29">
        <v>1603</v>
      </c>
      <c r="G64" s="7"/>
      <c r="H64" s="212" t="s">
        <v>8221</v>
      </c>
      <c r="I64" s="7">
        <v>44571</v>
      </c>
      <c r="J64" s="220" t="s">
        <v>8318</v>
      </c>
      <c r="K64" s="213"/>
      <c r="L64" s="221">
        <v>44578</v>
      </c>
      <c r="M64" s="212"/>
    </row>
    <row r="65" spans="1:13" ht="76.5">
      <c r="A65" s="33">
        <v>22</v>
      </c>
      <c r="B65" s="212" t="s">
        <v>8250</v>
      </c>
      <c r="C65" s="212"/>
      <c r="D65" s="212" t="s">
        <v>8315</v>
      </c>
      <c r="E65" s="212" t="s">
        <v>58</v>
      </c>
      <c r="F65" s="29">
        <v>1878</v>
      </c>
      <c r="G65" s="7"/>
      <c r="H65" s="212" t="s">
        <v>8221</v>
      </c>
      <c r="I65" s="7">
        <v>44571</v>
      </c>
      <c r="J65" s="220" t="s">
        <v>8318</v>
      </c>
      <c r="K65" s="213"/>
      <c r="L65" s="221">
        <v>44578</v>
      </c>
      <c r="M65" s="212"/>
    </row>
    <row r="66" spans="1:13" ht="76.5">
      <c r="A66" s="33">
        <v>23</v>
      </c>
      <c r="B66" s="212" t="s">
        <v>8250</v>
      </c>
      <c r="C66" s="212"/>
      <c r="D66" s="212" t="s">
        <v>8315</v>
      </c>
      <c r="E66" s="212" t="s">
        <v>58</v>
      </c>
      <c r="F66" s="29">
        <v>631</v>
      </c>
      <c r="G66" s="7"/>
      <c r="H66" s="212" t="s">
        <v>8221</v>
      </c>
      <c r="I66" s="7">
        <v>44571</v>
      </c>
      <c r="J66" s="220" t="s">
        <v>8318</v>
      </c>
      <c r="K66" s="213"/>
      <c r="L66" s="221">
        <v>44578</v>
      </c>
      <c r="M66" s="212"/>
    </row>
    <row r="67" spans="1:13" ht="76.5">
      <c r="A67" s="33">
        <v>24</v>
      </c>
      <c r="B67" s="212" t="s">
        <v>8250</v>
      </c>
      <c r="C67" s="212"/>
      <c r="D67" s="212" t="s">
        <v>8315</v>
      </c>
      <c r="E67" s="212" t="s">
        <v>58</v>
      </c>
      <c r="F67" s="29">
        <v>1820</v>
      </c>
      <c r="G67" s="7"/>
      <c r="H67" s="212" t="s">
        <v>8221</v>
      </c>
      <c r="I67" s="7">
        <v>44571</v>
      </c>
      <c r="J67" s="220" t="s">
        <v>8318</v>
      </c>
      <c r="K67" s="213"/>
      <c r="L67" s="221">
        <v>44578</v>
      </c>
      <c r="M67" s="212"/>
    </row>
    <row r="68" spans="1:13" ht="76.5">
      <c r="A68" s="33">
        <v>25</v>
      </c>
      <c r="B68" s="212" t="s">
        <v>8250</v>
      </c>
      <c r="C68" s="212"/>
      <c r="D68" s="212" t="s">
        <v>8315</v>
      </c>
      <c r="E68" s="212" t="s">
        <v>58</v>
      </c>
      <c r="F68" s="29">
        <v>1815</v>
      </c>
      <c r="G68" s="7"/>
      <c r="H68" s="212" t="s">
        <v>8221</v>
      </c>
      <c r="I68" s="7">
        <v>44571</v>
      </c>
      <c r="J68" s="220" t="s">
        <v>3931</v>
      </c>
      <c r="K68" s="213"/>
      <c r="L68" s="221">
        <v>44595</v>
      </c>
      <c r="M68" s="212"/>
    </row>
    <row r="69" spans="1:13" ht="76.5">
      <c r="A69" s="33">
        <v>26</v>
      </c>
      <c r="B69" s="212" t="s">
        <v>8250</v>
      </c>
      <c r="C69" s="212"/>
      <c r="D69" s="212" t="s">
        <v>8315</v>
      </c>
      <c r="E69" s="212" t="s">
        <v>58</v>
      </c>
      <c r="F69" s="29">
        <v>1410</v>
      </c>
      <c r="G69" s="7"/>
      <c r="H69" s="212" t="s">
        <v>8221</v>
      </c>
      <c r="I69" s="7">
        <v>44571</v>
      </c>
      <c r="J69" s="220" t="s">
        <v>8290</v>
      </c>
      <c r="K69" s="213"/>
      <c r="L69" s="221">
        <v>44596</v>
      </c>
      <c r="M69" s="212"/>
    </row>
    <row r="70" spans="1:13" ht="76.5">
      <c r="A70" s="33">
        <v>27</v>
      </c>
      <c r="B70" s="212" t="s">
        <v>8250</v>
      </c>
      <c r="C70" s="212"/>
      <c r="D70" s="212" t="s">
        <v>8315</v>
      </c>
      <c r="E70" s="212" t="s">
        <v>58</v>
      </c>
      <c r="F70" s="29">
        <v>681</v>
      </c>
      <c r="G70" s="7"/>
      <c r="H70" s="212" t="s">
        <v>8221</v>
      </c>
      <c r="I70" s="7">
        <v>44571</v>
      </c>
      <c r="J70" s="220" t="s">
        <v>8286</v>
      </c>
      <c r="K70" s="213"/>
      <c r="L70" s="221">
        <v>44596</v>
      </c>
      <c r="M70" s="212"/>
    </row>
    <row r="71" spans="1:13" ht="76.5">
      <c r="A71" s="33">
        <v>28</v>
      </c>
      <c r="B71" s="212" t="s">
        <v>8250</v>
      </c>
      <c r="C71" s="212"/>
      <c r="D71" s="212" t="s">
        <v>8315</v>
      </c>
      <c r="E71" s="212" t="s">
        <v>58</v>
      </c>
      <c r="F71" s="29">
        <v>895</v>
      </c>
      <c r="G71" s="7"/>
      <c r="H71" s="212" t="s">
        <v>8221</v>
      </c>
      <c r="I71" s="7">
        <v>44571</v>
      </c>
      <c r="J71" s="220" t="s">
        <v>8276</v>
      </c>
      <c r="K71" s="213"/>
      <c r="L71" s="221">
        <v>44596</v>
      </c>
      <c r="M71" s="212"/>
    </row>
    <row r="72" spans="1:13" ht="76.5">
      <c r="A72" s="33">
        <v>29</v>
      </c>
      <c r="B72" s="212" t="s">
        <v>8250</v>
      </c>
      <c r="C72" s="212"/>
      <c r="D72" s="212" t="s">
        <v>8315</v>
      </c>
      <c r="E72" s="212" t="s">
        <v>58</v>
      </c>
      <c r="F72" s="29">
        <v>994</v>
      </c>
      <c r="G72" s="7"/>
      <c r="H72" s="212" t="s">
        <v>8221</v>
      </c>
      <c r="I72" s="7">
        <v>44571</v>
      </c>
      <c r="J72" s="220" t="s">
        <v>8319</v>
      </c>
      <c r="K72" s="213"/>
      <c r="L72" s="221">
        <v>44608</v>
      </c>
      <c r="M72" s="212"/>
    </row>
    <row r="73" spans="1:13" ht="76.5">
      <c r="A73" s="33">
        <v>30</v>
      </c>
      <c r="B73" s="212" t="s">
        <v>8250</v>
      </c>
      <c r="C73" s="212"/>
      <c r="D73" s="212" t="s">
        <v>8315</v>
      </c>
      <c r="E73" s="212" t="s">
        <v>58</v>
      </c>
      <c r="F73" s="29">
        <v>1002</v>
      </c>
      <c r="G73" s="7"/>
      <c r="H73" s="212" t="s">
        <v>8221</v>
      </c>
      <c r="I73" s="7">
        <v>44571</v>
      </c>
      <c r="J73" s="220" t="s">
        <v>8319</v>
      </c>
      <c r="K73" s="213"/>
      <c r="L73" s="221">
        <v>44608</v>
      </c>
      <c r="M73" s="212"/>
    </row>
    <row r="74" spans="1:13" ht="76.5">
      <c r="A74" s="33">
        <v>31</v>
      </c>
      <c r="B74" s="212" t="s">
        <v>8250</v>
      </c>
      <c r="C74" s="212"/>
      <c r="D74" s="212" t="s">
        <v>8315</v>
      </c>
      <c r="E74" s="212" t="s">
        <v>58</v>
      </c>
      <c r="F74" s="29">
        <v>991</v>
      </c>
      <c r="G74" s="7"/>
      <c r="H74" s="212" t="s">
        <v>8221</v>
      </c>
      <c r="I74" s="7">
        <v>44571</v>
      </c>
      <c r="J74" s="220" t="s">
        <v>8320</v>
      </c>
      <c r="K74" s="213"/>
      <c r="L74" s="221">
        <v>44606</v>
      </c>
      <c r="M74" s="212"/>
    </row>
    <row r="75" spans="1:13" ht="76.5">
      <c r="A75" s="33">
        <v>32</v>
      </c>
      <c r="B75" s="212" t="s">
        <v>8250</v>
      </c>
      <c r="C75" s="212"/>
      <c r="D75" s="212" t="s">
        <v>8315</v>
      </c>
      <c r="E75" s="212" t="s">
        <v>58</v>
      </c>
      <c r="F75" s="29">
        <v>999</v>
      </c>
      <c r="G75" s="7"/>
      <c r="H75" s="212" t="s">
        <v>8221</v>
      </c>
      <c r="I75" s="7">
        <v>44571</v>
      </c>
      <c r="J75" s="220" t="s">
        <v>8301</v>
      </c>
      <c r="K75" s="213"/>
      <c r="L75" s="221">
        <v>44606</v>
      </c>
      <c r="M75" s="212"/>
    </row>
    <row r="76" spans="1:13" ht="76.5">
      <c r="A76" s="33">
        <v>33</v>
      </c>
      <c r="B76" s="212" t="s">
        <v>8250</v>
      </c>
      <c r="C76" s="212"/>
      <c r="D76" s="212" t="s">
        <v>8315</v>
      </c>
      <c r="E76" s="212" t="s">
        <v>58</v>
      </c>
      <c r="F76" s="29">
        <v>1806</v>
      </c>
      <c r="G76" s="7"/>
      <c r="H76" s="212" t="s">
        <v>8221</v>
      </c>
      <c r="I76" s="7">
        <v>44571</v>
      </c>
      <c r="J76" s="220" t="s">
        <v>8301</v>
      </c>
      <c r="K76" s="213"/>
      <c r="L76" s="221">
        <v>44606</v>
      </c>
      <c r="M76" s="212"/>
    </row>
    <row r="77" spans="1:13" ht="76.5">
      <c r="A77" s="33">
        <v>34</v>
      </c>
      <c r="B77" s="212" t="s">
        <v>8250</v>
      </c>
      <c r="C77" s="212"/>
      <c r="D77" s="212" t="s">
        <v>8315</v>
      </c>
      <c r="E77" s="212" t="s">
        <v>58</v>
      </c>
      <c r="F77" s="29">
        <v>1000</v>
      </c>
      <c r="G77" s="7"/>
      <c r="H77" s="212" t="s">
        <v>8221</v>
      </c>
      <c r="I77" s="7">
        <v>44571</v>
      </c>
      <c r="J77" s="220" t="s">
        <v>8301</v>
      </c>
      <c r="K77" s="213"/>
      <c r="L77" s="221">
        <v>44575</v>
      </c>
      <c r="M77" s="212"/>
    </row>
    <row r="78" spans="1:13" ht="63.75">
      <c r="A78" s="33">
        <v>35</v>
      </c>
      <c r="B78" s="212" t="s">
        <v>8250</v>
      </c>
      <c r="C78" s="212"/>
      <c r="D78" s="212" t="s">
        <v>8321</v>
      </c>
      <c r="E78" s="212" t="s">
        <v>58</v>
      </c>
      <c r="F78" s="29">
        <v>2102007790</v>
      </c>
      <c r="G78" s="7"/>
      <c r="H78" s="212" t="s">
        <v>53</v>
      </c>
      <c r="I78" s="7">
        <v>44571</v>
      </c>
      <c r="J78" s="220"/>
      <c r="K78" s="213"/>
      <c r="L78" s="221"/>
      <c r="M78" s="212"/>
    </row>
    <row r="79" spans="1:13" ht="63.75">
      <c r="A79" s="33">
        <v>36</v>
      </c>
      <c r="B79" s="212" t="s">
        <v>8250</v>
      </c>
      <c r="C79" s="212"/>
      <c r="D79" s="212" t="s">
        <v>8321</v>
      </c>
      <c r="E79" s="212" t="s">
        <v>58</v>
      </c>
      <c r="F79" s="29">
        <v>2102007684</v>
      </c>
      <c r="G79" s="7"/>
      <c r="H79" s="212" t="s">
        <v>53</v>
      </c>
      <c r="I79" s="7">
        <v>44571</v>
      </c>
      <c r="J79" s="220"/>
      <c r="K79" s="213"/>
      <c r="L79" s="221"/>
      <c r="M79" s="212"/>
    </row>
    <row r="80" spans="1:13" ht="63.75">
      <c r="A80" s="33">
        <v>37</v>
      </c>
      <c r="B80" s="212" t="s">
        <v>8250</v>
      </c>
      <c r="C80" s="212"/>
      <c r="D80" s="212" t="s">
        <v>8321</v>
      </c>
      <c r="E80" s="212" t="s">
        <v>58</v>
      </c>
      <c r="F80" s="29"/>
      <c r="G80" s="7"/>
      <c r="H80" s="212" t="s">
        <v>53</v>
      </c>
      <c r="I80" s="7">
        <v>44571</v>
      </c>
      <c r="J80" s="220"/>
      <c r="K80" s="213"/>
      <c r="L80" s="221"/>
      <c r="M80" s="212"/>
    </row>
    <row r="81" spans="1:13">
      <c r="A81" s="31"/>
      <c r="B81" s="220"/>
      <c r="C81" s="220"/>
      <c r="D81" s="220"/>
      <c r="E81" s="220"/>
      <c r="F81" s="30"/>
      <c r="G81" s="236"/>
      <c r="H81" s="220"/>
      <c r="I81" s="236"/>
      <c r="J81" s="220"/>
      <c r="K81" s="213"/>
      <c r="L81" s="221"/>
      <c r="M81" s="220"/>
    </row>
    <row r="82" spans="1:13" ht="76.5">
      <c r="A82" s="33">
        <v>1</v>
      </c>
      <c r="B82" s="212" t="s">
        <v>8250</v>
      </c>
      <c r="C82" s="212"/>
      <c r="D82" s="212" t="s">
        <v>8315</v>
      </c>
      <c r="E82" s="212" t="s">
        <v>58</v>
      </c>
      <c r="F82" s="29">
        <v>505</v>
      </c>
      <c r="G82" s="7">
        <v>44470</v>
      </c>
      <c r="H82" s="212" t="s">
        <v>8221</v>
      </c>
      <c r="I82" s="7">
        <v>44571</v>
      </c>
      <c r="J82" s="220"/>
      <c r="K82" s="213"/>
      <c r="L82" s="221"/>
      <c r="M82" s="212"/>
    </row>
    <row r="83" spans="1:13" ht="38.25">
      <c r="A83" s="33">
        <v>2</v>
      </c>
      <c r="B83" s="212" t="s">
        <v>8250</v>
      </c>
      <c r="C83" s="212"/>
      <c r="D83" s="212" t="s">
        <v>8322</v>
      </c>
      <c r="E83" s="212" t="s">
        <v>58</v>
      </c>
      <c r="F83" s="29"/>
      <c r="G83" s="7"/>
      <c r="H83" s="212" t="s">
        <v>8221</v>
      </c>
      <c r="I83" s="7">
        <v>44571</v>
      </c>
      <c r="J83" s="220" t="s">
        <v>8320</v>
      </c>
      <c r="K83" s="213"/>
      <c r="L83" s="221"/>
      <c r="M83" s="212"/>
    </row>
    <row r="84" spans="1:13" ht="38.25">
      <c r="A84" s="33">
        <v>3</v>
      </c>
      <c r="B84" s="212" t="s">
        <v>8250</v>
      </c>
      <c r="C84" s="212"/>
      <c r="D84" s="212" t="s">
        <v>8322</v>
      </c>
      <c r="E84" s="212" t="s">
        <v>58</v>
      </c>
      <c r="F84" s="29"/>
      <c r="G84" s="7"/>
      <c r="H84" s="212" t="s">
        <v>8221</v>
      </c>
      <c r="I84" s="7">
        <v>44571</v>
      </c>
      <c r="J84" s="220" t="s">
        <v>8276</v>
      </c>
      <c r="K84" s="213"/>
      <c r="L84" s="221">
        <v>44596</v>
      </c>
      <c r="M84" s="212"/>
    </row>
    <row r="85" spans="1:13" ht="38.25">
      <c r="A85" s="33">
        <v>4</v>
      </c>
      <c r="B85" s="212" t="s">
        <v>8250</v>
      </c>
      <c r="C85" s="212"/>
      <c r="D85" s="212" t="s">
        <v>8322</v>
      </c>
      <c r="E85" s="212" t="s">
        <v>58</v>
      </c>
      <c r="F85" s="29"/>
      <c r="G85" s="7"/>
      <c r="H85" s="212" t="s">
        <v>8221</v>
      </c>
      <c r="I85" s="7">
        <v>44571</v>
      </c>
      <c r="J85" s="220" t="s">
        <v>8290</v>
      </c>
      <c r="K85" s="213"/>
      <c r="L85" s="221">
        <v>44596</v>
      </c>
      <c r="M85" s="212"/>
    </row>
    <row r="86" spans="1:13" ht="38.25">
      <c r="A86" s="33">
        <v>5</v>
      </c>
      <c r="B86" s="212" t="s">
        <v>8250</v>
      </c>
      <c r="C86" s="212"/>
      <c r="D86" s="212" t="s">
        <v>8322</v>
      </c>
      <c r="E86" s="212" t="s">
        <v>58</v>
      </c>
      <c r="F86" s="29"/>
      <c r="G86" s="7"/>
      <c r="H86" s="212" t="s">
        <v>8221</v>
      </c>
      <c r="I86" s="7">
        <v>44571</v>
      </c>
      <c r="J86" s="220" t="s">
        <v>8286</v>
      </c>
      <c r="K86" s="213"/>
      <c r="L86" s="221">
        <v>44596</v>
      </c>
      <c r="M86" s="212"/>
    </row>
    <row r="87" spans="1:13" ht="38.25">
      <c r="A87" s="33">
        <v>6</v>
      </c>
      <c r="B87" s="212" t="s">
        <v>8250</v>
      </c>
      <c r="C87" s="212"/>
      <c r="D87" s="212" t="s">
        <v>8322</v>
      </c>
      <c r="E87" s="212" t="s">
        <v>58</v>
      </c>
      <c r="F87" s="29"/>
      <c r="G87" s="7"/>
      <c r="H87" s="212" t="s">
        <v>8221</v>
      </c>
      <c r="I87" s="7">
        <v>44571</v>
      </c>
      <c r="J87" s="220" t="s">
        <v>324</v>
      </c>
      <c r="K87" s="213"/>
      <c r="L87" s="221"/>
      <c r="M87" s="212"/>
    </row>
    <row r="88" spans="1:13" ht="38.25">
      <c r="A88" s="33">
        <v>7</v>
      </c>
      <c r="B88" s="212" t="s">
        <v>8250</v>
      </c>
      <c r="C88" s="212"/>
      <c r="D88" s="212" t="s">
        <v>8322</v>
      </c>
      <c r="E88" s="212" t="s">
        <v>58</v>
      </c>
      <c r="F88" s="29"/>
      <c r="G88" s="7"/>
      <c r="H88" s="212" t="s">
        <v>8221</v>
      </c>
      <c r="I88" s="7">
        <v>44571</v>
      </c>
      <c r="J88" s="220" t="s">
        <v>3931</v>
      </c>
      <c r="K88" s="213"/>
      <c r="L88" s="221">
        <v>44595</v>
      </c>
      <c r="M88" s="212"/>
    </row>
    <row r="89" spans="1:13" ht="38.25">
      <c r="A89" s="33">
        <v>8</v>
      </c>
      <c r="B89" s="212" t="s">
        <v>8250</v>
      </c>
      <c r="C89" s="212"/>
      <c r="D89" s="212" t="s">
        <v>8322</v>
      </c>
      <c r="E89" s="212" t="s">
        <v>58</v>
      </c>
      <c r="F89" s="29"/>
      <c r="G89" s="7"/>
      <c r="H89" s="212" t="s">
        <v>8221</v>
      </c>
      <c r="I89" s="7">
        <v>44571</v>
      </c>
      <c r="J89" s="220" t="s">
        <v>8319</v>
      </c>
      <c r="K89" s="213"/>
      <c r="L89" s="221">
        <v>44608</v>
      </c>
      <c r="M89" s="212"/>
    </row>
    <row r="90" spans="1:13" ht="38.25">
      <c r="A90" s="33">
        <v>9</v>
      </c>
      <c r="B90" s="212" t="s">
        <v>8250</v>
      </c>
      <c r="C90" s="212"/>
      <c r="D90" s="212" t="s">
        <v>8322</v>
      </c>
      <c r="E90" s="212" t="s">
        <v>58</v>
      </c>
      <c r="F90" s="29"/>
      <c r="G90" s="7"/>
      <c r="H90" s="212" t="s">
        <v>8221</v>
      </c>
      <c r="I90" s="7">
        <v>44571</v>
      </c>
      <c r="J90" s="220" t="s">
        <v>8301</v>
      </c>
      <c r="K90" s="213"/>
      <c r="L90" s="221">
        <v>44606</v>
      </c>
      <c r="M90" s="212"/>
    </row>
    <row r="91" spans="1:13" ht="38.25">
      <c r="A91" s="33">
        <v>10</v>
      </c>
      <c r="B91" s="212" t="s">
        <v>8250</v>
      </c>
      <c r="C91" s="212"/>
      <c r="D91" s="212" t="s">
        <v>8322</v>
      </c>
      <c r="E91" s="212" t="s">
        <v>58</v>
      </c>
      <c r="F91" s="29"/>
      <c r="G91" s="7"/>
      <c r="H91" s="212" t="s">
        <v>8221</v>
      </c>
      <c r="I91" s="7">
        <v>44571</v>
      </c>
      <c r="J91" s="220"/>
      <c r="K91" s="213"/>
      <c r="L91" s="221"/>
      <c r="M91" s="212"/>
    </row>
    <row r="92" spans="1:13" ht="63.75">
      <c r="A92" s="33">
        <v>11</v>
      </c>
      <c r="B92" s="212" t="s">
        <v>8250</v>
      </c>
      <c r="C92" s="212"/>
      <c r="D92" s="212" t="s">
        <v>8323</v>
      </c>
      <c r="E92" s="212" t="s">
        <v>58</v>
      </c>
      <c r="F92" s="29" t="s">
        <v>8324</v>
      </c>
      <c r="G92" s="33" t="s">
        <v>8325</v>
      </c>
      <c r="H92" s="212" t="s">
        <v>53</v>
      </c>
      <c r="I92" s="7">
        <v>44571</v>
      </c>
      <c r="J92" s="220"/>
      <c r="K92" s="213"/>
      <c r="L92" s="221"/>
      <c r="M92" s="212"/>
    </row>
    <row r="93" spans="1:13">
      <c r="A93" s="237">
        <v>2022</v>
      </c>
      <c r="B93" s="238"/>
      <c r="C93" s="238"/>
      <c r="D93" s="238"/>
      <c r="E93" s="238"/>
      <c r="F93" s="239"/>
      <c r="G93" s="240"/>
      <c r="H93" s="238"/>
      <c r="I93" s="240"/>
      <c r="J93" s="246"/>
      <c r="K93" s="247"/>
      <c r="L93" s="248"/>
      <c r="M93" s="238"/>
    </row>
    <row r="94" spans="1:13" ht="38.25">
      <c r="A94" s="33">
        <v>1</v>
      </c>
      <c r="B94" s="212" t="s">
        <v>8326</v>
      </c>
      <c r="C94" s="212" t="s">
        <v>8327</v>
      </c>
      <c r="D94" s="212" t="s">
        <v>8328</v>
      </c>
      <c r="E94" s="212" t="s">
        <v>58</v>
      </c>
      <c r="F94" s="29">
        <v>6803098</v>
      </c>
      <c r="G94" s="7"/>
      <c r="H94" s="212" t="s">
        <v>8221</v>
      </c>
      <c r="I94" s="7">
        <v>44575</v>
      </c>
      <c r="J94" s="220" t="s">
        <v>8318</v>
      </c>
      <c r="K94" s="213"/>
      <c r="L94" s="221">
        <v>44578</v>
      </c>
      <c r="M94" s="212"/>
    </row>
    <row r="95" spans="1:13" ht="38.25">
      <c r="A95" s="33">
        <v>2</v>
      </c>
      <c r="B95" s="212"/>
      <c r="C95" s="212"/>
      <c r="D95" s="212" t="s">
        <v>8328</v>
      </c>
      <c r="E95" s="212" t="s">
        <v>58</v>
      </c>
      <c r="F95" s="29">
        <v>6803104</v>
      </c>
      <c r="G95" s="7"/>
      <c r="H95" s="212" t="s">
        <v>8221</v>
      </c>
      <c r="I95" s="7">
        <v>44575</v>
      </c>
      <c r="J95" s="220" t="s">
        <v>8318</v>
      </c>
      <c r="K95" s="213"/>
      <c r="L95" s="221">
        <v>44578</v>
      </c>
      <c r="M95" s="212"/>
    </row>
    <row r="96" spans="1:13" ht="38.25">
      <c r="A96" s="33">
        <v>3</v>
      </c>
      <c r="B96" s="212"/>
      <c r="C96" s="212"/>
      <c r="D96" s="212" t="s">
        <v>8328</v>
      </c>
      <c r="E96" s="212" t="s">
        <v>58</v>
      </c>
      <c r="F96" s="29">
        <v>6803108</v>
      </c>
      <c r="G96" s="7"/>
      <c r="H96" s="212" t="s">
        <v>8221</v>
      </c>
      <c r="I96" s="7">
        <v>44575</v>
      </c>
      <c r="J96" s="220" t="s">
        <v>8318</v>
      </c>
      <c r="K96" s="213"/>
      <c r="L96" s="221">
        <v>44578</v>
      </c>
      <c r="M96" s="212"/>
    </row>
    <row r="97" spans="1:13" ht="38.25">
      <c r="A97" s="33">
        <v>4</v>
      </c>
      <c r="B97" s="212"/>
      <c r="C97" s="212"/>
      <c r="D97" s="212" t="s">
        <v>8328</v>
      </c>
      <c r="E97" s="212" t="s">
        <v>58</v>
      </c>
      <c r="F97" s="29">
        <v>6803106</v>
      </c>
      <c r="G97" s="7"/>
      <c r="H97" s="212" t="s">
        <v>8221</v>
      </c>
      <c r="I97" s="7">
        <v>44575</v>
      </c>
      <c r="J97" s="220" t="s">
        <v>8318</v>
      </c>
      <c r="K97" s="213"/>
      <c r="L97" s="221">
        <v>44578</v>
      </c>
      <c r="M97" s="212"/>
    </row>
    <row r="98" spans="1:13" ht="38.25">
      <c r="A98" s="33">
        <v>5</v>
      </c>
      <c r="B98" s="212"/>
      <c r="C98" s="212"/>
      <c r="D98" s="212" t="s">
        <v>8328</v>
      </c>
      <c r="E98" s="212" t="s">
        <v>58</v>
      </c>
      <c r="F98" s="29">
        <v>6804023</v>
      </c>
      <c r="G98" s="33" t="s">
        <v>8329</v>
      </c>
      <c r="H98" s="212" t="s">
        <v>8221</v>
      </c>
      <c r="I98" s="7">
        <v>44575</v>
      </c>
      <c r="J98" s="220"/>
      <c r="K98" s="213"/>
      <c r="L98" s="221"/>
      <c r="M98" s="212"/>
    </row>
    <row r="99" spans="1:13" ht="38.25">
      <c r="A99" s="33">
        <v>6</v>
      </c>
      <c r="B99" s="212"/>
      <c r="C99" s="212"/>
      <c r="D99" s="212" t="s">
        <v>8328</v>
      </c>
      <c r="E99" s="212" t="s">
        <v>58</v>
      </c>
      <c r="F99" s="29">
        <v>6804022</v>
      </c>
      <c r="G99" s="33" t="s">
        <v>8329</v>
      </c>
      <c r="H99" s="212" t="s">
        <v>8221</v>
      </c>
      <c r="I99" s="7">
        <v>44575</v>
      </c>
      <c r="J99" s="220"/>
      <c r="K99" s="213"/>
      <c r="L99" s="221"/>
      <c r="M99" s="212"/>
    </row>
    <row r="100" spans="1:13" ht="38.25">
      <c r="A100" s="33">
        <v>7</v>
      </c>
      <c r="B100" s="212" t="s">
        <v>8330</v>
      </c>
      <c r="C100" s="212" t="s">
        <v>8331</v>
      </c>
      <c r="D100" s="212" t="s">
        <v>8328</v>
      </c>
      <c r="E100" s="212" t="s">
        <v>58</v>
      </c>
      <c r="F100" s="29">
        <v>6804041</v>
      </c>
      <c r="G100" s="33" t="s">
        <v>8329</v>
      </c>
      <c r="H100" s="212" t="s">
        <v>53</v>
      </c>
      <c r="I100" s="7">
        <v>44599</v>
      </c>
      <c r="J100" s="220"/>
      <c r="K100" s="213"/>
      <c r="L100" s="221"/>
      <c r="M100" s="212"/>
    </row>
    <row r="101" spans="1:13" ht="38.25">
      <c r="A101" s="33">
        <v>8</v>
      </c>
      <c r="B101" s="212"/>
      <c r="C101" s="212"/>
      <c r="D101" s="212" t="s">
        <v>8328</v>
      </c>
      <c r="E101" s="212" t="s">
        <v>58</v>
      </c>
      <c r="F101" s="29">
        <v>6804018</v>
      </c>
      <c r="G101" s="33" t="s">
        <v>8329</v>
      </c>
      <c r="H101" s="212" t="s">
        <v>53</v>
      </c>
      <c r="I101" s="7">
        <v>44599</v>
      </c>
      <c r="J101" s="220"/>
      <c r="K101" s="213"/>
      <c r="L101" s="221"/>
      <c r="M101" s="212"/>
    </row>
    <row r="102" spans="1:13" ht="38.25">
      <c r="A102" s="33">
        <v>9</v>
      </c>
      <c r="B102" s="212"/>
      <c r="C102" s="212"/>
      <c r="D102" s="212" t="s">
        <v>8328</v>
      </c>
      <c r="E102" s="212" t="s">
        <v>58</v>
      </c>
      <c r="F102" s="29">
        <v>6804017</v>
      </c>
      <c r="G102" s="33" t="s">
        <v>8329</v>
      </c>
      <c r="H102" s="212" t="s">
        <v>53</v>
      </c>
      <c r="I102" s="7">
        <v>44599</v>
      </c>
      <c r="J102" s="220"/>
      <c r="K102" s="213"/>
      <c r="L102" s="221"/>
      <c r="M102" s="212"/>
    </row>
    <row r="103" spans="1:13" ht="38.25">
      <c r="A103" s="33">
        <v>10</v>
      </c>
      <c r="B103" s="212"/>
      <c r="C103" s="212"/>
      <c r="D103" s="212" t="s">
        <v>8328</v>
      </c>
      <c r="E103" s="212" t="s">
        <v>58</v>
      </c>
      <c r="F103" s="29">
        <v>6803186</v>
      </c>
      <c r="G103" s="33" t="s">
        <v>8329</v>
      </c>
      <c r="H103" s="212" t="s">
        <v>53</v>
      </c>
      <c r="I103" s="7">
        <v>44599</v>
      </c>
      <c r="J103" s="220"/>
      <c r="K103" s="213"/>
      <c r="L103" s="221"/>
      <c r="M103" s="212"/>
    </row>
    <row r="104" spans="1:13" ht="38.25">
      <c r="A104" s="33">
        <v>11</v>
      </c>
      <c r="B104" s="212"/>
      <c r="C104" s="212"/>
      <c r="D104" s="212" t="s">
        <v>8328</v>
      </c>
      <c r="E104" s="212" t="s">
        <v>58</v>
      </c>
      <c r="F104" s="29">
        <v>6803179</v>
      </c>
      <c r="G104" s="33" t="s">
        <v>8329</v>
      </c>
      <c r="H104" s="212" t="s">
        <v>53</v>
      </c>
      <c r="I104" s="7">
        <v>44599</v>
      </c>
      <c r="J104" s="220"/>
      <c r="K104" s="213"/>
      <c r="L104" s="221"/>
      <c r="M104" s="212"/>
    </row>
    <row r="105" spans="1:13" ht="38.25">
      <c r="A105" s="33">
        <v>12</v>
      </c>
      <c r="B105" s="212"/>
      <c r="C105" s="212"/>
      <c r="D105" s="212" t="s">
        <v>8328</v>
      </c>
      <c r="E105" s="212" t="s">
        <v>58</v>
      </c>
      <c r="F105" s="29">
        <v>6803093</v>
      </c>
      <c r="G105" s="33" t="s">
        <v>8329</v>
      </c>
      <c r="H105" s="212" t="s">
        <v>53</v>
      </c>
      <c r="I105" s="7">
        <v>44599</v>
      </c>
      <c r="J105" s="220"/>
      <c r="K105" s="213"/>
      <c r="L105" s="221"/>
      <c r="M105" s="212"/>
    </row>
    <row r="106" spans="1:13" ht="38.25">
      <c r="A106" s="33">
        <v>13</v>
      </c>
      <c r="B106" s="212"/>
      <c r="C106" s="212"/>
      <c r="D106" s="212" t="s">
        <v>8328</v>
      </c>
      <c r="E106" s="212" t="s">
        <v>58</v>
      </c>
      <c r="F106" s="29">
        <v>6803096</v>
      </c>
      <c r="G106" s="33" t="s">
        <v>8329</v>
      </c>
      <c r="H106" s="212" t="s">
        <v>53</v>
      </c>
      <c r="I106" s="7">
        <v>44599</v>
      </c>
      <c r="J106" s="220"/>
      <c r="K106" s="213"/>
      <c r="L106" s="221"/>
      <c r="M106" s="212"/>
    </row>
    <row r="107" spans="1:13" ht="76.5">
      <c r="A107" s="33"/>
      <c r="B107" s="212"/>
      <c r="C107" s="212"/>
      <c r="D107" s="212" t="s">
        <v>8315</v>
      </c>
      <c r="E107" s="212" t="s">
        <v>58</v>
      </c>
      <c r="F107" s="29">
        <v>1344</v>
      </c>
      <c r="G107" s="241">
        <v>44446</v>
      </c>
      <c r="H107" s="212" t="s">
        <v>53</v>
      </c>
      <c r="I107" s="7">
        <v>44602</v>
      </c>
      <c r="J107" s="220"/>
      <c r="K107" s="213"/>
      <c r="L107" s="221"/>
      <c r="M107" s="212"/>
    </row>
    <row r="108" spans="1:13" ht="76.5">
      <c r="A108" s="33"/>
      <c r="B108" s="212"/>
      <c r="C108" s="212"/>
      <c r="D108" s="212" t="s">
        <v>8315</v>
      </c>
      <c r="E108" s="212" t="s">
        <v>58</v>
      </c>
      <c r="F108" s="29">
        <v>1333</v>
      </c>
      <c r="G108" s="7">
        <v>44446</v>
      </c>
      <c r="H108" s="212" t="s">
        <v>53</v>
      </c>
      <c r="I108" s="7">
        <v>10.02</v>
      </c>
      <c r="J108" s="220" t="s">
        <v>324</v>
      </c>
      <c r="K108" s="213"/>
      <c r="L108" s="221"/>
      <c r="M108" s="212"/>
    </row>
    <row r="109" spans="1:13" ht="76.5">
      <c r="A109" s="33"/>
      <c r="B109" s="212"/>
      <c r="C109" s="212"/>
      <c r="D109" s="212" t="s">
        <v>8315</v>
      </c>
      <c r="E109" s="212" t="s">
        <v>58</v>
      </c>
      <c r="F109" s="29">
        <v>1334</v>
      </c>
      <c r="G109" s="7">
        <v>44446</v>
      </c>
      <c r="H109" s="212" t="s">
        <v>53</v>
      </c>
      <c r="I109" s="7">
        <v>44602</v>
      </c>
      <c r="J109" s="220"/>
      <c r="K109" s="213"/>
      <c r="L109" s="221"/>
      <c r="M109" s="212"/>
    </row>
    <row r="110" spans="1:13" ht="76.5">
      <c r="A110" s="33"/>
      <c r="B110" s="212"/>
      <c r="C110" s="212"/>
      <c r="D110" s="212" t="s">
        <v>8315</v>
      </c>
      <c r="E110" s="212" t="s">
        <v>58</v>
      </c>
      <c r="F110" s="29">
        <v>1336</v>
      </c>
      <c r="G110" s="7">
        <v>44446</v>
      </c>
      <c r="H110" s="212" t="s">
        <v>53</v>
      </c>
      <c r="I110" s="7">
        <v>44602</v>
      </c>
      <c r="J110" s="220"/>
      <c r="K110" s="213"/>
      <c r="L110" s="221"/>
      <c r="M110" s="212"/>
    </row>
    <row r="111" spans="1:13" ht="76.5">
      <c r="A111" s="33"/>
      <c r="B111" s="212"/>
      <c r="C111" s="212"/>
      <c r="D111" s="212" t="s">
        <v>8315</v>
      </c>
      <c r="E111" s="212" t="s">
        <v>58</v>
      </c>
      <c r="F111" s="29">
        <v>1335</v>
      </c>
      <c r="G111" s="7">
        <v>44446</v>
      </c>
      <c r="H111" s="212" t="s">
        <v>53</v>
      </c>
      <c r="I111" s="7">
        <v>44602</v>
      </c>
      <c r="J111" s="220"/>
      <c r="K111" s="213"/>
      <c r="L111" s="221"/>
      <c r="M111" s="212"/>
    </row>
    <row r="112" spans="1:13" ht="76.5">
      <c r="A112" s="33"/>
      <c r="B112" s="212"/>
      <c r="C112" s="212"/>
      <c r="D112" s="212" t="s">
        <v>8315</v>
      </c>
      <c r="E112" s="212" t="s">
        <v>58</v>
      </c>
      <c r="F112" s="29">
        <v>860</v>
      </c>
      <c r="G112" s="7">
        <v>44445</v>
      </c>
      <c r="H112" s="212" t="s">
        <v>53</v>
      </c>
      <c r="I112" s="7">
        <v>44602</v>
      </c>
      <c r="J112" s="220"/>
      <c r="K112" s="213"/>
      <c r="L112" s="221"/>
      <c r="M112" s="212"/>
    </row>
    <row r="113" spans="1:13" ht="76.5">
      <c r="A113" s="33"/>
      <c r="B113" s="212"/>
      <c r="C113" s="212"/>
      <c r="D113" s="212" t="s">
        <v>8315</v>
      </c>
      <c r="E113" s="212" t="s">
        <v>58</v>
      </c>
      <c r="F113" s="29">
        <v>1331</v>
      </c>
      <c r="G113" s="7">
        <v>44446</v>
      </c>
      <c r="H113" s="212" t="s">
        <v>53</v>
      </c>
      <c r="I113" s="7">
        <v>44602</v>
      </c>
      <c r="J113" s="220"/>
      <c r="K113" s="213"/>
      <c r="L113" s="221"/>
      <c r="M113" s="212"/>
    </row>
    <row r="114" spans="1:13" ht="76.5">
      <c r="A114" s="33"/>
      <c r="B114" s="212"/>
      <c r="C114" s="212"/>
      <c r="D114" s="212" t="s">
        <v>8315</v>
      </c>
      <c r="E114" s="212" t="s">
        <v>58</v>
      </c>
      <c r="F114" s="29">
        <v>1332</v>
      </c>
      <c r="G114" s="7">
        <v>44446</v>
      </c>
      <c r="H114" s="212" t="s">
        <v>53</v>
      </c>
      <c r="I114" s="7">
        <v>44602</v>
      </c>
      <c r="J114" s="220"/>
      <c r="K114" s="213"/>
      <c r="L114" s="221"/>
      <c r="M114" s="212"/>
    </row>
    <row r="115" spans="1:13" ht="76.5">
      <c r="A115" s="33"/>
      <c r="B115" s="212"/>
      <c r="C115" s="212"/>
      <c r="D115" s="212" t="s">
        <v>8315</v>
      </c>
      <c r="E115" s="212" t="s">
        <v>58</v>
      </c>
      <c r="F115" s="29">
        <v>1329</v>
      </c>
      <c r="G115" s="7">
        <v>44446</v>
      </c>
      <c r="H115" s="212" t="s">
        <v>53</v>
      </c>
      <c r="I115" s="7">
        <v>44602</v>
      </c>
      <c r="J115" s="220"/>
      <c r="K115" s="213"/>
      <c r="L115" s="221"/>
      <c r="M115" s="212"/>
    </row>
    <row r="116" spans="1:13" ht="76.5">
      <c r="A116" s="33"/>
      <c r="B116" s="212"/>
      <c r="C116" s="212"/>
      <c r="D116" s="212" t="s">
        <v>8315</v>
      </c>
      <c r="E116" s="212" t="s">
        <v>58</v>
      </c>
      <c r="F116" s="29">
        <v>1330</v>
      </c>
      <c r="G116" s="7">
        <v>44446</v>
      </c>
      <c r="H116" s="212" t="s">
        <v>53</v>
      </c>
      <c r="I116" s="7">
        <v>44602</v>
      </c>
      <c r="J116" s="220"/>
      <c r="K116" s="213"/>
      <c r="L116" s="221"/>
      <c r="M116" s="212"/>
    </row>
    <row r="117" spans="1:13" ht="76.5">
      <c r="A117" s="33"/>
      <c r="B117" s="212"/>
      <c r="C117" s="212"/>
      <c r="D117" s="212" t="s">
        <v>8315</v>
      </c>
      <c r="E117" s="212" t="s">
        <v>58</v>
      </c>
      <c r="F117" s="29">
        <v>861</v>
      </c>
      <c r="G117" s="7">
        <v>44445</v>
      </c>
      <c r="H117" s="212" t="s">
        <v>53</v>
      </c>
      <c r="I117" s="7">
        <v>44602</v>
      </c>
      <c r="J117" s="220" t="s">
        <v>324</v>
      </c>
      <c r="K117" s="213"/>
      <c r="L117" s="221"/>
      <c r="M117" s="212"/>
    </row>
    <row r="118" spans="1:13" ht="76.5">
      <c r="A118" s="33"/>
      <c r="B118" s="212"/>
      <c r="C118" s="212"/>
      <c r="D118" s="212" t="s">
        <v>8315</v>
      </c>
      <c r="E118" s="212" t="s">
        <v>58</v>
      </c>
      <c r="F118" s="29">
        <v>862</v>
      </c>
      <c r="G118" s="7">
        <v>44445</v>
      </c>
      <c r="H118" s="212" t="s">
        <v>53</v>
      </c>
      <c r="I118" s="7">
        <v>44602</v>
      </c>
      <c r="J118" s="220" t="s">
        <v>324</v>
      </c>
      <c r="K118" s="213"/>
      <c r="L118" s="221"/>
      <c r="M118" s="212"/>
    </row>
    <row r="119" spans="1:13" ht="76.5">
      <c r="A119" s="33"/>
      <c r="B119" s="212"/>
      <c r="C119" s="212"/>
      <c r="D119" s="212" t="s">
        <v>8315</v>
      </c>
      <c r="E119" s="212" t="s">
        <v>58</v>
      </c>
      <c r="F119" s="29">
        <v>864</v>
      </c>
      <c r="G119" s="7">
        <v>44445</v>
      </c>
      <c r="H119" s="212" t="s">
        <v>53</v>
      </c>
      <c r="I119" s="7">
        <v>44602</v>
      </c>
      <c r="J119" s="220"/>
      <c r="K119" s="213"/>
      <c r="L119" s="221"/>
      <c r="M119" s="212"/>
    </row>
    <row r="120" spans="1:13" ht="76.5">
      <c r="A120" s="33"/>
      <c r="B120" s="212"/>
      <c r="C120" s="212"/>
      <c r="D120" s="212" t="s">
        <v>8315</v>
      </c>
      <c r="E120" s="212" t="s">
        <v>58</v>
      </c>
      <c r="F120" s="29">
        <v>858</v>
      </c>
      <c r="G120" s="7">
        <v>44445</v>
      </c>
      <c r="H120" s="212" t="s">
        <v>53</v>
      </c>
      <c r="I120" s="7">
        <v>44602</v>
      </c>
      <c r="J120" s="220"/>
      <c r="K120" s="213"/>
      <c r="L120" s="221"/>
      <c r="M120" s="212"/>
    </row>
    <row r="121" spans="1:13" ht="76.5">
      <c r="A121" s="33"/>
      <c r="B121" s="212"/>
      <c r="C121" s="212"/>
      <c r="D121" s="212" t="s">
        <v>8315</v>
      </c>
      <c r="E121" s="212" t="s">
        <v>58</v>
      </c>
      <c r="F121" s="29">
        <v>863</v>
      </c>
      <c r="G121" s="7">
        <v>44445</v>
      </c>
      <c r="H121" s="212" t="s">
        <v>53</v>
      </c>
      <c r="I121" s="7">
        <v>44602</v>
      </c>
      <c r="J121" s="220"/>
      <c r="K121" s="213"/>
      <c r="L121" s="221"/>
      <c r="M121" s="212"/>
    </row>
    <row r="122" spans="1:13" ht="76.5">
      <c r="A122" s="33"/>
      <c r="B122" s="212"/>
      <c r="C122" s="212"/>
      <c r="D122" s="212" t="s">
        <v>8315</v>
      </c>
      <c r="E122" s="212" t="s">
        <v>58</v>
      </c>
      <c r="F122" s="29">
        <v>850</v>
      </c>
      <c r="G122" s="7">
        <v>44445</v>
      </c>
      <c r="H122" s="212" t="s">
        <v>53</v>
      </c>
      <c r="I122" s="7">
        <v>44602</v>
      </c>
      <c r="J122" s="220"/>
      <c r="K122" s="213"/>
      <c r="L122" s="221"/>
      <c r="M122" s="212"/>
    </row>
    <row r="123" spans="1:13" ht="76.5">
      <c r="A123" s="33"/>
      <c r="B123" s="212"/>
      <c r="C123" s="212"/>
      <c r="D123" s="212" t="s">
        <v>8315</v>
      </c>
      <c r="E123" s="212" t="s">
        <v>58</v>
      </c>
      <c r="F123" s="29">
        <v>853</v>
      </c>
      <c r="G123" s="7">
        <v>44445</v>
      </c>
      <c r="H123" s="212" t="s">
        <v>53</v>
      </c>
      <c r="I123" s="7">
        <v>44602</v>
      </c>
      <c r="J123" s="220"/>
      <c r="K123" s="213"/>
      <c r="L123" s="221"/>
      <c r="M123" s="212"/>
    </row>
    <row r="124" spans="1:13" ht="76.5">
      <c r="A124" s="33"/>
      <c r="B124" s="212"/>
      <c r="C124" s="212"/>
      <c r="D124" s="212" t="s">
        <v>8315</v>
      </c>
      <c r="E124" s="212" t="s">
        <v>58</v>
      </c>
      <c r="F124" s="29">
        <v>852</v>
      </c>
      <c r="G124" s="7">
        <v>44233</v>
      </c>
      <c r="H124" s="212" t="s">
        <v>53</v>
      </c>
      <c r="I124" s="7">
        <v>44602</v>
      </c>
      <c r="J124" s="220"/>
      <c r="K124" s="213"/>
      <c r="L124" s="221"/>
      <c r="M124" s="212"/>
    </row>
    <row r="125" spans="1:13" ht="76.5">
      <c r="A125" s="33"/>
      <c r="B125" s="212"/>
      <c r="C125" s="212"/>
      <c r="D125" s="212" t="s">
        <v>8315</v>
      </c>
      <c r="E125" s="212" t="s">
        <v>58</v>
      </c>
      <c r="F125" s="29">
        <v>859</v>
      </c>
      <c r="G125" s="7">
        <v>44445</v>
      </c>
      <c r="H125" s="212" t="s">
        <v>53</v>
      </c>
      <c r="I125" s="7">
        <v>44602</v>
      </c>
      <c r="J125" s="220"/>
      <c r="K125" s="213"/>
      <c r="L125" s="221"/>
      <c r="M125" s="212"/>
    </row>
    <row r="126" spans="1:13" ht="76.5">
      <c r="A126" s="33"/>
      <c r="B126" s="212"/>
      <c r="C126" s="212"/>
      <c r="D126" s="212" t="s">
        <v>8315</v>
      </c>
      <c r="E126" s="212" t="s">
        <v>58</v>
      </c>
      <c r="F126" s="29">
        <v>833</v>
      </c>
      <c r="G126" s="7">
        <v>44445</v>
      </c>
      <c r="H126" s="212" t="s">
        <v>53</v>
      </c>
      <c r="I126" s="7">
        <v>44602</v>
      </c>
      <c r="J126" s="220"/>
      <c r="K126" s="213"/>
      <c r="L126" s="221"/>
      <c r="M126" s="212"/>
    </row>
    <row r="127" spans="1:13" ht="38.25">
      <c r="A127" s="33"/>
      <c r="B127" s="212"/>
      <c r="C127" s="212"/>
      <c r="D127" s="212" t="s">
        <v>8322</v>
      </c>
      <c r="E127" s="212" t="s">
        <v>58</v>
      </c>
      <c r="F127" s="29">
        <v>1413</v>
      </c>
      <c r="G127" s="7">
        <v>44512</v>
      </c>
      <c r="H127" s="212" t="s">
        <v>53</v>
      </c>
      <c r="I127" s="7">
        <v>44602</v>
      </c>
      <c r="J127" s="220"/>
      <c r="K127" s="213"/>
      <c r="L127" s="221"/>
      <c r="M127" s="212"/>
    </row>
    <row r="128" spans="1:13" ht="38.25">
      <c r="A128" s="33"/>
      <c r="B128" s="212"/>
      <c r="C128" s="212"/>
      <c r="D128" s="212" t="s">
        <v>8322</v>
      </c>
      <c r="E128" s="212" t="s">
        <v>58</v>
      </c>
      <c r="F128" s="29">
        <v>1404</v>
      </c>
      <c r="G128" s="7">
        <v>44512</v>
      </c>
      <c r="H128" s="212" t="s">
        <v>53</v>
      </c>
      <c r="I128" s="7">
        <v>44602</v>
      </c>
      <c r="J128" s="220"/>
      <c r="K128" s="213"/>
      <c r="L128" s="221"/>
      <c r="M128" s="212"/>
    </row>
    <row r="129" spans="1:13" ht="38.25">
      <c r="A129" s="33"/>
      <c r="B129" s="212"/>
      <c r="C129" s="212"/>
      <c r="D129" s="212" t="s">
        <v>8322</v>
      </c>
      <c r="E129" s="212" t="s">
        <v>58</v>
      </c>
      <c r="F129" s="29">
        <v>1427</v>
      </c>
      <c r="G129" s="7">
        <v>44512</v>
      </c>
      <c r="H129" s="212" t="s">
        <v>53</v>
      </c>
      <c r="I129" s="7">
        <v>44602</v>
      </c>
      <c r="J129" s="220"/>
      <c r="K129" s="213"/>
      <c r="L129" s="221"/>
      <c r="M129" s="212"/>
    </row>
    <row r="130" spans="1:13" ht="38.25">
      <c r="A130" s="33"/>
      <c r="B130" s="212"/>
      <c r="C130" s="212"/>
      <c r="D130" s="212" t="s">
        <v>8322</v>
      </c>
      <c r="E130" s="212" t="s">
        <v>58</v>
      </c>
      <c r="F130" s="29">
        <v>1432</v>
      </c>
      <c r="G130" s="7">
        <v>44512</v>
      </c>
      <c r="H130" s="212" t="s">
        <v>53</v>
      </c>
      <c r="I130" s="7">
        <v>44602</v>
      </c>
      <c r="J130" s="220"/>
      <c r="K130" s="213"/>
      <c r="L130" s="221"/>
      <c r="M130" s="212"/>
    </row>
    <row r="131" spans="1:13" ht="38.25">
      <c r="A131" s="33"/>
      <c r="B131" s="212"/>
      <c r="C131" s="212"/>
      <c r="D131" s="212" t="s">
        <v>8322</v>
      </c>
      <c r="E131" s="212" t="s">
        <v>58</v>
      </c>
      <c r="F131" s="29">
        <v>1409</v>
      </c>
      <c r="G131" s="7">
        <v>44512</v>
      </c>
      <c r="H131" s="212" t="s">
        <v>53</v>
      </c>
      <c r="I131" s="7">
        <v>44602</v>
      </c>
      <c r="J131" s="220"/>
      <c r="K131" s="213"/>
      <c r="L131" s="221"/>
      <c r="M131" s="212"/>
    </row>
    <row r="132" spans="1:13" ht="38.25">
      <c r="A132" s="33"/>
      <c r="B132" s="212"/>
      <c r="C132" s="212"/>
      <c r="D132" s="212" t="s">
        <v>8322</v>
      </c>
      <c r="E132" s="212" t="s">
        <v>58</v>
      </c>
      <c r="F132" s="29">
        <v>1426</v>
      </c>
      <c r="G132" s="7">
        <v>44512</v>
      </c>
      <c r="H132" s="212" t="s">
        <v>53</v>
      </c>
      <c r="I132" s="7">
        <v>44602</v>
      </c>
      <c r="J132" s="220"/>
      <c r="K132" s="213"/>
      <c r="L132" s="221"/>
      <c r="M132" s="212"/>
    </row>
    <row r="133" spans="1:13" ht="38.25">
      <c r="A133" s="33"/>
      <c r="B133" s="212"/>
      <c r="C133" s="212"/>
      <c r="D133" s="212" t="s">
        <v>8322</v>
      </c>
      <c r="E133" s="212" t="s">
        <v>58</v>
      </c>
      <c r="F133" s="29">
        <v>1414</v>
      </c>
      <c r="G133" s="7">
        <v>44512</v>
      </c>
      <c r="H133" s="212" t="s">
        <v>53</v>
      </c>
      <c r="I133" s="7">
        <v>44602</v>
      </c>
      <c r="J133" s="220"/>
      <c r="K133" s="213"/>
      <c r="L133" s="221"/>
      <c r="M133" s="212"/>
    </row>
    <row r="134" spans="1:13" ht="38.25">
      <c r="A134" s="33"/>
      <c r="B134" s="212"/>
      <c r="C134" s="212"/>
      <c r="D134" s="212" t="s">
        <v>8322</v>
      </c>
      <c r="E134" s="212" t="s">
        <v>58</v>
      </c>
      <c r="F134" s="29">
        <v>1403</v>
      </c>
      <c r="G134" s="7">
        <v>44512</v>
      </c>
      <c r="H134" s="212" t="s">
        <v>53</v>
      </c>
      <c r="I134" s="7">
        <v>44602</v>
      </c>
      <c r="J134" s="220"/>
      <c r="K134" s="213"/>
      <c r="L134" s="221"/>
      <c r="M134" s="212"/>
    </row>
    <row r="135" spans="1:13" ht="38.25">
      <c r="A135" s="33"/>
      <c r="B135" s="212"/>
      <c r="C135" s="212"/>
      <c r="D135" s="212" t="s">
        <v>8322</v>
      </c>
      <c r="E135" s="212" t="s">
        <v>58</v>
      </c>
      <c r="F135" s="29">
        <v>1431</v>
      </c>
      <c r="G135" s="7">
        <v>44512</v>
      </c>
      <c r="H135" s="212" t="s">
        <v>53</v>
      </c>
      <c r="I135" s="7">
        <v>44602</v>
      </c>
      <c r="J135" s="220"/>
      <c r="K135" s="213"/>
      <c r="L135" s="221"/>
      <c r="M135" s="212"/>
    </row>
    <row r="136" spans="1:13" ht="38.25">
      <c r="A136" s="33"/>
      <c r="B136" s="212"/>
      <c r="C136" s="212"/>
      <c r="D136" s="212" t="s">
        <v>8322</v>
      </c>
      <c r="E136" s="212" t="s">
        <v>58</v>
      </c>
      <c r="F136" s="29">
        <v>1408</v>
      </c>
      <c r="G136" s="7">
        <v>44512</v>
      </c>
      <c r="H136" s="212" t="s">
        <v>53</v>
      </c>
      <c r="I136" s="7">
        <v>44602</v>
      </c>
      <c r="J136" s="220"/>
      <c r="K136" s="213"/>
      <c r="L136" s="221"/>
      <c r="M136" s="212"/>
    </row>
    <row r="137" spans="1:13" ht="38.25">
      <c r="A137" s="33"/>
      <c r="B137" s="212"/>
      <c r="C137" s="212"/>
      <c r="D137" s="212" t="s">
        <v>8322</v>
      </c>
      <c r="E137" s="212" t="s">
        <v>58</v>
      </c>
      <c r="F137" s="29">
        <v>1195</v>
      </c>
      <c r="G137" s="7">
        <v>44504</v>
      </c>
      <c r="H137" s="212" t="s">
        <v>8221</v>
      </c>
      <c r="I137" s="7">
        <v>44602</v>
      </c>
      <c r="J137" s="220"/>
      <c r="K137" s="213"/>
      <c r="L137" s="221"/>
      <c r="M137" s="212"/>
    </row>
    <row r="138" spans="1:13" ht="38.25">
      <c r="A138" s="33"/>
      <c r="B138" s="212"/>
      <c r="C138" s="212"/>
      <c r="D138" s="212" t="s">
        <v>8322</v>
      </c>
      <c r="E138" s="212" t="s">
        <v>58</v>
      </c>
      <c r="F138" s="29">
        <v>1201</v>
      </c>
      <c r="G138" s="7">
        <v>44504</v>
      </c>
      <c r="H138" s="212" t="s">
        <v>8221</v>
      </c>
      <c r="I138" s="7">
        <v>44602</v>
      </c>
      <c r="J138" s="220"/>
      <c r="K138" s="213"/>
      <c r="L138" s="221"/>
      <c r="M138" s="212"/>
    </row>
    <row r="139" spans="1:13" ht="38.25">
      <c r="A139" s="33"/>
      <c r="B139" s="212"/>
      <c r="C139" s="212"/>
      <c r="D139" s="212" t="s">
        <v>8322</v>
      </c>
      <c r="E139" s="212" t="s">
        <v>58</v>
      </c>
      <c r="F139" s="29">
        <v>1190</v>
      </c>
      <c r="G139" s="7">
        <v>44504</v>
      </c>
      <c r="H139" s="212" t="s">
        <v>8221</v>
      </c>
      <c r="I139" s="7">
        <v>44602</v>
      </c>
      <c r="J139" s="220"/>
      <c r="K139" s="213"/>
      <c r="L139" s="221"/>
      <c r="M139" s="212"/>
    </row>
    <row r="140" spans="1:13" ht="38.25">
      <c r="A140" s="33"/>
      <c r="B140" s="212"/>
      <c r="C140" s="212"/>
      <c r="D140" s="212" t="s">
        <v>8322</v>
      </c>
      <c r="E140" s="212" t="s">
        <v>58</v>
      </c>
      <c r="F140" s="29">
        <v>1202</v>
      </c>
      <c r="G140" s="7">
        <v>44504</v>
      </c>
      <c r="H140" s="212" t="s">
        <v>8221</v>
      </c>
      <c r="I140" s="7">
        <v>44602</v>
      </c>
      <c r="J140" s="220" t="s">
        <v>3239</v>
      </c>
      <c r="K140" s="213"/>
      <c r="L140" s="221"/>
      <c r="M140" s="212"/>
    </row>
    <row r="141" spans="1:13" ht="38.25">
      <c r="A141" s="33"/>
      <c r="B141" s="212"/>
      <c r="C141" s="212"/>
      <c r="D141" s="212" t="s">
        <v>8322</v>
      </c>
      <c r="E141" s="212" t="s">
        <v>58</v>
      </c>
      <c r="F141" s="29">
        <v>1204</v>
      </c>
      <c r="G141" s="7">
        <v>44504</v>
      </c>
      <c r="H141" s="212" t="s">
        <v>8221</v>
      </c>
      <c r="I141" s="7">
        <v>44602</v>
      </c>
      <c r="J141" s="220" t="s">
        <v>8223</v>
      </c>
      <c r="K141" s="213"/>
      <c r="L141" s="221"/>
      <c r="M141" s="212"/>
    </row>
    <row r="142" spans="1:13" ht="38.25">
      <c r="A142" s="33"/>
      <c r="B142" s="212"/>
      <c r="C142" s="212"/>
      <c r="D142" s="212" t="s">
        <v>8322</v>
      </c>
      <c r="E142" s="212" t="s">
        <v>58</v>
      </c>
      <c r="F142" s="29">
        <v>1200</v>
      </c>
      <c r="G142" s="7">
        <v>44504</v>
      </c>
      <c r="H142" s="212" t="s">
        <v>8221</v>
      </c>
      <c r="I142" s="7">
        <v>44602</v>
      </c>
      <c r="J142" s="220" t="s">
        <v>3239</v>
      </c>
      <c r="K142" s="213"/>
      <c r="L142" s="221"/>
      <c r="M142" s="212"/>
    </row>
    <row r="143" spans="1:13" ht="38.25">
      <c r="A143" s="33"/>
      <c r="B143" s="212"/>
      <c r="C143" s="212"/>
      <c r="D143" s="212" t="s">
        <v>8322</v>
      </c>
      <c r="E143" s="212" t="s">
        <v>58</v>
      </c>
      <c r="F143" s="29">
        <v>1191</v>
      </c>
      <c r="G143" s="7">
        <v>44504</v>
      </c>
      <c r="H143" s="212" t="s">
        <v>8221</v>
      </c>
      <c r="I143" s="7">
        <v>44602</v>
      </c>
      <c r="J143" s="220"/>
      <c r="K143" s="213"/>
      <c r="L143" s="221"/>
      <c r="M143" s="212"/>
    </row>
    <row r="144" spans="1:13" ht="38.25">
      <c r="A144" s="33"/>
      <c r="B144" s="212"/>
      <c r="C144" s="212"/>
      <c r="D144" s="212" t="s">
        <v>8322</v>
      </c>
      <c r="E144" s="212" t="s">
        <v>58</v>
      </c>
      <c r="F144" s="29">
        <v>1205</v>
      </c>
      <c r="G144" s="7">
        <v>44504</v>
      </c>
      <c r="H144" s="212" t="s">
        <v>8221</v>
      </c>
      <c r="I144" s="7">
        <v>44602</v>
      </c>
      <c r="J144" s="220"/>
      <c r="K144" s="213"/>
      <c r="L144" s="221"/>
      <c r="M144" s="212"/>
    </row>
    <row r="145" spans="1:13" ht="38.25">
      <c r="A145" s="33"/>
      <c r="B145" s="212"/>
      <c r="C145" s="212"/>
      <c r="D145" s="212" t="s">
        <v>8322</v>
      </c>
      <c r="E145" s="212" t="s">
        <v>58</v>
      </c>
      <c r="F145" s="29">
        <v>1199</v>
      </c>
      <c r="G145" s="7">
        <v>44504</v>
      </c>
      <c r="H145" s="212" t="s">
        <v>8221</v>
      </c>
      <c r="I145" s="7">
        <v>44602</v>
      </c>
      <c r="J145" s="220"/>
      <c r="K145" s="213"/>
      <c r="L145" s="221"/>
      <c r="M145" s="212"/>
    </row>
    <row r="146" spans="1:13" ht="38.25">
      <c r="A146" s="33"/>
      <c r="B146" s="212"/>
      <c r="C146" s="212"/>
      <c r="D146" s="212" t="s">
        <v>8322</v>
      </c>
      <c r="E146" s="212" t="s">
        <v>58</v>
      </c>
      <c r="F146" s="29">
        <v>1198</v>
      </c>
      <c r="G146" s="7">
        <v>44504</v>
      </c>
      <c r="H146" s="212" t="s">
        <v>8221</v>
      </c>
      <c r="I146" s="7">
        <v>44602</v>
      </c>
      <c r="J146" s="220"/>
      <c r="K146" s="213"/>
      <c r="L146" s="221"/>
      <c r="M146" s="212"/>
    </row>
    <row r="147" spans="1:13" ht="38.25">
      <c r="A147" s="33"/>
      <c r="B147" s="212" t="s">
        <v>8332</v>
      </c>
      <c r="C147" s="212" t="s">
        <v>8333</v>
      </c>
      <c r="D147" s="212" t="s">
        <v>8334</v>
      </c>
      <c r="E147" s="212" t="s">
        <v>58</v>
      </c>
      <c r="F147" s="29" t="s">
        <v>8335</v>
      </c>
      <c r="G147" s="7">
        <v>44562</v>
      </c>
      <c r="H147" s="212" t="s">
        <v>53</v>
      </c>
      <c r="I147" s="7">
        <v>44617</v>
      </c>
      <c r="J147" s="220"/>
      <c r="K147" s="213"/>
      <c r="L147" s="221"/>
      <c r="M147" s="212"/>
    </row>
    <row r="148" spans="1:13" ht="38.25">
      <c r="A148" s="33"/>
      <c r="B148" s="212"/>
      <c r="C148" s="212"/>
      <c r="D148" s="212" t="s">
        <v>8334</v>
      </c>
      <c r="E148" s="212" t="s">
        <v>58</v>
      </c>
      <c r="F148" s="29" t="s">
        <v>8336</v>
      </c>
      <c r="G148" s="7">
        <v>44593</v>
      </c>
      <c r="H148" s="212" t="s">
        <v>53</v>
      </c>
      <c r="I148" s="7">
        <v>44617</v>
      </c>
      <c r="J148" s="220" t="s">
        <v>324</v>
      </c>
      <c r="K148" s="213"/>
      <c r="L148" s="221"/>
      <c r="M148" s="212"/>
    </row>
    <row r="149" spans="1:13" ht="38.25">
      <c r="A149" s="33"/>
      <c r="B149" s="212"/>
      <c r="C149" s="212"/>
      <c r="D149" s="212" t="s">
        <v>8334</v>
      </c>
      <c r="E149" s="212" t="s">
        <v>58</v>
      </c>
      <c r="F149" s="29" t="s">
        <v>8337</v>
      </c>
      <c r="G149" s="7">
        <v>44593</v>
      </c>
      <c r="H149" s="212" t="s">
        <v>53</v>
      </c>
      <c r="I149" s="7">
        <v>44617</v>
      </c>
      <c r="J149" s="220" t="s">
        <v>324</v>
      </c>
      <c r="K149" s="213"/>
      <c r="L149" s="221"/>
      <c r="M149" s="212"/>
    </row>
    <row r="150" spans="1:13" ht="38.25">
      <c r="A150" s="33"/>
      <c r="B150" s="212" t="s">
        <v>8338</v>
      </c>
      <c r="C150" s="212" t="s">
        <v>8339</v>
      </c>
      <c r="D150" s="212" t="s">
        <v>8340</v>
      </c>
      <c r="E150" s="212" t="s">
        <v>58</v>
      </c>
      <c r="F150" s="29" t="s">
        <v>8341</v>
      </c>
      <c r="G150" s="33" t="s">
        <v>8289</v>
      </c>
      <c r="H150" s="212" t="s">
        <v>8221</v>
      </c>
      <c r="I150" s="7">
        <v>44625</v>
      </c>
      <c r="J150" s="220" t="s">
        <v>324</v>
      </c>
      <c r="K150" s="213"/>
      <c r="L150" s="221"/>
      <c r="M150" s="212"/>
    </row>
    <row r="151" spans="1:13" ht="38.25">
      <c r="A151" s="33"/>
      <c r="B151" s="212"/>
      <c r="C151" s="212"/>
      <c r="D151" s="212" t="s">
        <v>8342</v>
      </c>
      <c r="E151" s="212" t="s">
        <v>58</v>
      </c>
      <c r="F151" s="29"/>
      <c r="G151" s="7"/>
      <c r="H151" s="212" t="s">
        <v>8221</v>
      </c>
      <c r="I151" s="7"/>
      <c r="J151" s="220"/>
      <c r="K151" s="213"/>
      <c r="L151" s="221"/>
      <c r="M151" s="212"/>
    </row>
    <row r="152" spans="1:13">
      <c r="A152" s="33"/>
      <c r="B152" s="212"/>
      <c r="C152" s="212"/>
      <c r="D152" s="212"/>
      <c r="E152" s="212" t="s">
        <v>58</v>
      </c>
      <c r="F152" s="29"/>
      <c r="G152" s="7"/>
      <c r="H152" s="212" t="s">
        <v>8221</v>
      </c>
      <c r="I152" s="7"/>
      <c r="J152" s="220"/>
      <c r="K152" s="213"/>
      <c r="L152" s="221"/>
      <c r="M152" s="212"/>
    </row>
    <row r="153" spans="1:13">
      <c r="A153" s="33"/>
      <c r="B153" s="212"/>
      <c r="C153" s="212"/>
      <c r="D153" s="212"/>
      <c r="E153" s="212" t="s">
        <v>58</v>
      </c>
      <c r="F153" s="29"/>
      <c r="G153" s="7"/>
      <c r="H153" s="212" t="s">
        <v>8221</v>
      </c>
      <c r="I153" s="7"/>
      <c r="J153" s="220"/>
      <c r="K153" s="213"/>
      <c r="L153" s="221"/>
      <c r="M153" s="212"/>
    </row>
    <row r="154" spans="1:13">
      <c r="A154" s="33"/>
      <c r="B154" s="212"/>
      <c r="C154" s="212"/>
      <c r="D154" s="212"/>
      <c r="E154" s="212" t="s">
        <v>58</v>
      </c>
      <c r="F154" s="29"/>
      <c r="G154" s="7"/>
      <c r="H154" s="212" t="s">
        <v>8221</v>
      </c>
      <c r="I154" s="7"/>
      <c r="J154" s="220"/>
      <c r="K154" s="213"/>
      <c r="L154" s="221"/>
      <c r="M154" s="212"/>
    </row>
    <row r="155" spans="1:13">
      <c r="A155" s="33"/>
      <c r="B155" s="212"/>
      <c r="C155" s="212"/>
      <c r="D155" s="212"/>
      <c r="E155" s="212" t="s">
        <v>58</v>
      </c>
      <c r="F155" s="29"/>
      <c r="G155" s="7"/>
      <c r="H155" s="212" t="s">
        <v>8221</v>
      </c>
      <c r="I155" s="7"/>
      <c r="J155" s="220"/>
      <c r="K155" s="213"/>
      <c r="L155" s="221"/>
      <c r="M155" s="212"/>
    </row>
    <row r="156" spans="1:13">
      <c r="A156" s="33"/>
      <c r="B156" s="212"/>
      <c r="C156" s="212"/>
      <c r="D156" s="212"/>
      <c r="E156" s="212" t="s">
        <v>58</v>
      </c>
      <c r="F156" s="29"/>
      <c r="G156" s="7"/>
      <c r="H156" s="212" t="s">
        <v>8221</v>
      </c>
      <c r="I156" s="7"/>
      <c r="J156" s="220"/>
      <c r="K156" s="213"/>
      <c r="L156" s="221"/>
      <c r="M156" s="212"/>
    </row>
    <row r="157" spans="1:13">
      <c r="A157" s="33"/>
      <c r="B157" s="212"/>
      <c r="C157" s="212"/>
      <c r="D157" s="212"/>
      <c r="E157" s="212" t="s">
        <v>58</v>
      </c>
      <c r="F157" s="29"/>
      <c r="G157" s="7"/>
      <c r="H157" s="212" t="s">
        <v>8221</v>
      </c>
      <c r="I157" s="7"/>
      <c r="J157" s="220"/>
      <c r="K157" s="213"/>
      <c r="L157" s="221"/>
      <c r="M157" s="212"/>
    </row>
    <row r="158" spans="1:13" ht="38.25">
      <c r="A158" s="33"/>
      <c r="B158" s="212" t="s">
        <v>8343</v>
      </c>
      <c r="C158" s="212" t="s">
        <v>8339</v>
      </c>
      <c r="D158" s="212" t="s">
        <v>8344</v>
      </c>
      <c r="E158" s="212" t="s">
        <v>58</v>
      </c>
      <c r="F158" s="29">
        <v>6804026</v>
      </c>
      <c r="G158" s="33" t="s">
        <v>8329</v>
      </c>
      <c r="H158" s="212" t="s">
        <v>8221</v>
      </c>
      <c r="I158" s="7"/>
      <c r="J158" s="220"/>
      <c r="K158" s="213"/>
      <c r="L158" s="221"/>
      <c r="M158" s="212"/>
    </row>
    <row r="159" spans="1:13">
      <c r="A159" s="33"/>
      <c r="B159" s="212"/>
      <c r="C159" s="212"/>
      <c r="D159" s="212"/>
      <c r="E159" s="212" t="s">
        <v>58</v>
      </c>
      <c r="F159" s="29">
        <v>6804027</v>
      </c>
      <c r="G159" s="33" t="s">
        <v>8329</v>
      </c>
      <c r="H159" s="212" t="s">
        <v>8221</v>
      </c>
      <c r="I159" s="7"/>
      <c r="J159" s="220"/>
      <c r="K159" s="213"/>
      <c r="L159" s="221"/>
      <c r="M159" s="212"/>
    </row>
    <row r="160" spans="1:13">
      <c r="A160" s="33"/>
      <c r="B160" s="212"/>
      <c r="C160" s="212"/>
      <c r="D160" s="212"/>
      <c r="E160" s="212" t="s">
        <v>58</v>
      </c>
      <c r="F160" s="29">
        <v>6804034</v>
      </c>
      <c r="G160" s="33" t="s">
        <v>8329</v>
      </c>
      <c r="H160" s="212" t="s">
        <v>8221</v>
      </c>
      <c r="I160" s="7"/>
      <c r="J160" s="220"/>
      <c r="K160" s="213"/>
      <c r="L160" s="221"/>
      <c r="M160" s="212"/>
    </row>
    <row r="161" spans="1:13">
      <c r="A161" s="33"/>
      <c r="B161" s="212"/>
      <c r="C161" s="212"/>
      <c r="D161" s="212"/>
      <c r="E161" s="212" t="s">
        <v>58</v>
      </c>
      <c r="F161" s="29">
        <v>6804038</v>
      </c>
      <c r="G161" s="33" t="s">
        <v>8329</v>
      </c>
      <c r="H161" s="212" t="s">
        <v>8221</v>
      </c>
      <c r="I161" s="7"/>
      <c r="J161" s="220"/>
      <c r="K161" s="213"/>
      <c r="L161" s="221"/>
      <c r="M161" s="212"/>
    </row>
    <row r="162" spans="1:13" ht="25.5">
      <c r="A162" s="33"/>
      <c r="B162" s="212">
        <v>322</v>
      </c>
      <c r="C162" s="212" t="s">
        <v>8345</v>
      </c>
      <c r="D162" s="212" t="s">
        <v>8346</v>
      </c>
      <c r="E162" s="212" t="s">
        <v>57</v>
      </c>
      <c r="F162" s="29">
        <v>490</v>
      </c>
      <c r="G162" s="7">
        <v>44316</v>
      </c>
      <c r="H162" s="212" t="s">
        <v>53</v>
      </c>
      <c r="I162" s="7"/>
      <c r="J162" s="220" t="s">
        <v>7802</v>
      </c>
      <c r="K162" s="213"/>
      <c r="L162" s="221"/>
      <c r="M162" s="212"/>
    </row>
    <row r="163" spans="1:13" ht="25.5">
      <c r="A163" s="33"/>
      <c r="B163" s="212"/>
      <c r="C163" s="212"/>
      <c r="D163" s="212"/>
      <c r="E163" s="212" t="s">
        <v>57</v>
      </c>
      <c r="F163" s="29">
        <v>456</v>
      </c>
      <c r="G163" s="7">
        <v>44313</v>
      </c>
      <c r="H163" s="212" t="s">
        <v>53</v>
      </c>
      <c r="I163" s="7"/>
      <c r="J163" s="220" t="s">
        <v>7802</v>
      </c>
      <c r="K163" s="213"/>
      <c r="L163" s="221"/>
      <c r="M163" s="212"/>
    </row>
    <row r="164" spans="1:13" ht="38.25">
      <c r="B164" s="212" t="s">
        <v>8368</v>
      </c>
      <c r="C164" s="212" t="s">
        <v>8333</v>
      </c>
      <c r="D164" s="212" t="s">
        <v>8371</v>
      </c>
      <c r="E164" s="212" t="s">
        <v>58</v>
      </c>
      <c r="F164" s="29"/>
      <c r="G164" s="7"/>
      <c r="H164" s="212" t="s">
        <v>8221</v>
      </c>
    </row>
    <row r="165" spans="1:13">
      <c r="B165" s="212"/>
      <c r="C165" s="212"/>
      <c r="D165" s="212"/>
      <c r="E165" s="212" t="s">
        <v>58</v>
      </c>
      <c r="F165" s="29"/>
      <c r="G165" s="7"/>
      <c r="H165" s="212" t="s">
        <v>8221</v>
      </c>
    </row>
    <row r="166" spans="1:13" ht="63.75">
      <c r="B166" s="212"/>
      <c r="C166" s="212" t="s">
        <v>8709</v>
      </c>
      <c r="D166" s="212" t="s">
        <v>8710</v>
      </c>
      <c r="E166" s="212" t="s">
        <v>58</v>
      </c>
      <c r="F166" s="29">
        <v>1705</v>
      </c>
      <c r="G166" s="7"/>
      <c r="H166" s="212" t="s">
        <v>8221</v>
      </c>
    </row>
    <row r="167" spans="1:13" ht="63.75">
      <c r="B167" s="212"/>
      <c r="C167" s="212"/>
      <c r="D167" s="212" t="s">
        <v>8710</v>
      </c>
      <c r="E167" s="212" t="s">
        <v>58</v>
      </c>
      <c r="F167" s="29">
        <v>1730</v>
      </c>
      <c r="G167" s="7"/>
      <c r="H167" s="212" t="s">
        <v>8221</v>
      </c>
    </row>
    <row r="168" spans="1:13" ht="63.75">
      <c r="B168" s="212"/>
      <c r="C168" s="212"/>
      <c r="D168" s="212" t="s">
        <v>8710</v>
      </c>
      <c r="E168" s="212" t="s">
        <v>58</v>
      </c>
      <c r="F168" s="29">
        <v>1731</v>
      </c>
      <c r="G168" s="7"/>
      <c r="H168" s="212" t="s">
        <v>8221</v>
      </c>
    </row>
    <row r="169" spans="1:13" ht="63.75">
      <c r="B169" s="212"/>
      <c r="C169" s="212"/>
      <c r="D169" s="212" t="s">
        <v>8710</v>
      </c>
      <c r="E169" s="212" t="s">
        <v>58</v>
      </c>
      <c r="F169" s="29">
        <v>1751</v>
      </c>
      <c r="G169" s="7"/>
      <c r="H169" s="212" t="s">
        <v>8221</v>
      </c>
    </row>
    <row r="170" spans="1:13" ht="63.75">
      <c r="B170" s="212"/>
      <c r="C170" s="212"/>
      <c r="D170" s="212" t="s">
        <v>8710</v>
      </c>
      <c r="E170" s="212" t="s">
        <v>58</v>
      </c>
      <c r="F170" s="29">
        <v>1732</v>
      </c>
      <c r="G170" s="7"/>
      <c r="H170" s="212" t="s">
        <v>8221</v>
      </c>
    </row>
    <row r="171" spans="1:13" ht="38.25">
      <c r="B171" s="212" t="s">
        <v>8711</v>
      </c>
      <c r="C171" s="212" t="s">
        <v>8712</v>
      </c>
      <c r="D171" s="212" t="s">
        <v>8713</v>
      </c>
      <c r="E171" s="212" t="s">
        <v>57</v>
      </c>
      <c r="F171" s="29">
        <v>22344</v>
      </c>
      <c r="G171" s="7"/>
      <c r="H171" s="212" t="s">
        <v>8221</v>
      </c>
    </row>
    <row r="172" spans="1:13">
      <c r="B172" s="212"/>
      <c r="C172" s="212"/>
      <c r="D172" s="212"/>
      <c r="E172" s="212" t="s">
        <v>57</v>
      </c>
      <c r="F172" s="29">
        <v>22398</v>
      </c>
      <c r="G172" s="7"/>
      <c r="H172" s="212" t="s">
        <v>8221</v>
      </c>
    </row>
    <row r="173" spans="1:13" ht="38.25">
      <c r="B173" s="212" t="s">
        <v>8714</v>
      </c>
      <c r="C173" s="212" t="s">
        <v>8715</v>
      </c>
      <c r="D173" s="212" t="s">
        <v>8716</v>
      </c>
      <c r="E173" s="212" t="s">
        <v>58</v>
      </c>
      <c r="F173" s="29" t="s">
        <v>8717</v>
      </c>
      <c r="G173" s="7">
        <v>44593</v>
      </c>
      <c r="H173" s="212" t="s">
        <v>8221</v>
      </c>
    </row>
    <row r="174" spans="1:13" ht="38.25">
      <c r="B174" s="212" t="s">
        <v>8718</v>
      </c>
      <c r="C174" s="212" t="s">
        <v>8719</v>
      </c>
      <c r="D174" s="212" t="s">
        <v>8720</v>
      </c>
      <c r="E174" s="212" t="s">
        <v>58</v>
      </c>
      <c r="F174" s="29" t="s">
        <v>8721</v>
      </c>
      <c r="G174" s="7">
        <v>44562</v>
      </c>
      <c r="H174" s="212" t="s">
        <v>53</v>
      </c>
    </row>
    <row r="175" spans="1:13">
      <c r="B175" s="212"/>
      <c r="C175" s="212"/>
      <c r="D175" s="212"/>
      <c r="E175" s="212" t="s">
        <v>58</v>
      </c>
      <c r="F175" s="29" t="s">
        <v>8722</v>
      </c>
      <c r="G175" s="7">
        <v>44562</v>
      </c>
      <c r="H175" s="212" t="s">
        <v>53</v>
      </c>
    </row>
    <row r="176" spans="1:13">
      <c r="B176" s="212"/>
      <c r="C176" s="212"/>
      <c r="D176" s="212"/>
      <c r="E176" s="212" t="s">
        <v>58</v>
      </c>
      <c r="F176" s="29" t="s">
        <v>8723</v>
      </c>
      <c r="G176" s="7">
        <v>44562</v>
      </c>
      <c r="H176" s="212" t="s">
        <v>53</v>
      </c>
    </row>
    <row r="177" spans="2:8">
      <c r="B177" s="212"/>
      <c r="C177" s="212"/>
      <c r="D177" s="212"/>
      <c r="E177" s="212" t="s">
        <v>58</v>
      </c>
      <c r="F177" s="29" t="s">
        <v>8724</v>
      </c>
      <c r="G177" s="7">
        <v>44562</v>
      </c>
      <c r="H177" s="212" t="s">
        <v>53</v>
      </c>
    </row>
    <row r="178" spans="2:8">
      <c r="B178" s="212"/>
      <c r="C178" s="212"/>
      <c r="D178" s="212"/>
      <c r="E178" s="212" t="s">
        <v>58</v>
      </c>
      <c r="F178" s="29" t="s">
        <v>8725</v>
      </c>
      <c r="G178" s="7">
        <v>44562</v>
      </c>
      <c r="H178" s="212" t="s">
        <v>53</v>
      </c>
    </row>
    <row r="179" spans="2:8">
      <c r="B179" s="212"/>
      <c r="C179" s="212"/>
      <c r="D179" s="212"/>
      <c r="E179" s="212" t="s">
        <v>58</v>
      </c>
      <c r="F179" s="29" t="s">
        <v>8726</v>
      </c>
      <c r="G179" s="7">
        <v>44562</v>
      </c>
      <c r="H179" s="212" t="s">
        <v>53</v>
      </c>
    </row>
    <row r="180" spans="2:8">
      <c r="B180" s="212"/>
      <c r="C180" s="212"/>
      <c r="D180" s="212"/>
      <c r="E180" s="212" t="s">
        <v>58</v>
      </c>
      <c r="F180" s="29" t="s">
        <v>8727</v>
      </c>
      <c r="G180" s="7">
        <v>44562</v>
      </c>
      <c r="H180" s="212" t="s">
        <v>53</v>
      </c>
    </row>
    <row r="181" spans="2:8">
      <c r="B181" s="212"/>
      <c r="C181" s="212"/>
      <c r="D181" s="212"/>
      <c r="E181" s="212" t="s">
        <v>58</v>
      </c>
      <c r="F181" s="29" t="s">
        <v>8728</v>
      </c>
      <c r="G181" s="7">
        <v>44562</v>
      </c>
      <c r="H181" s="212" t="s">
        <v>53</v>
      </c>
    </row>
    <row r="182" spans="2:8">
      <c r="B182" s="212"/>
      <c r="C182" s="212"/>
      <c r="D182" s="212"/>
      <c r="E182" s="212" t="s">
        <v>58</v>
      </c>
      <c r="F182" s="29" t="s">
        <v>8729</v>
      </c>
      <c r="G182" s="7">
        <v>44562</v>
      </c>
      <c r="H182" s="212" t="s">
        <v>53</v>
      </c>
    </row>
    <row r="183" spans="2:8">
      <c r="B183" s="212"/>
      <c r="C183" s="212"/>
      <c r="D183" s="212"/>
      <c r="E183" s="212" t="s">
        <v>58</v>
      </c>
      <c r="F183" s="29" t="s">
        <v>8730</v>
      </c>
      <c r="G183" s="7">
        <v>44562</v>
      </c>
      <c r="H183" s="212" t="s">
        <v>53</v>
      </c>
    </row>
    <row r="184" spans="2:8">
      <c r="B184" s="212"/>
      <c r="C184" s="212"/>
      <c r="D184" s="212"/>
      <c r="E184" s="212" t="s">
        <v>58</v>
      </c>
      <c r="F184" s="29" t="s">
        <v>8731</v>
      </c>
      <c r="G184" s="7">
        <v>44562</v>
      </c>
      <c r="H184" s="212" t="s">
        <v>53</v>
      </c>
    </row>
    <row r="185" spans="2:8">
      <c r="B185" s="212"/>
      <c r="C185" s="212"/>
      <c r="D185" s="212"/>
      <c r="E185" s="212" t="s">
        <v>58</v>
      </c>
      <c r="F185" s="29" t="s">
        <v>8721</v>
      </c>
      <c r="G185" s="7">
        <v>44562</v>
      </c>
      <c r="H185" s="212" t="s">
        <v>53</v>
      </c>
    </row>
    <row r="186" spans="2:8">
      <c r="B186" s="212"/>
      <c r="C186" s="212"/>
      <c r="D186" s="212"/>
      <c r="E186" s="212" t="s">
        <v>58</v>
      </c>
      <c r="F186" s="29" t="s">
        <v>8732</v>
      </c>
      <c r="G186" s="7">
        <v>44562</v>
      </c>
      <c r="H186" s="212" t="s">
        <v>53</v>
      </c>
    </row>
    <row r="187" spans="2:8">
      <c r="B187" s="212"/>
      <c r="C187" s="212"/>
      <c r="D187" s="212"/>
      <c r="E187" s="212" t="s">
        <v>58</v>
      </c>
      <c r="F187" s="29" t="s">
        <v>8733</v>
      </c>
      <c r="G187" s="7">
        <v>44562</v>
      </c>
      <c r="H187" s="212" t="s">
        <v>53</v>
      </c>
    </row>
    <row r="188" spans="2:8">
      <c r="B188" s="212"/>
      <c r="C188" s="212"/>
      <c r="D188" s="212"/>
      <c r="E188" s="212" t="s">
        <v>58</v>
      </c>
      <c r="F188" s="29" t="s">
        <v>8734</v>
      </c>
      <c r="G188" s="7">
        <v>44562</v>
      </c>
      <c r="H188" s="212" t="s">
        <v>53</v>
      </c>
    </row>
    <row r="189" spans="2:8">
      <c r="B189" s="212"/>
      <c r="C189" s="212"/>
      <c r="D189" s="212"/>
      <c r="E189" s="212" t="s">
        <v>58</v>
      </c>
      <c r="F189" s="29" t="s">
        <v>8735</v>
      </c>
      <c r="G189" s="7">
        <v>44562</v>
      </c>
      <c r="H189" s="212" t="s">
        <v>53</v>
      </c>
    </row>
    <row r="190" spans="2:8" ht="25.5">
      <c r="B190" s="212" t="s">
        <v>8736</v>
      </c>
      <c r="C190" s="212" t="s">
        <v>8712</v>
      </c>
      <c r="D190" s="212" t="s">
        <v>8737</v>
      </c>
      <c r="E190" s="212" t="s">
        <v>57</v>
      </c>
      <c r="F190" s="29">
        <v>471</v>
      </c>
      <c r="G190" s="7">
        <v>44682</v>
      </c>
      <c r="H190" s="212" t="s">
        <v>8221</v>
      </c>
    </row>
    <row r="191" spans="2:8">
      <c r="B191" s="212"/>
      <c r="C191" s="212"/>
      <c r="D191" s="212"/>
      <c r="E191" s="212" t="s">
        <v>57</v>
      </c>
      <c r="F191" s="29">
        <v>717</v>
      </c>
      <c r="G191" s="7">
        <v>44682</v>
      </c>
      <c r="H191" s="212" t="s">
        <v>8221</v>
      </c>
    </row>
  </sheetData>
  <dataValidations count="4">
    <dataValidation type="list" allowBlank="1" sqref="H192:H1048576">
      <formula1>Текущий_статус_ГБО</formula1>
    </dataValidation>
    <dataValidation type="list" allowBlank="1" sqref="E192:E1048576">
      <formula1>Тип_газа</formula1>
    </dataValidation>
    <dataValidation type="list" allowBlank="1" sqref="E1:E163">
      <formula1>"ТИП ГАЗА,ПРОПАН,МЕТАН"</formula1>
    </dataValidation>
    <dataValidation type="list" allowBlank="1" sqref="H1:H191">
      <formula1>"Текущий статус,Склад ГЕО,Склад ГИТ,Брак,Отправлен уст  Новоспасское,Отправлен уст Саранск,Выдан уст-ку,Выдан клиенту,Ремонт у производителя"</formula1>
    </dataValidation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11</vt:i4>
      </vt:variant>
      <vt:variant>
        <vt:lpstr>Именованные диапазоны</vt:lpstr>
      </vt:variant>
      <vt:variant>
        <vt:i4>6</vt:i4>
      </vt:variant>
    </vt:vector>
  </HeadingPairs>
  <TitlesOfParts>
    <vt:vector size="17" baseType="lpstr">
      <vt:lpstr>Ввод</vt:lpstr>
      <vt:lpstr>Списки</vt:lpstr>
      <vt:lpstr>Неопознанные</vt:lpstr>
      <vt:lpstr>РЕМОНТ ОБОРУДОВАНИЯ</vt:lpstr>
      <vt:lpstr>Приход БЛОКИ</vt:lpstr>
      <vt:lpstr>Приход ДУТ</vt:lpstr>
      <vt:lpstr>Приход ТАХОГРАФЫ</vt:lpstr>
      <vt:lpstr>Приход СКЗИ</vt:lpstr>
      <vt:lpstr>Приход ОТОПИТЕЛИ</vt:lpstr>
      <vt:lpstr>Приход ГБО - комплекты </vt:lpstr>
      <vt:lpstr>Приход ГБО - баллоны</vt:lpstr>
      <vt:lpstr>Вид_ремонта</vt:lpstr>
      <vt:lpstr>Направление</vt:lpstr>
      <vt:lpstr>Состав_комплекта</vt:lpstr>
      <vt:lpstr>Текущий_статус</vt:lpstr>
      <vt:lpstr>Текущий_статус_ГБО</vt:lpstr>
      <vt:lpstr>Тип_газа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2022-06-23T12:51:42Z</dcterms:modified>
</cp:coreProperties>
</file>